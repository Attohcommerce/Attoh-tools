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meinen" sheetId="1" state="visible" r:id="rId3"/>
  </sheets>
  <definedNames>
    <definedName function="false" hidden="true" localSheetId="0" name="_xlnm._FilterDatabase" vbProcedure="false">Domeinen!$A$4:$L$45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<sst xmlns="http://schemas.openxmlformats.org/spreadsheetml/2006/main" count="183" uniqueCount="115">
  <si>
    <t xml:space="preserve">30+ .com-domeinen – GoDaddy Auctions Buy Now</t>
  </si>
  <si>
    <t xml:space="preserve">Prijs en beschikbaarheid gecheckt: do 29-10-2026 08:28 (NL-tijd). Buy Now verloopt vandaag – vandaag afrekenen. Alle eindtijden in NL-tijd (CET).</t>
  </si>
  <si>
    <t xml:space="preserve">#</t>
  </si>
  <si>
    <t xml:space="preserve">Domein</t>
  </si>
  <si>
    <t xml:space="preserve">Merknaam</t>
  </si>
  <si>
    <t xml:space="preserve">Type</t>
  </si>
  <si>
    <t xml:space="preserve">Prijs ($)</t>
  </si>
  <si>
    <t xml:space="preserve">Te koop tot (NL)</t>
  </si>
  <si>
    <t xml:space="preserve">Aangemaakt</t>
  </si>
  <si>
    <t xml:space="preserve">Leeftijd (jaar)</t>
  </si>
  <si>
    <t xml:space="preserve">GoDaddy-waarde ($)</t>
  </si>
  <si>
    <t xml:space="preserve">Ref. domains</t>
  </si>
  <si>
    <t xml:space="preserve">Andere ext. met site</t>
  </si>
  <si>
    <t xml:space="preserve">Merkcheck</t>
  </si>
  <si>
    <t xml:space="preserve">marinaandmain.com</t>
  </si>
  <si>
    <t xml:space="preserve">Marina &amp; Main</t>
  </si>
  <si>
    <t xml:space="preserve">Buy Now</t>
  </si>
  <si>
    <t xml:space="preserve">Vrij – geen kledingmerk met deze naam gevonden</t>
  </si>
  <si>
    <t xml:space="preserve">laurelandstitch.com</t>
  </si>
  <si>
    <t xml:space="preserve">Laurel &amp; Stitch</t>
  </si>
  <si>
    <t xml:space="preserve">mysticandskye.com</t>
  </si>
  <si>
    <t xml:space="preserve">Mystic &amp; Skye</t>
  </si>
  <si>
    <t xml:space="preserve">evansandparker.com</t>
  </si>
  <si>
    <t xml:space="preserve">Evans &amp; Parker</t>
  </si>
  <si>
    <t xml:space="preserve">Voorzichtig – Britse keten 'Evans'</t>
  </si>
  <si>
    <t xml:space="preserve">rockandrowe.com</t>
  </si>
  <si>
    <t xml:space="preserve">Rock &amp; Rowe</t>
  </si>
  <si>
    <t xml:space="preserve">Voorzichtig – lijkt op merk 'Rock &amp; Rose' (trademark)</t>
  </si>
  <si>
    <t xml:space="preserve">lunaandevelyn.com</t>
  </si>
  <si>
    <t xml:space="preserve">Luna &amp; Evelyn</t>
  </si>
  <si>
    <t xml:space="preserve">paperandhand.com</t>
  </si>
  <si>
    <t xml:space="preserve">Paper &amp; Hand</t>
  </si>
  <si>
    <t xml:space="preserve">landandmoore.com</t>
  </si>
  <si>
    <t xml:space="preserve">Land &amp; Moore</t>
  </si>
  <si>
    <t xml:space="preserve">hillandpaddle.com</t>
  </si>
  <si>
    <t xml:space="preserve">Hill &amp; Paddle</t>
  </si>
  <si>
    <t xml:space="preserve">fisherandfig.com</t>
  </si>
  <si>
    <t xml:space="preserve">Fisher &amp; Fig</t>
  </si>
  <si>
    <t xml:space="preserve">Vrij – let op: 'FIGS' is groot kledingmerk (scrubs)</t>
  </si>
  <si>
    <t xml:space="preserve">thevividthread.com</t>
  </si>
  <si>
    <t xml:space="preserve">The Vivid Thread</t>
  </si>
  <si>
    <t xml:space="preserve">roseandgreg.com</t>
  </si>
  <si>
    <t xml:space="preserve">Rose &amp; Greg</t>
  </si>
  <si>
    <t xml:space="preserve">amberandautumn.com</t>
  </si>
  <si>
    <t xml:space="preserve">Amber &amp; Autumn</t>
  </si>
  <si>
    <t xml:space="preserve">charmandgather.com</t>
  </si>
  <si>
    <t xml:space="preserve">Charm &amp; Gather</t>
  </si>
  <si>
    <t xml:space="preserve">tuesdaythreads.com</t>
  </si>
  <si>
    <t xml:space="preserve">Tuesday Threads</t>
  </si>
  <si>
    <t xml:space="preserve">vineandlimestone.com</t>
  </si>
  <si>
    <t xml:space="preserve">Vine &amp; Limestone</t>
  </si>
  <si>
    <t xml:space="preserve">dirtandroses.com</t>
  </si>
  <si>
    <t xml:space="preserve">Dirt &amp; Roses</t>
  </si>
  <si>
    <t xml:space="preserve">graceandclarity.com</t>
  </si>
  <si>
    <t xml:space="preserve">Grace &amp; Clarity</t>
  </si>
  <si>
    <t xml:space="preserve">Vrij – let op: 'Grace and Lace' is bekend merk</t>
  </si>
  <si>
    <t xml:space="preserve">autumnandhazel.com</t>
  </si>
  <si>
    <t xml:space="preserve">Autumn &amp; Hazel</t>
  </si>
  <si>
    <t xml:space="preserve">theivorymoon.com</t>
  </si>
  <si>
    <t xml:space="preserve">The Ivory Moon</t>
  </si>
  <si>
    <t xml:space="preserve">Voorzichtig – boutique 'Ivy Moon' (Duluth)</t>
  </si>
  <si>
    <t xml:space="preserve">theamberleaf.com</t>
  </si>
  <si>
    <t xml:space="preserve">The Amber Leaf</t>
  </si>
  <si>
    <t xml:space="preserve">thelemonlabel.com</t>
  </si>
  <si>
    <t xml:space="preserve">The Lemon Label</t>
  </si>
  <si>
    <t xml:space="preserve">Voorzichtig – lijkt op 'For Love &amp; Lemons'</t>
  </si>
  <si>
    <t xml:space="preserve">oliverandnelson.com</t>
  </si>
  <si>
    <t xml:space="preserve">Oliver &amp; Nelson</t>
  </si>
  <si>
    <t xml:space="preserve">thewovencrescent.com</t>
  </si>
  <si>
    <t xml:space="preserve">The Woven Crescent</t>
  </si>
  <si>
    <t xml:space="preserve">wanderandsuns.com</t>
  </si>
  <si>
    <t xml:space="preserve">Wander &amp; Suns</t>
  </si>
  <si>
    <t xml:space="preserve">Voorzichtig – kledingmerk 'and wander' bestaat</t>
  </si>
  <si>
    <t xml:space="preserve">bellaandcove.com</t>
  </si>
  <si>
    <t xml:space="preserve">Bella &amp; Cove</t>
  </si>
  <si>
    <t xml:space="preserve">loveandpayne.com</t>
  </si>
  <si>
    <t xml:space="preserve">Love &amp; Payne</t>
  </si>
  <si>
    <t xml:space="preserve">Voorzichtig – associatie Liam Payne / 'pain'</t>
  </si>
  <si>
    <t xml:space="preserve">wolvesandwool.com</t>
  </si>
  <si>
    <t xml:space="preserve">Wolves &amp; Wool</t>
  </si>
  <si>
    <t xml:space="preserve">pearlandocean.com</t>
  </si>
  <si>
    <t xml:space="preserve">Pearl &amp; Ocean</t>
  </si>
  <si>
    <t xml:space="preserve">noirandpearl.com</t>
  </si>
  <si>
    <t xml:space="preserve">Noir &amp; Pearl</t>
  </si>
  <si>
    <t xml:space="preserve">willandworth.com</t>
  </si>
  <si>
    <t xml:space="preserve">Will &amp; Worth</t>
  </si>
  <si>
    <t xml:space="preserve">Voorzichtig – hoedenzaak 'Worth &amp; Worth'</t>
  </si>
  <si>
    <t xml:space="preserve">marksandmakers.com</t>
  </si>
  <si>
    <t xml:space="preserve">Marks &amp; Makers</t>
  </si>
  <si>
    <t xml:space="preserve">Voorzichtig – 'Marks' doet denken aan Marks &amp; Spencer</t>
  </si>
  <si>
    <t xml:space="preserve">beamandcraft.com</t>
  </si>
  <si>
    <t xml:space="preserve">Beam &amp; Craft</t>
  </si>
  <si>
    <t xml:space="preserve">Voorzichtig – Japans merk 'BEAMS'</t>
  </si>
  <si>
    <t xml:space="preserve">thomasandpeck.com</t>
  </si>
  <si>
    <t xml:space="preserve">Thomas &amp; Peck</t>
  </si>
  <si>
    <t xml:space="preserve">Voorzichtig – historisch merk 'Peck &amp; Peck'</t>
  </si>
  <si>
    <t xml:space="preserve">hammerandbloom.com</t>
  </si>
  <si>
    <t xml:space="preserve">Hammer &amp; Bloom</t>
  </si>
  <si>
    <t xml:space="preserve">mistandmercury.com</t>
  </si>
  <si>
    <t xml:space="preserve">Mist &amp; Mercury</t>
  </si>
  <si>
    <t xml:space="preserve">angleandedge.com</t>
  </si>
  <si>
    <t xml:space="preserve">Angle &amp; Edge</t>
  </si>
  <si>
    <t xml:space="preserve">summitandfields.com</t>
  </si>
  <si>
    <t xml:space="preserve">Summit &amp; Fields</t>
  </si>
  <si>
    <t xml:space="preserve">draftandanchor.com</t>
  </si>
  <si>
    <t xml:space="preserve">Draft &amp; Anchor</t>
  </si>
  <si>
    <t xml:space="preserve">dollyandjune.com</t>
  </si>
  <si>
    <t xml:space="preserve">Dolly &amp; June</t>
  </si>
  <si>
    <t xml:space="preserve">woodyandhazel.com</t>
  </si>
  <si>
    <t xml:space="preserve">Woody &amp; Hazel</t>
  </si>
  <si>
    <t xml:space="preserve">Totaal</t>
  </si>
  <si>
    <t xml:space="preserve">Peildatum</t>
  </si>
  <si>
    <t xml:space="preserve">Bron: GoDaddy Auctions zoek-API (Buy Now, type 20/39), 170 zoekwoorden, filter: .com, 2+ jaar oud, max $500, 0–1 andere extensies met site.</t>
  </si>
  <si>
    <t xml:space="preserve">Merkcheck: Google-zoekopdracht "X &amp; Y" OR "X and Y" clothing. Geel = voorzichtig. Afgevallen: marsandluna.com (Mar and Luna Apparel), longhornandlace.com (Longhorns and Lace), whiteandfox.com, windsorandoak.com.</t>
  </si>
  <si>
    <t xml:space="preserve">Geen enkel domein is gekocht of in een winkelmandje gezet.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</si>
</sst>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dd\-mm\ hh:mm"/>
    <numFmt numFmtId="167" formatCode="dd\-mm\-yyyy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5" min="4" style="0" width="9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2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n">
        <v>1</v>
      </c>
      <c r="B5" s="4" t="s">
        <v>14</v>
      </c>
      <c r="C5" s="4" t="s">
        <v>15</v>
      </c>
      <c r="D5" s="4" t="s">
        <v>16</v>
      </c>
      <c r="E5" s="5" t="n">
        <v>50</v>
      </c>
      <c r="F5" s="6" t="n">
        <v>46324.7208333333</v>
      </c>
      <c r="G5" s="7" t="n">
        <v>44097</v>
      </c>
      <c r="H5" s="8" t="n">
        <f aca="false">ROUND(($B$48-G5)/365.25,1)</f>
        <v>6.1</v>
      </c>
      <c r="I5" s="5" t="n">
        <v>1197</v>
      </c>
      <c r="J5" s="4" t="n">
        <v>0</v>
      </c>
      <c r="K5" s="4" t="n">
        <v>0</v>
      </c>
      <c r="L5" s="4" t="s">
        <v>17</v>
      </c>
    </row>
    <row r="6" customFormat="false" ht="15" hidden="false" customHeight="false" outlineLevel="0" collapsed="false">
      <c r="A6" s="4" t="n">
        <v>2</v>
      </c>
      <c r="B6" s="4" t="s">
        <v>18</v>
      </c>
      <c r="C6" s="4" t="s">
        <v>19</v>
      </c>
      <c r="D6" s="4" t="s">
        <v>16</v>
      </c>
      <c r="E6" s="5" t="n">
        <v>30</v>
      </c>
      <c r="F6" s="6" t="n">
        <v>46324.7340277778</v>
      </c>
      <c r="G6" s="7" t="n">
        <v>44825</v>
      </c>
      <c r="H6" s="8" t="n">
        <f aca="false">ROUND(($B$48-G6)/365.25,1)</f>
        <v>4.1</v>
      </c>
      <c r="I6" s="5" t="n">
        <v>23</v>
      </c>
      <c r="J6" s="4" t="n">
        <v>0</v>
      </c>
      <c r="K6" s="4" t="n">
        <v>0</v>
      </c>
      <c r="L6" s="4" t="s">
        <v>17</v>
      </c>
    </row>
    <row r="7" customFormat="false" ht="15" hidden="false" customHeight="false" outlineLevel="0" collapsed="false">
      <c r="A7" s="4" t="n">
        <v>3</v>
      </c>
      <c r="B7" s="4" t="s">
        <v>20</v>
      </c>
      <c r="C7" s="4" t="s">
        <v>21</v>
      </c>
      <c r="D7" s="4" t="s">
        <v>16</v>
      </c>
      <c r="E7" s="5" t="n">
        <v>50</v>
      </c>
      <c r="F7" s="6" t="n">
        <v>46324.7458333333</v>
      </c>
      <c r="G7" s="7" t="n">
        <v>45192</v>
      </c>
      <c r="H7" s="8" t="n">
        <f aca="false">ROUND(($B$48-G7)/365.25,1)</f>
        <v>3.1</v>
      </c>
      <c r="I7" s="5" t="n">
        <v>20</v>
      </c>
      <c r="J7" s="4" t="n">
        <v>0</v>
      </c>
      <c r="K7" s="4" t="n">
        <v>0</v>
      </c>
      <c r="L7" s="4" t="s">
        <v>17</v>
      </c>
    </row>
    <row r="8" customFormat="false" ht="15" hidden="false" customHeight="false" outlineLevel="0" collapsed="false">
      <c r="A8" s="9" t="n">
        <v>4</v>
      </c>
      <c r="B8" s="9" t="s">
        <v>22</v>
      </c>
      <c r="C8" s="9" t="s">
        <v>23</v>
      </c>
      <c r="D8" s="9" t="s">
        <v>16</v>
      </c>
      <c r="E8" s="10" t="n">
        <v>30</v>
      </c>
      <c r="F8" s="11" t="n">
        <v>46324.7486111111</v>
      </c>
      <c r="G8" s="12" t="n">
        <v>44826</v>
      </c>
      <c r="H8" s="13" t="n">
        <f aca="false">ROUND(($B$48-G8)/365.25,1)</f>
        <v>4.1</v>
      </c>
      <c r="I8" s="10" t="n">
        <v>21</v>
      </c>
      <c r="J8" s="9" t="n">
        <v>0</v>
      </c>
      <c r="K8" s="9" t="n">
        <v>1</v>
      </c>
      <c r="L8" s="9" t="s">
        <v>24</v>
      </c>
    </row>
    <row r="9" customFormat="false" ht="15" hidden="false" customHeight="false" outlineLevel="0" collapsed="false">
      <c r="A9" s="9" t="n">
        <v>5</v>
      </c>
      <c r="B9" s="9" t="s">
        <v>25</v>
      </c>
      <c r="C9" s="9" t="s">
        <v>26</v>
      </c>
      <c r="D9" s="9" t="s">
        <v>16</v>
      </c>
      <c r="E9" s="10" t="n">
        <v>50</v>
      </c>
      <c r="F9" s="11" t="n">
        <v>46324.75</v>
      </c>
      <c r="G9" s="12" t="n">
        <v>45560</v>
      </c>
      <c r="H9" s="13" t="n">
        <f aca="false">ROUND(($B$48-G9)/365.25,1)</f>
        <v>2.1</v>
      </c>
      <c r="I9" s="10" t="n">
        <v>28</v>
      </c>
      <c r="J9" s="9" t="n">
        <v>0</v>
      </c>
      <c r="K9" s="9" t="n">
        <v>1</v>
      </c>
      <c r="L9" s="9" t="s">
        <v>27</v>
      </c>
    </row>
    <row r="10" customFormat="false" ht="15" hidden="false" customHeight="false" outlineLevel="0" collapsed="false">
      <c r="A10" s="4" t="n">
        <v>6</v>
      </c>
      <c r="B10" s="4" t="s">
        <v>28</v>
      </c>
      <c r="C10" s="4" t="s">
        <v>29</v>
      </c>
      <c r="D10" s="4" t="s">
        <v>16</v>
      </c>
      <c r="E10" s="5" t="n">
        <v>11</v>
      </c>
      <c r="F10" s="6" t="n">
        <v>46324.7583333333</v>
      </c>
      <c r="G10" s="7" t="n">
        <v>45555</v>
      </c>
      <c r="H10" s="8" t="n">
        <f aca="false">ROUND(($B$48-G10)/365.25,1)</f>
        <v>2.1</v>
      </c>
      <c r="I10" s="5" t="n">
        <v>8</v>
      </c>
      <c r="J10" s="4" t="n">
        <v>0</v>
      </c>
      <c r="K10" s="4" t="n">
        <v>0</v>
      </c>
      <c r="L10" s="4" t="s">
        <v>17</v>
      </c>
    </row>
    <row r="11" customFormat="false" ht="15" hidden="false" customHeight="false" outlineLevel="0" collapsed="false">
      <c r="A11" s="4" t="n">
        <v>7</v>
      </c>
      <c r="B11" s="4" t="s">
        <v>30</v>
      </c>
      <c r="C11" s="4" t="s">
        <v>31</v>
      </c>
      <c r="D11" s="4" t="s">
        <v>16</v>
      </c>
      <c r="E11" s="5" t="n">
        <v>50</v>
      </c>
      <c r="F11" s="6" t="n">
        <v>46324.7645833333</v>
      </c>
      <c r="G11" s="7" t="n">
        <v>44464</v>
      </c>
      <c r="H11" s="8" t="n">
        <f aca="false">ROUND(($B$48-G11)/365.25,1)</f>
        <v>5.1</v>
      </c>
      <c r="I11" s="5" t="n">
        <v>1377</v>
      </c>
      <c r="J11" s="4" t="n">
        <v>0</v>
      </c>
      <c r="K11" s="4" t="n">
        <v>1</v>
      </c>
      <c r="L11" s="4" t="s">
        <v>17</v>
      </c>
    </row>
    <row r="12" customFormat="false" ht="15" hidden="false" customHeight="false" outlineLevel="0" collapsed="false">
      <c r="A12" s="4" t="n">
        <v>8</v>
      </c>
      <c r="B12" s="4" t="s">
        <v>32</v>
      </c>
      <c r="C12" s="4" t="s">
        <v>33</v>
      </c>
      <c r="D12" s="4" t="s">
        <v>16</v>
      </c>
      <c r="E12" s="5" t="n">
        <v>11</v>
      </c>
      <c r="F12" s="6" t="n">
        <v>46324.7652777778</v>
      </c>
      <c r="G12" s="7" t="n">
        <v>38250</v>
      </c>
      <c r="H12" s="8" t="n">
        <f aca="false">ROUND(($B$48-G12)/365.25,1)</f>
        <v>22.1</v>
      </c>
      <c r="I12" s="5" t="n">
        <v>1141</v>
      </c>
      <c r="J12" s="4" t="n">
        <v>0</v>
      </c>
      <c r="K12" s="4" t="n">
        <v>0</v>
      </c>
      <c r="L12" s="4" t="s">
        <v>17</v>
      </c>
    </row>
    <row r="13" customFormat="false" ht="15" hidden="false" customHeight="false" outlineLevel="0" collapsed="false">
      <c r="A13" s="4" t="n">
        <v>9</v>
      </c>
      <c r="B13" s="4" t="s">
        <v>34</v>
      </c>
      <c r="C13" s="4" t="s">
        <v>35</v>
      </c>
      <c r="D13" s="4" t="s">
        <v>16</v>
      </c>
      <c r="E13" s="5" t="n">
        <v>5</v>
      </c>
      <c r="F13" s="6" t="n">
        <v>46324.7652777778</v>
      </c>
      <c r="G13" s="7" t="n">
        <v>44093</v>
      </c>
      <c r="H13" s="8" t="n">
        <f aca="false">ROUND(($B$48-G13)/365.25,1)</f>
        <v>6.1</v>
      </c>
      <c r="I13" s="5" t="n">
        <v>1261</v>
      </c>
      <c r="J13" s="4" t="n">
        <v>0</v>
      </c>
      <c r="K13" s="4" t="n">
        <v>0</v>
      </c>
      <c r="L13" s="4" t="s">
        <v>17</v>
      </c>
    </row>
    <row r="14" customFormat="false" ht="15" hidden="false" customHeight="false" outlineLevel="0" collapsed="false">
      <c r="A14" s="4" t="n">
        <v>10</v>
      </c>
      <c r="B14" s="4" t="s">
        <v>36</v>
      </c>
      <c r="C14" s="4" t="s">
        <v>37</v>
      </c>
      <c r="D14" s="4" t="s">
        <v>16</v>
      </c>
      <c r="E14" s="5" t="n">
        <v>50</v>
      </c>
      <c r="F14" s="6" t="n">
        <v>46324.7819444445</v>
      </c>
      <c r="G14" s="7" t="n">
        <v>44462</v>
      </c>
      <c r="H14" s="8" t="n">
        <f aca="false">ROUND(($B$48-G14)/365.25,1)</f>
        <v>5.1</v>
      </c>
      <c r="I14" s="5" t="n">
        <v>1188</v>
      </c>
      <c r="J14" s="4" t="n">
        <v>0</v>
      </c>
      <c r="K14" s="4" t="n">
        <v>1</v>
      </c>
      <c r="L14" s="4" t="s">
        <v>38</v>
      </c>
    </row>
    <row r="15" customFormat="false" ht="15" hidden="false" customHeight="false" outlineLevel="0" collapsed="false">
      <c r="A15" s="4" t="n">
        <v>11</v>
      </c>
      <c r="B15" s="4" t="s">
        <v>39</v>
      </c>
      <c r="C15" s="4" t="s">
        <v>40</v>
      </c>
      <c r="D15" s="4" t="s">
        <v>16</v>
      </c>
      <c r="E15" s="5" t="n">
        <v>40</v>
      </c>
      <c r="F15" s="6" t="n">
        <v>46324.7847222222</v>
      </c>
      <c r="G15" s="7" t="n">
        <v>45191</v>
      </c>
      <c r="H15" s="8" t="n">
        <f aca="false">ROUND(($B$48-G15)/365.25,1)</f>
        <v>3.1</v>
      </c>
      <c r="I15" s="5" t="n">
        <v>18</v>
      </c>
      <c r="J15" s="4" t="n">
        <v>0</v>
      </c>
      <c r="K15" s="4" t="n">
        <v>0</v>
      </c>
      <c r="L15" s="4" t="s">
        <v>17</v>
      </c>
    </row>
    <row r="16" customFormat="false" ht="15" hidden="false" customHeight="false" outlineLevel="0" collapsed="false">
      <c r="A16" s="4" t="n">
        <v>12</v>
      </c>
      <c r="B16" s="4" t="s">
        <v>41</v>
      </c>
      <c r="C16" s="4" t="s">
        <v>42</v>
      </c>
      <c r="D16" s="4" t="s">
        <v>16</v>
      </c>
      <c r="E16" s="5" t="n">
        <v>40</v>
      </c>
      <c r="F16" s="6" t="n">
        <v>46324.7854166667</v>
      </c>
      <c r="G16" s="7" t="n">
        <v>38617</v>
      </c>
      <c r="H16" s="8" t="n">
        <f aca="false">ROUND(($B$48-G16)/365.25,1)</f>
        <v>21.1</v>
      </c>
      <c r="I16" s="5" t="n">
        <v>1159</v>
      </c>
      <c r="J16" s="4" t="n">
        <v>3</v>
      </c>
      <c r="K16" s="4" t="n">
        <v>0</v>
      </c>
      <c r="L16" s="4" t="s">
        <v>17</v>
      </c>
    </row>
    <row r="17" customFormat="false" ht="15" hidden="false" customHeight="false" outlineLevel="0" collapsed="false">
      <c r="A17" s="4" t="n">
        <v>13</v>
      </c>
      <c r="B17" s="4" t="s">
        <v>43</v>
      </c>
      <c r="C17" s="4" t="s">
        <v>44</v>
      </c>
      <c r="D17" s="4" t="s">
        <v>16</v>
      </c>
      <c r="E17" s="5" t="n">
        <v>50</v>
      </c>
      <c r="F17" s="6" t="n">
        <v>46324.7861111111</v>
      </c>
      <c r="G17" s="7" t="n">
        <v>43366</v>
      </c>
      <c r="H17" s="8" t="n">
        <f aca="false">ROUND(($B$48-G17)/365.25,1)</f>
        <v>8.1</v>
      </c>
      <c r="I17" s="5" t="n">
        <v>1030</v>
      </c>
      <c r="J17" s="4" t="n">
        <v>2</v>
      </c>
      <c r="K17" s="4" t="n">
        <v>0</v>
      </c>
      <c r="L17" s="4" t="s">
        <v>17</v>
      </c>
    </row>
    <row r="18" customFormat="false" ht="15" hidden="false" customHeight="false" outlineLevel="0" collapsed="false">
      <c r="A18" s="4" t="n">
        <v>14</v>
      </c>
      <c r="B18" s="4" t="s">
        <v>45</v>
      </c>
      <c r="C18" s="4" t="s">
        <v>46</v>
      </c>
      <c r="D18" s="4" t="s">
        <v>16</v>
      </c>
      <c r="E18" s="5" t="n">
        <v>50</v>
      </c>
      <c r="F18" s="6" t="n">
        <v>46324.8</v>
      </c>
      <c r="G18" s="7" t="n">
        <v>45560</v>
      </c>
      <c r="H18" s="8" t="n">
        <f aca="false">ROUND(($B$48-G18)/365.25,1)</f>
        <v>2.1</v>
      </c>
      <c r="I18" s="5" t="n">
        <v>48</v>
      </c>
      <c r="J18" s="4" t="n">
        <v>0</v>
      </c>
      <c r="K18" s="4" t="n">
        <v>1</v>
      </c>
      <c r="L18" s="4" t="s">
        <v>17</v>
      </c>
    </row>
    <row r="19" customFormat="false" ht="15" hidden="false" customHeight="false" outlineLevel="0" collapsed="false">
      <c r="A19" s="4" t="n">
        <v>15</v>
      </c>
      <c r="B19" s="4" t="s">
        <v>47</v>
      </c>
      <c r="C19" s="4" t="s">
        <v>48</v>
      </c>
      <c r="D19" s="4" t="s">
        <v>16</v>
      </c>
      <c r="E19" s="5" t="n">
        <v>30</v>
      </c>
      <c r="F19" s="6" t="n">
        <v>46324.8180555556</v>
      </c>
      <c r="G19" s="7" t="n">
        <v>45556</v>
      </c>
      <c r="H19" s="8" t="n">
        <f aca="false">ROUND(($B$48-G19)/365.25,1)</f>
        <v>2.1</v>
      </c>
      <c r="I19" s="5" t="n">
        <v>1218</v>
      </c>
      <c r="J19" s="4" t="n">
        <v>0</v>
      </c>
      <c r="K19" s="4" t="n">
        <v>1</v>
      </c>
      <c r="L19" s="4" t="s">
        <v>17</v>
      </c>
    </row>
    <row r="20" customFormat="false" ht="15" hidden="false" customHeight="false" outlineLevel="0" collapsed="false">
      <c r="A20" s="4" t="n">
        <v>16</v>
      </c>
      <c r="B20" s="4" t="s">
        <v>49</v>
      </c>
      <c r="C20" s="4" t="s">
        <v>50</v>
      </c>
      <c r="D20" s="4" t="s">
        <v>16</v>
      </c>
      <c r="E20" s="5" t="n">
        <v>40</v>
      </c>
      <c r="F20" s="6" t="n">
        <v>46324.81875</v>
      </c>
      <c r="G20" s="7" t="n">
        <v>43000</v>
      </c>
      <c r="H20" s="8" t="n">
        <f aca="false">ROUND(($B$48-G20)/365.25,1)</f>
        <v>9.1</v>
      </c>
      <c r="I20" s="5" t="n">
        <v>1187</v>
      </c>
      <c r="J20" s="4" t="n">
        <v>16</v>
      </c>
      <c r="K20" s="4" t="n">
        <v>0</v>
      </c>
      <c r="L20" s="4" t="s">
        <v>17</v>
      </c>
    </row>
    <row r="21" customFormat="false" ht="15" hidden="false" customHeight="false" outlineLevel="0" collapsed="false">
      <c r="A21" s="4" t="n">
        <v>17</v>
      </c>
      <c r="B21" s="4" t="s">
        <v>51</v>
      </c>
      <c r="C21" s="4" t="s">
        <v>52</v>
      </c>
      <c r="D21" s="4" t="s">
        <v>16</v>
      </c>
      <c r="E21" s="5" t="n">
        <v>11</v>
      </c>
      <c r="F21" s="6" t="n">
        <v>46324.8194444445</v>
      </c>
      <c r="G21" s="7" t="n">
        <v>45189</v>
      </c>
      <c r="H21" s="8" t="n">
        <f aca="false">ROUND(($B$48-G21)/365.25,1)</f>
        <v>3.1</v>
      </c>
      <c r="I21" s="5" t="n">
        <v>1204</v>
      </c>
      <c r="J21" s="4" t="n">
        <v>0</v>
      </c>
      <c r="K21" s="4" t="n">
        <v>0</v>
      </c>
      <c r="L21" s="4" t="s">
        <v>17</v>
      </c>
    </row>
    <row r="22" customFormat="false" ht="15" hidden="false" customHeight="false" outlineLevel="0" collapsed="false">
      <c r="A22" s="4" t="n">
        <v>18</v>
      </c>
      <c r="B22" s="4" t="s">
        <v>53</v>
      </c>
      <c r="C22" s="4" t="s">
        <v>54</v>
      </c>
      <c r="D22" s="4" t="s">
        <v>16</v>
      </c>
      <c r="E22" s="5" t="n">
        <v>30</v>
      </c>
      <c r="F22" s="6" t="n">
        <v>46324.8194444445</v>
      </c>
      <c r="G22" s="7" t="n">
        <v>40862</v>
      </c>
      <c r="H22" s="8" t="n">
        <f aca="false">ROUND(($B$48-G22)/365.25,1)</f>
        <v>15</v>
      </c>
      <c r="I22" s="5" t="n">
        <v>1270</v>
      </c>
      <c r="J22" s="4" t="n">
        <v>1</v>
      </c>
      <c r="K22" s="4" t="n">
        <v>1</v>
      </c>
      <c r="L22" s="4" t="s">
        <v>55</v>
      </c>
    </row>
    <row r="23" customFormat="false" ht="15" hidden="false" customHeight="false" outlineLevel="0" collapsed="false">
      <c r="A23" s="4" t="n">
        <v>19</v>
      </c>
      <c r="B23" s="4" t="s">
        <v>56</v>
      </c>
      <c r="C23" s="4" t="s">
        <v>57</v>
      </c>
      <c r="D23" s="4" t="s">
        <v>16</v>
      </c>
      <c r="E23" s="5" t="n">
        <v>11</v>
      </c>
      <c r="F23" s="6" t="n">
        <v>46324.825</v>
      </c>
      <c r="G23" s="7" t="n">
        <v>43730</v>
      </c>
      <c r="H23" s="8" t="n">
        <f aca="false">ROUND(($B$48-G23)/365.25,1)</f>
        <v>7.1</v>
      </c>
      <c r="I23" s="5" t="n">
        <v>629</v>
      </c>
      <c r="J23" s="4" t="n">
        <v>0</v>
      </c>
      <c r="K23" s="4" t="n">
        <v>0</v>
      </c>
      <c r="L23" s="4" t="s">
        <v>17</v>
      </c>
    </row>
    <row r="24" customFormat="false" ht="15" hidden="false" customHeight="false" outlineLevel="0" collapsed="false">
      <c r="A24" s="9" t="n">
        <v>20</v>
      </c>
      <c r="B24" s="9" t="s">
        <v>58</v>
      </c>
      <c r="C24" s="9" t="s">
        <v>59</v>
      </c>
      <c r="D24" s="9" t="s">
        <v>16</v>
      </c>
      <c r="E24" s="10" t="n">
        <v>30</v>
      </c>
      <c r="F24" s="11" t="n">
        <v>46324.8291666667</v>
      </c>
      <c r="G24" s="12" t="n">
        <v>44186</v>
      </c>
      <c r="H24" s="13" t="n">
        <f aca="false">ROUND(($B$48-G24)/365.25,1)</f>
        <v>5.9</v>
      </c>
      <c r="I24" s="10" t="n">
        <v>1160</v>
      </c>
      <c r="J24" s="9" t="n">
        <v>14</v>
      </c>
      <c r="K24" s="9" t="n">
        <v>0</v>
      </c>
      <c r="L24" s="9" t="s">
        <v>60</v>
      </c>
    </row>
    <row r="25" customFormat="false" ht="15" hidden="false" customHeight="false" outlineLevel="0" collapsed="false">
      <c r="A25" s="4" t="n">
        <v>21</v>
      </c>
      <c r="B25" s="4" t="s">
        <v>61</v>
      </c>
      <c r="C25" s="4" t="s">
        <v>62</v>
      </c>
      <c r="D25" s="4" t="s">
        <v>16</v>
      </c>
      <c r="E25" s="5" t="n">
        <v>50</v>
      </c>
      <c r="F25" s="6" t="n">
        <v>46324.8361111111</v>
      </c>
      <c r="G25" s="7" t="n">
        <v>44827</v>
      </c>
      <c r="H25" s="8" t="n">
        <f aca="false">ROUND(($B$48-G25)/365.25,1)</f>
        <v>4.1</v>
      </c>
      <c r="I25" s="5" t="n">
        <v>16</v>
      </c>
      <c r="J25" s="4" t="n">
        <v>0</v>
      </c>
      <c r="K25" s="4" t="n">
        <v>0</v>
      </c>
      <c r="L25" s="4" t="s">
        <v>17</v>
      </c>
    </row>
    <row r="26" customFormat="false" ht="15" hidden="false" customHeight="false" outlineLevel="0" collapsed="false">
      <c r="A26" s="9" t="n">
        <v>22</v>
      </c>
      <c r="B26" s="9" t="s">
        <v>63</v>
      </c>
      <c r="C26" s="9" t="s">
        <v>64</v>
      </c>
      <c r="D26" s="9" t="s">
        <v>16</v>
      </c>
      <c r="E26" s="10" t="n">
        <v>30</v>
      </c>
      <c r="F26" s="11" t="n">
        <v>46324.8430555556</v>
      </c>
      <c r="G26" s="12" t="n">
        <v>44028</v>
      </c>
      <c r="H26" s="13" t="n">
        <f aca="false">ROUND(($B$48-G26)/365.25,1)</f>
        <v>6.3</v>
      </c>
      <c r="I26" s="10" t="n">
        <v>1199</v>
      </c>
      <c r="J26" s="9" t="n">
        <v>0</v>
      </c>
      <c r="K26" s="9" t="n">
        <v>0</v>
      </c>
      <c r="L26" s="9" t="s">
        <v>65</v>
      </c>
    </row>
    <row r="27" customFormat="false" ht="15" hidden="false" customHeight="false" outlineLevel="0" collapsed="false">
      <c r="A27" s="4" t="n">
        <v>23</v>
      </c>
      <c r="B27" s="4" t="s">
        <v>66</v>
      </c>
      <c r="C27" s="4" t="s">
        <v>67</v>
      </c>
      <c r="D27" s="4" t="s">
        <v>16</v>
      </c>
      <c r="E27" s="5" t="n">
        <v>40</v>
      </c>
      <c r="F27" s="6" t="n">
        <v>46324.85</v>
      </c>
      <c r="G27" s="7" t="n">
        <v>44096</v>
      </c>
      <c r="H27" s="8" t="n">
        <f aca="false">ROUND(($B$48-G27)/365.25,1)</f>
        <v>6.1</v>
      </c>
      <c r="I27" s="5" t="n">
        <v>1069</v>
      </c>
      <c r="J27" s="4" t="n">
        <v>0</v>
      </c>
      <c r="K27" s="4" t="n">
        <v>0</v>
      </c>
      <c r="L27" s="4" t="s">
        <v>17</v>
      </c>
    </row>
    <row r="28" customFormat="false" ht="15" hidden="false" customHeight="false" outlineLevel="0" collapsed="false">
      <c r="A28" s="4" t="n">
        <v>24</v>
      </c>
      <c r="B28" s="4" t="s">
        <v>68</v>
      </c>
      <c r="C28" s="4" t="s">
        <v>69</v>
      </c>
      <c r="D28" s="4" t="s">
        <v>16</v>
      </c>
      <c r="E28" s="5" t="n">
        <v>50</v>
      </c>
      <c r="F28" s="6" t="n">
        <v>46324.8631944444</v>
      </c>
      <c r="G28" s="7" t="n">
        <v>44463</v>
      </c>
      <c r="H28" s="8" t="n">
        <f aca="false">ROUND(($B$48-G28)/365.25,1)</f>
        <v>5.1</v>
      </c>
      <c r="I28" s="5" t="n">
        <v>603</v>
      </c>
      <c r="J28" s="4" t="n">
        <v>0</v>
      </c>
      <c r="K28" s="4" t="n">
        <v>0</v>
      </c>
      <c r="L28" s="4" t="s">
        <v>17</v>
      </c>
    </row>
    <row r="29" customFormat="false" ht="15" hidden="false" customHeight="false" outlineLevel="0" collapsed="false">
      <c r="A29" s="9" t="n">
        <v>25</v>
      </c>
      <c r="B29" s="9" t="s">
        <v>70</v>
      </c>
      <c r="C29" s="9" t="s">
        <v>71</v>
      </c>
      <c r="D29" s="9" t="s">
        <v>16</v>
      </c>
      <c r="E29" s="10" t="n">
        <v>50</v>
      </c>
      <c r="F29" s="11" t="n">
        <v>46324.8638888889</v>
      </c>
      <c r="G29" s="12" t="n">
        <v>45558</v>
      </c>
      <c r="H29" s="13" t="n">
        <f aca="false">ROUND(($B$48-G29)/365.25,1)</f>
        <v>2.1</v>
      </c>
      <c r="I29" s="10" t="n">
        <v>22</v>
      </c>
      <c r="J29" s="9" t="n">
        <v>0</v>
      </c>
      <c r="K29" s="9" t="n">
        <v>0</v>
      </c>
      <c r="L29" s="9" t="s">
        <v>72</v>
      </c>
    </row>
    <row r="30" customFormat="false" ht="15" hidden="false" customHeight="false" outlineLevel="0" collapsed="false">
      <c r="A30" s="4" t="n">
        <v>26</v>
      </c>
      <c r="B30" s="4" t="s">
        <v>73</v>
      </c>
      <c r="C30" s="4" t="s">
        <v>74</v>
      </c>
      <c r="D30" s="4" t="s">
        <v>16</v>
      </c>
      <c r="E30" s="5" t="n">
        <v>50</v>
      </c>
      <c r="F30" s="6" t="n">
        <v>46324.8645833333</v>
      </c>
      <c r="G30" s="7" t="n">
        <v>43734</v>
      </c>
      <c r="H30" s="8" t="n">
        <f aca="false">ROUND(($B$48-G30)/365.25,1)</f>
        <v>7.1</v>
      </c>
      <c r="I30" s="5" t="n">
        <v>1119</v>
      </c>
      <c r="J30" s="4" t="n">
        <v>0</v>
      </c>
      <c r="K30" s="4" t="n">
        <v>0</v>
      </c>
      <c r="L30" s="4" t="s">
        <v>17</v>
      </c>
    </row>
    <row r="31" customFormat="false" ht="15" hidden="false" customHeight="false" outlineLevel="0" collapsed="false">
      <c r="A31" s="9" t="n">
        <v>27</v>
      </c>
      <c r="B31" s="9" t="s">
        <v>75</v>
      </c>
      <c r="C31" s="9" t="s">
        <v>76</v>
      </c>
      <c r="D31" s="9" t="s">
        <v>16</v>
      </c>
      <c r="E31" s="10" t="n">
        <v>30</v>
      </c>
      <c r="F31" s="11" t="n">
        <v>46324.8722222222</v>
      </c>
      <c r="G31" s="12" t="n">
        <v>45190</v>
      </c>
      <c r="H31" s="13" t="n">
        <f aca="false">ROUND(($B$48-G31)/365.25,1)</f>
        <v>3.1</v>
      </c>
      <c r="I31" s="10" t="n">
        <v>1292</v>
      </c>
      <c r="J31" s="9" t="n">
        <v>21</v>
      </c>
      <c r="K31" s="9" t="n">
        <v>0</v>
      </c>
      <c r="L31" s="9" t="s">
        <v>77</v>
      </c>
    </row>
    <row r="32" customFormat="false" ht="15" hidden="false" customHeight="false" outlineLevel="0" collapsed="false">
      <c r="A32" s="4" t="n">
        <v>28</v>
      </c>
      <c r="B32" s="4" t="s">
        <v>78</v>
      </c>
      <c r="C32" s="4" t="s">
        <v>79</v>
      </c>
      <c r="D32" s="4" t="s">
        <v>16</v>
      </c>
      <c r="E32" s="5" t="n">
        <v>5</v>
      </c>
      <c r="F32" s="6" t="n">
        <v>46324.8736111111</v>
      </c>
      <c r="G32" s="7" t="n">
        <v>44093</v>
      </c>
      <c r="H32" s="8" t="n">
        <f aca="false">ROUND(($B$48-G32)/365.25,1)</f>
        <v>6.1</v>
      </c>
      <c r="I32" s="5" t="n">
        <v>1156</v>
      </c>
      <c r="J32" s="4" t="n">
        <v>0</v>
      </c>
      <c r="K32" s="4" t="n">
        <v>0</v>
      </c>
      <c r="L32" s="4" t="s">
        <v>17</v>
      </c>
    </row>
    <row r="33" customFormat="false" ht="15" hidden="false" customHeight="false" outlineLevel="0" collapsed="false">
      <c r="A33" s="4" t="n">
        <v>29</v>
      </c>
      <c r="B33" s="4" t="s">
        <v>80</v>
      </c>
      <c r="C33" s="4" t="s">
        <v>81</v>
      </c>
      <c r="D33" s="4" t="s">
        <v>16</v>
      </c>
      <c r="E33" s="5" t="n">
        <v>11</v>
      </c>
      <c r="F33" s="6" t="n">
        <v>46324.8763888889</v>
      </c>
      <c r="G33" s="7" t="n">
        <v>45189</v>
      </c>
      <c r="H33" s="8" t="n">
        <f aca="false">ROUND(($B$48-G33)/365.25,1)</f>
        <v>3.1</v>
      </c>
      <c r="I33" s="5" t="n">
        <v>51</v>
      </c>
      <c r="J33" s="4" t="n">
        <v>0</v>
      </c>
      <c r="K33" s="4" t="n">
        <v>0</v>
      </c>
      <c r="L33" s="4" t="s">
        <v>17</v>
      </c>
    </row>
    <row r="34" customFormat="false" ht="15" hidden="false" customHeight="false" outlineLevel="0" collapsed="false">
      <c r="A34" s="4" t="n">
        <v>30</v>
      </c>
      <c r="B34" s="4" t="s">
        <v>82</v>
      </c>
      <c r="C34" s="4" t="s">
        <v>83</v>
      </c>
      <c r="D34" s="4" t="s">
        <v>16</v>
      </c>
      <c r="E34" s="5" t="n">
        <v>30</v>
      </c>
      <c r="F34" s="6" t="n">
        <v>46324.8784722222</v>
      </c>
      <c r="G34" s="7" t="n">
        <v>45556</v>
      </c>
      <c r="H34" s="8" t="n">
        <f aca="false">ROUND(($B$48-G34)/365.25,1)</f>
        <v>2.1</v>
      </c>
      <c r="I34" s="5" t="n">
        <v>23</v>
      </c>
      <c r="J34" s="4" t="n">
        <v>15</v>
      </c>
      <c r="K34" s="4" t="n">
        <v>1</v>
      </c>
      <c r="L34" s="4" t="s">
        <v>17</v>
      </c>
    </row>
    <row r="35" customFormat="false" ht="15" hidden="false" customHeight="false" outlineLevel="0" collapsed="false">
      <c r="A35" s="9" t="n">
        <v>31</v>
      </c>
      <c r="B35" s="9" t="s">
        <v>84</v>
      </c>
      <c r="C35" s="9" t="s">
        <v>85</v>
      </c>
      <c r="D35" s="9" t="s">
        <v>16</v>
      </c>
      <c r="E35" s="10" t="n">
        <v>11</v>
      </c>
      <c r="F35" s="11" t="n">
        <v>46324.8819444445</v>
      </c>
      <c r="G35" s="12" t="n">
        <v>44824</v>
      </c>
      <c r="H35" s="13" t="n">
        <f aca="false">ROUND(($B$48-G35)/365.25,1)</f>
        <v>4.1</v>
      </c>
      <c r="I35" s="10" t="n">
        <v>23</v>
      </c>
      <c r="J35" s="9" t="n">
        <v>0</v>
      </c>
      <c r="K35" s="9" t="n">
        <v>0</v>
      </c>
      <c r="L35" s="9" t="s">
        <v>86</v>
      </c>
    </row>
    <row r="36" customFormat="false" ht="15" hidden="false" customHeight="false" outlineLevel="0" collapsed="false">
      <c r="A36" s="9" t="n">
        <v>32</v>
      </c>
      <c r="B36" s="9" t="s">
        <v>87</v>
      </c>
      <c r="C36" s="9" t="s">
        <v>88</v>
      </c>
      <c r="D36" s="9" t="s">
        <v>16</v>
      </c>
      <c r="E36" s="10" t="n">
        <v>30</v>
      </c>
      <c r="F36" s="11" t="n">
        <v>46324.8833333333</v>
      </c>
      <c r="G36" s="12" t="n">
        <v>45190</v>
      </c>
      <c r="H36" s="13" t="n">
        <f aca="false">ROUND(($B$48-G36)/365.25,1)</f>
        <v>3.1</v>
      </c>
      <c r="I36" s="10" t="n">
        <v>906</v>
      </c>
      <c r="J36" s="9" t="n">
        <v>0</v>
      </c>
      <c r="K36" s="9" t="n">
        <v>0</v>
      </c>
      <c r="L36" s="9" t="s">
        <v>89</v>
      </c>
    </row>
    <row r="37" customFormat="false" ht="15" hidden="false" customHeight="false" outlineLevel="0" collapsed="false">
      <c r="A37" s="9" t="n">
        <v>33</v>
      </c>
      <c r="B37" s="9" t="s">
        <v>90</v>
      </c>
      <c r="C37" s="9" t="s">
        <v>91</v>
      </c>
      <c r="D37" s="9" t="s">
        <v>16</v>
      </c>
      <c r="E37" s="10" t="n">
        <v>5</v>
      </c>
      <c r="F37" s="11" t="n">
        <v>46324.8861111111</v>
      </c>
      <c r="G37" s="12" t="n">
        <v>45554</v>
      </c>
      <c r="H37" s="13" t="n">
        <f aca="false">ROUND(($B$48-G37)/365.25,1)</f>
        <v>2.1</v>
      </c>
      <c r="I37" s="10" t="n">
        <v>48</v>
      </c>
      <c r="J37" s="9" t="n">
        <v>0</v>
      </c>
      <c r="K37" s="9" t="n">
        <v>0</v>
      </c>
      <c r="L37" s="9" t="s">
        <v>92</v>
      </c>
    </row>
    <row r="38" customFormat="false" ht="15" hidden="false" customHeight="false" outlineLevel="0" collapsed="false">
      <c r="A38" s="9" t="n">
        <v>34</v>
      </c>
      <c r="B38" s="9" t="s">
        <v>93</v>
      </c>
      <c r="C38" s="9" t="s">
        <v>94</v>
      </c>
      <c r="D38" s="9" t="s">
        <v>16</v>
      </c>
      <c r="E38" s="10" t="n">
        <v>40</v>
      </c>
      <c r="F38" s="11" t="n">
        <v>46324.8888888889</v>
      </c>
      <c r="G38" s="12" t="n">
        <v>42635</v>
      </c>
      <c r="H38" s="13" t="n">
        <f aca="false">ROUND(($B$48-G38)/365.25,1)</f>
        <v>10.1</v>
      </c>
      <c r="I38" s="10" t="n">
        <v>751</v>
      </c>
      <c r="J38" s="9" t="n">
        <v>0</v>
      </c>
      <c r="K38" s="9" t="n">
        <v>0</v>
      </c>
      <c r="L38" s="9" t="s">
        <v>95</v>
      </c>
    </row>
    <row r="39" customFormat="false" ht="15" hidden="false" customHeight="false" outlineLevel="0" collapsed="false">
      <c r="A39" s="4" t="n">
        <v>35</v>
      </c>
      <c r="B39" s="4" t="s">
        <v>96</v>
      </c>
      <c r="C39" s="4" t="s">
        <v>97</v>
      </c>
      <c r="D39" s="4" t="s">
        <v>16</v>
      </c>
      <c r="E39" s="5" t="n">
        <v>5</v>
      </c>
      <c r="F39" s="6" t="n">
        <v>46324.8930555556</v>
      </c>
      <c r="G39" s="7" t="n">
        <v>45554</v>
      </c>
      <c r="H39" s="8" t="n">
        <f aca="false">ROUND(($B$48-G39)/365.25,1)</f>
        <v>2.1</v>
      </c>
      <c r="I39" s="5" t="n">
        <v>25</v>
      </c>
      <c r="J39" s="4" t="n">
        <v>0</v>
      </c>
      <c r="K39" s="4" t="n">
        <v>1</v>
      </c>
      <c r="L39" s="4" t="s">
        <v>17</v>
      </c>
    </row>
    <row r="40" customFormat="false" ht="15" hidden="false" customHeight="false" outlineLevel="0" collapsed="false">
      <c r="A40" s="4" t="n">
        <v>36</v>
      </c>
      <c r="B40" s="4" t="s">
        <v>98</v>
      </c>
      <c r="C40" s="4" t="s">
        <v>99</v>
      </c>
      <c r="D40" s="4" t="s">
        <v>16</v>
      </c>
      <c r="E40" s="5" t="n">
        <v>5</v>
      </c>
      <c r="F40" s="6" t="n">
        <v>46324.9055555556</v>
      </c>
      <c r="G40" s="7" t="n">
        <v>45554</v>
      </c>
      <c r="H40" s="8" t="n">
        <f aca="false">ROUND(($B$48-G40)/365.25,1)</f>
        <v>2.1</v>
      </c>
      <c r="I40" s="5" t="n">
        <v>41</v>
      </c>
      <c r="J40" s="4" t="n">
        <v>0</v>
      </c>
      <c r="K40" s="4" t="n">
        <v>0</v>
      </c>
      <c r="L40" s="4" t="s">
        <v>17</v>
      </c>
    </row>
    <row r="41" customFormat="false" ht="15" hidden="false" customHeight="false" outlineLevel="0" collapsed="false">
      <c r="A41" s="4" t="n">
        <v>37</v>
      </c>
      <c r="B41" s="4" t="s">
        <v>100</v>
      </c>
      <c r="C41" s="4" t="s">
        <v>101</v>
      </c>
      <c r="D41" s="4" t="s">
        <v>16</v>
      </c>
      <c r="E41" s="5" t="n">
        <v>50</v>
      </c>
      <c r="F41" s="6" t="n">
        <v>46324.9083333333</v>
      </c>
      <c r="G41" s="7" t="n">
        <v>45558</v>
      </c>
      <c r="H41" s="8" t="n">
        <f aca="false">ROUND(($B$48-G41)/365.25,1)</f>
        <v>2.1</v>
      </c>
      <c r="I41" s="5" t="n">
        <v>26</v>
      </c>
      <c r="J41" s="4" t="n">
        <v>0</v>
      </c>
      <c r="K41" s="4" t="n">
        <v>0</v>
      </c>
      <c r="L41" s="4" t="s">
        <v>17</v>
      </c>
    </row>
    <row r="42" customFormat="false" ht="15" hidden="false" customHeight="false" outlineLevel="0" collapsed="false">
      <c r="A42" s="4" t="n">
        <v>38</v>
      </c>
      <c r="B42" s="4" t="s">
        <v>102</v>
      </c>
      <c r="C42" s="4" t="s">
        <v>103</v>
      </c>
      <c r="D42" s="4" t="s">
        <v>16</v>
      </c>
      <c r="E42" s="5" t="n">
        <v>11</v>
      </c>
      <c r="F42" s="6" t="n">
        <v>46324.9090277778</v>
      </c>
      <c r="G42" s="7" t="n">
        <v>41172</v>
      </c>
      <c r="H42" s="8" t="n">
        <f aca="false">ROUND(($B$48-G42)/365.25,1)</f>
        <v>14.1</v>
      </c>
      <c r="I42" s="5" t="n">
        <v>1255</v>
      </c>
      <c r="J42" s="4" t="n">
        <v>28</v>
      </c>
      <c r="K42" s="4" t="n">
        <v>0</v>
      </c>
      <c r="L42" s="4" t="s">
        <v>17</v>
      </c>
    </row>
    <row r="43" customFormat="false" ht="15" hidden="false" customHeight="false" outlineLevel="0" collapsed="false">
      <c r="A43" s="4" t="n">
        <v>39</v>
      </c>
      <c r="B43" s="4" t="s">
        <v>104</v>
      </c>
      <c r="C43" s="4" t="s">
        <v>105</v>
      </c>
      <c r="D43" s="4" t="s">
        <v>16</v>
      </c>
      <c r="E43" s="5" t="n">
        <v>5</v>
      </c>
      <c r="F43" s="6" t="n">
        <v>46324.9194444444</v>
      </c>
      <c r="G43" s="7" t="n">
        <v>45188</v>
      </c>
      <c r="H43" s="8" t="n">
        <f aca="false">ROUND(($B$48-G43)/365.25,1)</f>
        <v>3.1</v>
      </c>
      <c r="I43" s="5" t="n">
        <v>32</v>
      </c>
      <c r="J43" s="4" t="n">
        <v>12</v>
      </c>
      <c r="K43" s="4" t="n">
        <v>0</v>
      </c>
      <c r="L43" s="4" t="s">
        <v>17</v>
      </c>
    </row>
    <row r="44" customFormat="false" ht="15" hidden="false" customHeight="false" outlineLevel="0" collapsed="false">
      <c r="A44" s="4" t="n">
        <v>40</v>
      </c>
      <c r="B44" s="4" t="s">
        <v>106</v>
      </c>
      <c r="C44" s="4" t="s">
        <v>107</v>
      </c>
      <c r="D44" s="4" t="s">
        <v>16</v>
      </c>
      <c r="E44" s="5" t="n">
        <v>40</v>
      </c>
      <c r="F44" s="6" t="n">
        <v>46324.9236111111</v>
      </c>
      <c r="G44" s="7" t="n">
        <v>44461</v>
      </c>
      <c r="H44" s="8" t="n">
        <f aca="false">ROUND(($B$48-G44)/365.25,1)</f>
        <v>5.1</v>
      </c>
      <c r="I44" s="5" t="n">
        <v>873</v>
      </c>
      <c r="J44" s="4" t="n">
        <v>0</v>
      </c>
      <c r="K44" s="4" t="n">
        <v>0</v>
      </c>
      <c r="L44" s="4" t="s">
        <v>17</v>
      </c>
    </row>
    <row r="45" customFormat="false" ht="15" hidden="false" customHeight="false" outlineLevel="0" collapsed="false">
      <c r="A45" s="4" t="n">
        <v>41</v>
      </c>
      <c r="B45" s="4" t="s">
        <v>108</v>
      </c>
      <c r="C45" s="4" t="s">
        <v>109</v>
      </c>
      <c r="D45" s="4" t="s">
        <v>16</v>
      </c>
      <c r="E45" s="5" t="n">
        <v>50</v>
      </c>
      <c r="F45" s="6" t="n">
        <v>46324.9256944444</v>
      </c>
      <c r="G45" s="7" t="n">
        <v>44097</v>
      </c>
      <c r="H45" s="8" t="n">
        <f aca="false">ROUND(($B$48-G45)/365.25,1)</f>
        <v>6.1</v>
      </c>
      <c r="I45" s="5" t="n">
        <v>835</v>
      </c>
      <c r="J45" s="4" t="n">
        <v>0</v>
      </c>
      <c r="K45" s="4" t="n">
        <v>0</v>
      </c>
      <c r="L45" s="4" t="s">
        <v>17</v>
      </c>
    </row>
    <row r="46" customFormat="false" ht="15" hidden="false" customHeight="false" outlineLevel="0" collapsed="false">
      <c r="D46" s="14" t="s">
        <v>110</v>
      </c>
      <c r="E46" s="15" t="n">
        <f aca="false">SUM(E5:E45)</f>
        <v>1267</v>
      </c>
    </row>
    <row r="48" customFormat="false" ht="15" hidden="false" customHeight="false" outlineLevel="0" collapsed="false">
      <c r="A48" s="14" t="s">
        <v>111</v>
      </c>
      <c r="B48" s="16" t="n">
        <v>46324</v>
      </c>
    </row>
    <row r="49" customFormat="false" ht="15" hidden="false" customHeight="false" outlineLevel="0" collapsed="false">
      <c r="A49" s="17" t="s">
        <v>112</v>
      </c>
    </row>
    <row r="50" customFormat="false" ht="15" hidden="false" customHeight="false" outlineLevel="0" collapsed="false">
      <c r="A50" s="17" t="s">
        <v>113</v>
      </c>
    </row>
    <row r="51" customFormat="false" ht="15" hidden="false" customHeight="false" outlineLevel="0" collapsed="false">
      <c r="A51" s="17" t="s">
        <v>114</v>
      </c>
    </row>
  </sheetData>
  <autoFilter ref="A4:L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2026-10-29T07:28:55Z</dcterms:created>
  <dc:creator>openpyxl</dc:creator>
  <dc:description/>
  <dc:language>en-US</dc:language>
  <cp:lastModifiedBy/>
  <dcterms:modified xsi:type="dcterms:W3CDTF">2026-10-29T07:28:55Z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