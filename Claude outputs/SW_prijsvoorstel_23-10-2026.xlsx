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 categorie" sheetId="1" state="visible" r:id="rId3"/>
    <sheet name="Per product" sheetId="2" state="visible" r:id="rId4"/>
  </sheets>
  <definedNames>
    <definedName function="false" hidden="true" localSheetId="1" name="_xlnm._FilterDatabase" vbProcedure="false">'Per product'!$A$1:$K$400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<sst xmlns="http://schemas.openxmlformats.org/spreadsheetml/2006/main" count="1754" uniqueCount="888">
  <si>
    <t xml:space="preserve">Shapes Wardrobe — prijzen per categorie (A$) en voorstel verlaging — 23-10-2026</t>
  </si>
  <si>
    <t xml:space="preserve">Bron: products_export_1.csv (399 actieve producten). Voorstel: vaste basisprijs per categorie, producten in de top van hun categorie +A$5; compare-at houdt per product het huidige kortingspercentage. Hoeden en portemonnees ongewijzigd.</t>
  </si>
  <si>
    <t xml:space="preserve">Producttype</t>
  </si>
  <si>
    <t xml:space="preserve">Geslacht</t>
  </si>
  <si>
    <t xml:space="preserve">Categorie</t>
  </si>
  <si>
    <t xml:space="preserve">Aantal</t>
  </si>
  <si>
    <t xml:space="preserve">Huidig min</t>
  </si>
  <si>
    <t xml:space="preserve">Huidig gem.</t>
  </si>
  <si>
    <t xml:space="preserve">Huidig max</t>
  </si>
  <si>
    <t xml:space="preserve">Compare-at gem.</t>
  </si>
  <si>
    <t xml:space="preserve">Korting gem.</t>
  </si>
  <si>
    <t xml:space="preserve">Voorstel basis</t>
  </si>
  <si>
    <t xml:space="preserve">Voorstel gem.</t>
  </si>
  <si>
    <t xml:space="preserve">Verschil gem.</t>
  </si>
  <si>
    <t xml:space="preserve">Verschil %</t>
  </si>
  <si>
    <t xml:space="preserve">AS - Womens - Bag</t>
  </si>
  <si>
    <t xml:space="preserve">Dames</t>
  </si>
  <si>
    <t xml:space="preserve">Bag</t>
  </si>
  <si>
    <t xml:space="preserve">AS - Womens - Blouse</t>
  </si>
  <si>
    <t xml:space="preserve">Blouse</t>
  </si>
  <si>
    <t xml:space="preserve">AS - Womens - Casual Set</t>
  </si>
  <si>
    <t xml:space="preserve">Casual Set</t>
  </si>
  <si>
    <t xml:space="preserve">SS - Womens - Casual Set</t>
  </si>
  <si>
    <t xml:space="preserve">AS - Womens - Dress</t>
  </si>
  <si>
    <t xml:space="preserve">Dress</t>
  </si>
  <si>
    <t xml:space="preserve">SS - Womens - Dress</t>
  </si>
  <si>
    <t xml:space="preserve">AS - Womens - Flared Pants</t>
  </si>
  <si>
    <t xml:space="preserve">Flared Pants</t>
  </si>
  <si>
    <t xml:space="preserve">SS - Womens - Hat</t>
  </si>
  <si>
    <t xml:space="preserve">Hat</t>
  </si>
  <si>
    <t xml:space="preserve">ongewijzigd</t>
  </si>
  <si>
    <t xml:space="preserve">AS - Womens - Heels</t>
  </si>
  <si>
    <t xml:space="preserve">Heels</t>
  </si>
  <si>
    <t xml:space="preserve">AS - Womens - Jeans</t>
  </si>
  <si>
    <t xml:space="preserve">Jeans</t>
  </si>
  <si>
    <t xml:space="preserve">AS - Womens - Lingerie</t>
  </si>
  <si>
    <t xml:space="preserve">Lingerie</t>
  </si>
  <si>
    <t xml:space="preserve">AS - Womens - Loungewear Set</t>
  </si>
  <si>
    <t xml:space="preserve">Loungewear Set</t>
  </si>
  <si>
    <t xml:space="preserve">SS - Womens - Sandals</t>
  </si>
  <si>
    <t xml:space="preserve">Sandals</t>
  </si>
  <si>
    <t xml:space="preserve">SS - Womens - Shorts</t>
  </si>
  <si>
    <t xml:space="preserve">Shorts</t>
  </si>
  <si>
    <t xml:space="preserve">AS - Womens - Skirt</t>
  </si>
  <si>
    <t xml:space="preserve">Skirt</t>
  </si>
  <si>
    <t xml:space="preserve">AS - Womens - Sneakers</t>
  </si>
  <si>
    <t xml:space="preserve">Sneakers</t>
  </si>
  <si>
    <t xml:space="preserve">SS - Womens - Sports Shorts</t>
  </si>
  <si>
    <t xml:space="preserve">Sports Shorts</t>
  </si>
  <si>
    <t xml:space="preserve">SS - Womens - Swimwear</t>
  </si>
  <si>
    <t xml:space="preserve">Swimwear</t>
  </si>
  <si>
    <t xml:space="preserve">AS - Womens - T-shirt</t>
  </si>
  <si>
    <t xml:space="preserve">T-shirt</t>
  </si>
  <si>
    <t xml:space="preserve">AS - Womens - Top</t>
  </si>
  <si>
    <t xml:space="preserve">Top</t>
  </si>
  <si>
    <t xml:space="preserve">SS - Womens - Top</t>
  </si>
  <si>
    <t xml:space="preserve">AS - Womens - Trousers</t>
  </si>
  <si>
    <t xml:space="preserve">Trousers</t>
  </si>
  <si>
    <t xml:space="preserve">SS - Womens - Trousers</t>
  </si>
  <si>
    <t xml:space="preserve">AS - Mens - Bag</t>
  </si>
  <si>
    <t xml:space="preserve">Heren</t>
  </si>
  <si>
    <t xml:space="preserve">AS - Mens - Blouse</t>
  </si>
  <si>
    <t xml:space="preserve">SS - Mens - Blouse</t>
  </si>
  <si>
    <t xml:space="preserve">AS - Mens - Casual Set</t>
  </si>
  <si>
    <t xml:space="preserve">AS - Mens - Hat</t>
  </si>
  <si>
    <t xml:space="preserve">AS - Mens - Jeans</t>
  </si>
  <si>
    <t xml:space="preserve">SS - Mens - Jeans</t>
  </si>
  <si>
    <t xml:space="preserve">AS - Mens - Jogger</t>
  </si>
  <si>
    <t xml:space="preserve">Jogger</t>
  </si>
  <si>
    <t xml:space="preserve">AS - Mens - Polo</t>
  </si>
  <si>
    <t xml:space="preserve">Polo</t>
  </si>
  <si>
    <t xml:space="preserve">SS - Mens - Sandals</t>
  </si>
  <si>
    <t xml:space="preserve">SS - Mens - Shoes</t>
  </si>
  <si>
    <t xml:space="preserve">Shoes</t>
  </si>
  <si>
    <t xml:space="preserve">SS - Mens - Shorts</t>
  </si>
  <si>
    <t xml:space="preserve">AS - Mens - Sneakers</t>
  </si>
  <si>
    <t xml:space="preserve">SS - Mens - Sports Shorts</t>
  </si>
  <si>
    <t xml:space="preserve">SS - Mens - Swimwear</t>
  </si>
  <si>
    <t xml:space="preserve">AS - Mens - T-shirt</t>
  </si>
  <si>
    <t xml:space="preserve">SS - Mens - Tanktop</t>
  </si>
  <si>
    <t xml:space="preserve">Tanktop</t>
  </si>
  <si>
    <t xml:space="preserve">AS - Mens - Trousers</t>
  </si>
  <si>
    <t xml:space="preserve">AW - Mens - Trousers</t>
  </si>
  <si>
    <t xml:space="preserve">SS - Mens - Trousers</t>
  </si>
  <si>
    <t xml:space="preserve">Alle producten</t>
  </si>
  <si>
    <t xml:space="preserve">Handle</t>
  </si>
  <si>
    <t xml:space="preserve">Titel</t>
  </si>
  <si>
    <t xml:space="preserve">Huidige prijs</t>
  </si>
  <si>
    <t xml:space="preserve">Huidige compare-at</t>
  </si>
  <si>
    <t xml:space="preserve">Korting %</t>
  </si>
  <si>
    <t xml:space="preserve">Nieuwe prijs</t>
  </si>
  <si>
    <t xml:space="preserve">Nieuwe compare-at</t>
  </si>
  <si>
    <t xml:space="preserve">Verschil</t>
  </si>
  <si>
    <t xml:space="preserve">womens-handbag-faux-leather-crossbody-adjustable-strap</t>
  </si>
  <si>
    <t xml:space="preserve">Women's Handbag | Faux Leather Crossbody Adjustable Strap</t>
  </si>
  <si>
    <t xml:space="preserve">womens-handbag-flap-closure-adjustable-straps-textured-leather</t>
  </si>
  <si>
    <t xml:space="preserve">Women's Handbag | Flap Closure Adjustable Straps Textured Leather</t>
  </si>
  <si>
    <t xml:space="preserve">womens-handbag-single-strap-crossbody-zip-closure-mesh-pocket</t>
  </si>
  <si>
    <t xml:space="preserve">Women's Handbag | Single Strap Crossbody Zip Closure Mesh Pocket</t>
  </si>
  <si>
    <t xml:space="preserve">womens-handbag-structured-leather-front-pocket-tote</t>
  </si>
  <si>
    <t xml:space="preserve">Women's Handbag | Structured Leather Front Pocket Tote</t>
  </si>
  <si>
    <t xml:space="preserve">womens-quilted-tote-bag-puffer-design-dual-handles-drawstring</t>
  </si>
  <si>
    <t xml:space="preserve">Women's Quilted Tote Bag | Puffer Design Dual Handles Drawstring</t>
  </si>
  <si>
    <t xml:space="preserve">womens-shoulder-bag-crescent-shape-corduroy-adjustable-strap</t>
  </si>
  <si>
    <t xml:space="preserve">Women's Shoulder Bag | Crescent Shape Corduroy Adjustable Strap</t>
  </si>
  <si>
    <t xml:space="preserve">womens-shoulder-bag-hobo-shape-zip-details-convertible-strap</t>
  </si>
  <si>
    <t xml:space="preserve">Women's Shoulder Bag | Hobo Shape Zip Details Convertible Strap</t>
  </si>
  <si>
    <t xml:space="preserve">womens-shoulder-bag-leather-structured-tote</t>
  </si>
  <si>
    <t xml:space="preserve">Women's Shoulder Bag | Leather Structured Tote</t>
  </si>
  <si>
    <t xml:space="preserve">womens-shoulder-bag-vintage-flap-dual-zip-pockets</t>
  </si>
  <si>
    <t xml:space="preserve">Women's Shoulder Bag | Vintage Flap Dual Zip Pockets</t>
  </si>
  <si>
    <t xml:space="preserve">womens-shoulder-bag-woven-vegan-suede-quilted-hand-woven</t>
  </si>
  <si>
    <t xml:space="preserve">Women's Shoulder Bag | Woven Vegan Suede Quilted Hand-Woven</t>
  </si>
  <si>
    <t xml:space="preserve">womens-structured-handbag-tote-spacious-gold-hardware</t>
  </si>
  <si>
    <t xml:space="preserve">Women's Structured Handbag | Tote Spacious Gold Hardware</t>
  </si>
  <si>
    <t xml:space="preserve">womens-tote-bag-nylon-structured-magnetic-closure-leather-handles</t>
  </si>
  <si>
    <t xml:space="preserve">Women's Tote Bag | Nylon Structured Magnetic Closure Leather Handles</t>
  </si>
  <si>
    <t xml:space="preserve">womens-tote-bag-spacious-leather-compartments-adjustable-straps</t>
  </si>
  <si>
    <t xml:space="preserve">Women's Tote Bag | Spacious Leather Compartments Adjustable Straps</t>
  </si>
  <si>
    <t xml:space="preserve">womens-tote-bag-structured-rectangular-leather-dual-strap</t>
  </si>
  <si>
    <t xml:space="preserve">Women's Tote Bag | Structured Rectangular Leather Dual Strap</t>
  </si>
  <si>
    <t xml:space="preserve">womens-tote-bag-structured-silhouette-shoulder-straps-leather</t>
  </si>
  <si>
    <t xml:space="preserve">Women's Tote Bag | Structured Silhouette Shoulder Straps Leather</t>
  </si>
  <si>
    <t xml:space="preserve">womens-blouse-collar-long-sleeve-button-closure-satin</t>
  </si>
  <si>
    <t xml:space="preserve">Women's Blouse | Collar Long Sleeve Button Closure Satin</t>
  </si>
  <si>
    <t xml:space="preserve">womens-blouse-cowl-neckline-short-sleeve-draped</t>
  </si>
  <si>
    <t xml:space="preserve">Women's Blouse | Cowl Neckline Short Sleeve Draped</t>
  </si>
  <si>
    <t xml:space="preserve">womens-blouse-crew-neck-roll-up-sleeve-striped</t>
  </si>
  <si>
    <t xml:space="preserve">Women's Blouse | Crew Neck Roll-Up Sleeve Striped</t>
  </si>
  <si>
    <t xml:space="preserve">womens-blouse-draped-collar-long-sleeves-satin</t>
  </si>
  <si>
    <t xml:space="preserve">Women's Blouse | Draped Collar Long Sleeves Satin</t>
  </si>
  <si>
    <t xml:space="preserve">womens-blouse-lace-crew-neck-long-sleeve-embroidered</t>
  </si>
  <si>
    <t xml:space="preserve">Women's Blouse | Lace Crew Neck Long Sleeve Embroidered</t>
  </si>
  <si>
    <t xml:space="preserve">womens-blouse-v-neck-lace-long-sleeve-slim-fit</t>
  </si>
  <si>
    <t xml:space="preserve">Women's Blouse | V Neck Lace Long Sleeve Slim Fit</t>
  </si>
  <si>
    <t xml:space="preserve">womens-blouse-v-neck-long-sleeve-henley-tunic</t>
  </si>
  <si>
    <t xml:space="preserve">Women's Blouse | V-Neck Long Sleeve Henley Tunic</t>
  </si>
  <si>
    <t xml:space="preserve">womens-corduroy-shirt-ribbed-button-front-relaxed-fit</t>
  </si>
  <si>
    <t xml:space="preserve">Women's Corduroy Shirt | Ribbed Button Front Relaxed Fit</t>
  </si>
  <si>
    <t xml:space="preserve">womens-jumpsuit-asymmetric-neckline-wide-leg-long-sleeves</t>
  </si>
  <si>
    <t xml:space="preserve">Women's Jumpsuit | Asymmetric Neckline Wide Leg Long Sleeves</t>
  </si>
  <si>
    <t xml:space="preserve">womens-jumpsuit-batwing-sleeves-belted-waist-cropped</t>
  </si>
  <si>
    <t xml:space="preserve">Women's Jumpsuit | Batwing Sleeves Belted Waist Cropped</t>
  </si>
  <si>
    <t xml:space="preserve">womens-jumpsuit-lapel-collar-sleeveless-wide-leg-cargo</t>
  </si>
  <si>
    <t xml:space="preserve">Women's Jumpsuit | Lapel Collar Sleeveless Wide Leg Cargo</t>
  </si>
  <si>
    <t xml:space="preserve">womens-jumpsuit-one-shoulder-wide-leg-draped</t>
  </si>
  <si>
    <t xml:space="preserve">Women's Jumpsuit | One-Shoulder Wide-Leg Draped</t>
  </si>
  <si>
    <t xml:space="preserve">womens-jumpsuit-sleeveless-spaghetti-strap-wide-leg</t>
  </si>
  <si>
    <t xml:space="preserve">Women's Jumpsuit | Sleeveless Spaghetti Strap Wide Leg</t>
  </si>
  <si>
    <t xml:space="preserve">womens-jumpsuit-square-neck-zipper-front-wide-leg</t>
  </si>
  <si>
    <t xml:space="preserve">Women's Jumpsuit | Square Neck Zipper Front Wide Leg</t>
  </si>
  <si>
    <t xml:space="preserve">womens-jumpsuit-square-neckline-adjustable-straps-wide-leg</t>
  </si>
  <si>
    <t xml:space="preserve">Women's Jumpsuit | Square Neckline Adjustable Straps Wide Leg</t>
  </si>
  <si>
    <t xml:space="preserve">womens-jumpsuit-wrap-front-v-neck-short-sleeve</t>
  </si>
  <si>
    <t xml:space="preserve">Women's Jumpsuit | Wrap Front V-Neck Short Sleeve</t>
  </si>
  <si>
    <t xml:space="preserve">womens-midi-skirt-v-neck-ruffle-cropped-top-set</t>
  </si>
  <si>
    <t xml:space="preserve">Women's Midi Skirt | V-Neck Ruffle Cropped Top Set</t>
  </si>
  <si>
    <t xml:space="preserve">womens-two-piece-set-tailored-blazer-tapered-joggers-long-sleeve</t>
  </si>
  <si>
    <t xml:space="preserve">Women's Two Piece Set | Tailored Blazer Tapered Joggers Long Sleeve</t>
  </si>
  <si>
    <t xml:space="preserve">womens-two-piece-set-zip-front-blouson-short-sleeve-printed-polyester</t>
  </si>
  <si>
    <t xml:space="preserve">Women's Two Piece Set | Zip Front Blouson Short Sleeve Printed Polyester</t>
  </si>
  <si>
    <t xml:space="preserve">womens-two-piece-set-zip-long-sleeve-crop-top-wide-leg-relaxed</t>
  </si>
  <si>
    <t xml:space="preserve">Women's Two Piece Set | Zip Long Sleeve Crop Top Wide Leg Relaxed</t>
  </si>
  <si>
    <t xml:space="preserve">womens-two-piece-set-halter-neck-sleeveless-capri-polka-dot</t>
  </si>
  <si>
    <t xml:space="preserve">Women's Two Piece Set | Halter Neck Sleeveless Capri Polka Dot</t>
  </si>
  <si>
    <t xml:space="preserve">womens-cocktail-dress-maxi-one-shoulder-sleeveless</t>
  </si>
  <si>
    <t xml:space="preserve">Women's Cocktail Dress | Maxi One Shoulder Sleeveless</t>
  </si>
  <si>
    <t xml:space="preserve">womens-cocktail-dress-maxi-v-neck-cold-shoulder</t>
  </si>
  <si>
    <t xml:space="preserve">Women's Cocktail Dress | Maxi V-Neck Cold Shoulder</t>
  </si>
  <si>
    <t xml:space="preserve">womens-cocktail-dress-midi-off-shoulder-fitted-bodice</t>
  </si>
  <si>
    <t xml:space="preserve">Women's Cocktail Dress | Midi Off-Shoulder Fitted Bodice</t>
  </si>
  <si>
    <t xml:space="preserve">womens-cocktail-dress-midi-one-shoulder-long-sleeve</t>
  </si>
  <si>
    <t xml:space="preserve">Women's Cocktail Dress | Midi One Shoulder Long Sleeve</t>
  </si>
  <si>
    <t xml:space="preserve">womens-cocktail-dress-mini-square-neck-sleeveless-embellished</t>
  </si>
  <si>
    <t xml:space="preserve">Women's Cocktail Dress | Mini Square Neck Sleeveless Embellished</t>
  </si>
  <si>
    <t xml:space="preserve">womens-denim-dress-collared-short-sleeve-button-front-mini</t>
  </si>
  <si>
    <t xml:space="preserve">Women's Denim Dress | Collared Short Sleeve Button Front Mini</t>
  </si>
  <si>
    <t xml:space="preserve">womens-denim-dress-maxi-halter-cowl-neck-open-back</t>
  </si>
  <si>
    <t xml:space="preserve">Women's Denim Dress | Maxi Halter Cowl Neck Open Back</t>
  </si>
  <si>
    <t xml:space="preserve">womens-denim-dress-midi-sleeveless-floral-button-front</t>
  </si>
  <si>
    <t xml:space="preserve">Women's Denim Dress | Midi Sleeveless Floral Button Front</t>
  </si>
  <si>
    <t xml:space="preserve">womens-denim-dress-midi-square-neck-ruffled-sleeve</t>
  </si>
  <si>
    <t xml:space="preserve">Women's Denim Dress | Midi Square Neck Ruffled Sleeve</t>
  </si>
  <si>
    <t xml:space="preserve">womens-denim-dress-mini-length-crew-neck-sleeveless-button-front</t>
  </si>
  <si>
    <t xml:space="preserve">Women's Denim Dress | Mini Length Crew Neck Sleeveless Button-Front</t>
  </si>
  <si>
    <t xml:space="preserve">womens-dress-maxi-sleeveless-high-slit-draped</t>
  </si>
  <si>
    <t xml:space="preserve">Women's Dress | Maxi Sleeveless High Slit Draped</t>
  </si>
  <si>
    <t xml:space="preserve">womens-dress-midi-floral-keyhole-high-collar-sleeveless</t>
  </si>
  <si>
    <t xml:space="preserve">Women's Dress | Midi Floral Keyhole High Collar Sleeveless</t>
  </si>
  <si>
    <t xml:space="preserve">womens-dress-midi-length-layered-front-short-sleeve</t>
  </si>
  <si>
    <t xml:space="preserve">Women's Dress | Midi Length Layered Front Short Sleeve</t>
  </si>
  <si>
    <t xml:space="preserve">womens-dress-midi-length-round-neck-cap-sleeves-ruched</t>
  </si>
  <si>
    <t xml:space="preserve">Women's Dress | Midi Length Round Neck Cap Sleeves Ruched</t>
  </si>
  <si>
    <t xml:space="preserve">womens-floral-dress-midi-length-round-neckline-short-sleeve</t>
  </si>
  <si>
    <t xml:space="preserve">Women's Floral Dress | Midi Length Round Neckline Short Sleeve</t>
  </si>
  <si>
    <t xml:space="preserve">womens-formal-dress-maxi-deep-v-neck-sleeveless-pleated</t>
  </si>
  <si>
    <t xml:space="preserve">Women's Formal Dress | Maxi Deep V-Neck Sleeveless Pleated</t>
  </si>
  <si>
    <t xml:space="preserve">womens-formal-dress-maxi-halter-neck-satin-mermaid</t>
  </si>
  <si>
    <t xml:space="preserve">Women's Formal Dress | Maxi Halter Neck Satin Mermaid</t>
  </si>
  <si>
    <t xml:space="preserve">womens-formal-dress-maxi-lace-cap-sleeve-high-slit</t>
  </si>
  <si>
    <t xml:space="preserve">Women's Formal Dress | Maxi Lace Cap Sleeve High Slit</t>
  </si>
  <si>
    <t xml:space="preserve">womens-formal-dress-maxi-one-shoulder-draped-satin</t>
  </si>
  <si>
    <t xml:space="preserve">Women's Formal Dress | Maxi One Shoulder Draped Satin</t>
  </si>
  <si>
    <t xml:space="preserve">womens-formal-dress-midi-lace-mock-neck-long-sleeve</t>
  </si>
  <si>
    <t xml:space="preserve">Women's Formal Dress | Midi Lace Mock Neck Long Sleeve</t>
  </si>
  <si>
    <t xml:space="preserve">womens-formal-dress-notched-collar-wrap-midi-pleated</t>
  </si>
  <si>
    <t xml:space="preserve">Women's Formal Dress | Notched Collar Wrap Midi Pleated</t>
  </si>
  <si>
    <t xml:space="preserve">womens-maxi-dress-high-neckline-puff-sleeve-tie-waist</t>
  </si>
  <si>
    <t xml:space="preserve">Women's Maxi Dress | High Neckline Puff Sleeve Tie Waist</t>
  </si>
  <si>
    <t xml:space="preserve">womens-maxi-dress-v-neckline-batwing-sleeves-tie-waist</t>
  </si>
  <si>
    <t xml:space="preserve">Women's Maxi Dress | V Neckline Batwing Sleeves Tie Waist</t>
  </si>
  <si>
    <t xml:space="preserve">womens-maxi-dress-v-neck-long-sleeves-floral-print</t>
  </si>
  <si>
    <t xml:space="preserve">Women's Maxi Dress | V-Neck Long Sleeves Floral Print</t>
  </si>
  <si>
    <t xml:space="preserve">womens-maxi-dress-v-neck-wrap-chiffon-a-line-floral</t>
  </si>
  <si>
    <t xml:space="preserve">Women's Maxi Dress | V-Neck Wrap Chiffon A-Line Floral</t>
  </si>
  <si>
    <t xml:space="preserve">womens-maxi-skirt-v-neck-pleated-flutter-sleeve</t>
  </si>
  <si>
    <t xml:space="preserve">Women's Maxi Skirt | V-Neck Pleated Flutter Sleeve</t>
  </si>
  <si>
    <t xml:space="preserve">womens-midi-dress-boat-neck-pearl-embellished-sleeves</t>
  </si>
  <si>
    <t xml:space="preserve">Women's Midi Dress | Boat Neck Pearl Embellished Sleeves</t>
  </si>
  <si>
    <t xml:space="preserve">womens-midi-dress-maxi-length-jacquard-long-sleeve-round-neckline</t>
  </si>
  <si>
    <t xml:space="preserve">Women's Midi Dress | Maxi Length Jacquard Long Sleeve Round Neckline</t>
  </si>
  <si>
    <t xml:space="preserve">womens-midi-dress-round-neck-sleeveless-gathered-denim</t>
  </si>
  <si>
    <t xml:space="preserve">Women's Midi Dress | Round Neck Sleeveless Gathered Denim</t>
  </si>
  <si>
    <t xml:space="preserve">womens-midi-dress-short-sleeve-v-neck-relaxed-pockets</t>
  </si>
  <si>
    <t xml:space="preserve">Women's Midi Dress | Short Sleeve V-Neck Relaxed Pockets</t>
  </si>
  <si>
    <t xml:space="preserve">womens-midi-dress-v-neck-sleeveless-a-line-woven</t>
  </si>
  <si>
    <t xml:space="preserve">Women's Midi Dress | V-Neck Sleeveless A-Line Woven</t>
  </si>
  <si>
    <t xml:space="preserve">womens-mini-dress-cowl-neck-sleeveless-pockets</t>
  </si>
  <si>
    <t xml:space="preserve">Women's Mini Dress | Cowl Neck Sleeveless Pockets</t>
  </si>
  <si>
    <t xml:space="preserve">womens-mini-dress-mock-neck-slit-sleeves-straight-fit</t>
  </si>
  <si>
    <t xml:space="preserve">Women's Mini Dress | Mock Neck Slit Sleeves Straight Fit</t>
  </si>
  <si>
    <t xml:space="preserve">womens-mini-dress-pearl-trim-square-neckline-long-sleeve</t>
  </si>
  <si>
    <t xml:space="preserve">Women's Mini Dress | Pearl Trim Square Neckline Long Sleeve</t>
  </si>
  <si>
    <t xml:space="preserve">womens-mini-dress-v-neckline-batwing-sleeve-wrap</t>
  </si>
  <si>
    <t xml:space="preserve">Women's Mini Dress | V Neckline Batwing Sleeve Wrap</t>
  </si>
  <si>
    <t xml:space="preserve">womens-mini-dress-v-neck-lace-long-sleeve-velvet</t>
  </si>
  <si>
    <t xml:space="preserve">Women's Mini Dress | V-Neck Lace Long Sleeve Velvet</t>
  </si>
  <si>
    <t xml:space="preserve">womens-wedding-guest-dress-midi-gathered-neckline-long-sleeve-pleated</t>
  </si>
  <si>
    <t xml:space="preserve">Women's Wedding Guest Dress | Midi Gathered Neckline Long Sleeve Pleated</t>
  </si>
  <si>
    <t xml:space="preserve">womens-wedding-guest-dress-midi-length-round-neckline-long-sleeves</t>
  </si>
  <si>
    <t xml:space="preserve">Women's Wedding Guest Dress | Midi Length Round Neckline Long Sleeves</t>
  </si>
  <si>
    <t xml:space="preserve">womens-wedding-guest-dress-midi-length-v-neck-lace-trim</t>
  </si>
  <si>
    <t xml:space="preserve">Women's Wedding Guest Dress | Midi Length V-Neck Lace Trim</t>
  </si>
  <si>
    <t xml:space="preserve">womens-wedding-guest-dress-midi-length-v-neck-three-quarter-sleeves-flared</t>
  </si>
  <si>
    <t xml:space="preserve">Women's Wedding Guest Dress | Midi Length V-Neck Three-Quarter Sleeves Flared</t>
  </si>
  <si>
    <t xml:space="preserve">womens-wedding-guest-dress-v-neck-midi-pleated-wrap</t>
  </si>
  <si>
    <t xml:space="preserve">Women's Wedding Guest Dress | V-Neck Midi Pleated Wrap</t>
  </si>
  <si>
    <t xml:space="preserve">womens-wedding-guest-dress-v-neck-mini-sequin-long-sleeve</t>
  </si>
  <si>
    <t xml:space="preserve">Women's Wedding Guest Dress | V-Neck Mini Sequin Long Sleeve</t>
  </si>
  <si>
    <t xml:space="preserve">womens-white-dress-maxi-shirt-collar-pintuck-button</t>
  </si>
  <si>
    <t xml:space="preserve">Women's White Dress | Maxi Shirt Collar Pintuck Button</t>
  </si>
  <si>
    <t xml:space="preserve">womens-white-dress-midi-batwing-sleeve-tie-waist</t>
  </si>
  <si>
    <t xml:space="preserve">Women's White Dress | Midi Batwing Sleeve Tie Waist</t>
  </si>
  <si>
    <t xml:space="preserve">womens-white-dress-midi-sweetheart-neckline-sleeveless-ruffle</t>
  </si>
  <si>
    <t xml:space="preserve">Women's White Dress | Midi Sweetheart Neckline Sleeveless Ruffle</t>
  </si>
  <si>
    <t xml:space="preserve">womens-white-dress-mini-sleeveless-v-neck-broderie</t>
  </si>
  <si>
    <t xml:space="preserve">Women's White Dress | Mini Sleeveless V-Neck Broderie</t>
  </si>
  <si>
    <t xml:space="preserve">womens-white-dress-sleeveless-maxi-ribbed-knit</t>
  </si>
  <si>
    <t xml:space="preserve">Women's White Dress | Sleeveless Maxi Ribbed Knit</t>
  </si>
  <si>
    <t xml:space="preserve">womens-maxi-dress-halter-neckline-sleeveless-linen</t>
  </si>
  <si>
    <t xml:space="preserve">Women's Maxi Dress | Halter Neckline Sleeveless Linen</t>
  </si>
  <si>
    <t xml:space="preserve">womens-sleeveless-dress-maxi-length-shirt-collar-button-front-linen</t>
  </si>
  <si>
    <t xml:space="preserve">Women's Sleeveless Dress | Maxi Length Shirt Collar Button Front Linen</t>
  </si>
  <si>
    <t xml:space="preserve">womens-summer-dress-maxi-length-v-neck-pleated-loose-sleeves</t>
  </si>
  <si>
    <t xml:space="preserve">Women's Summer Dress | Maxi Length V-Neck Pleated Loose Sleeves</t>
  </si>
  <si>
    <t xml:space="preserve">womens-summer-dress-midi-length-v-neckline-twist-waist</t>
  </si>
  <si>
    <t xml:space="preserve">Women's Summer Dress | Midi Length V-Neckline Twist Waist</t>
  </si>
  <si>
    <t xml:space="preserve">womens-summer-dress-v-neck-flutter-sleeve-maxi-pleated</t>
  </si>
  <si>
    <t xml:space="preserve">Women's Summer Dress | V-Neck Flutter Sleeve Maxi Pleated</t>
  </si>
  <si>
    <t xml:space="preserve">womens-summer-dress-v-neck-midi-floral-cocoon</t>
  </si>
  <si>
    <t xml:space="preserve">Women's Summer Dress | V-Neck Midi Floral Cocoon</t>
  </si>
  <si>
    <t xml:space="preserve">womens-summer-dress-v-neck-midi-floral-wrap-puff-sleeve</t>
  </si>
  <si>
    <t xml:space="preserve">Women's Summer Dress | V-Neck Midi Floral Wrap Puff Sleeve</t>
  </si>
  <si>
    <t xml:space="preserve">womens-jeans-high-waist-flared-leg-button-front-denim</t>
  </si>
  <si>
    <t xml:space="preserve">Women's Jeans | High-Waist Flared Leg Button-Front Denim</t>
  </si>
  <si>
    <t xml:space="preserve">womens-straw-sun-hat-wide-brim-bow-packable-lightweight</t>
  </si>
  <si>
    <t xml:space="preserve">Women's Straw Sun Hat | Wide Brim Bow Packable Lightweight</t>
  </si>
  <si>
    <t xml:space="preserve">womens-sun-hat-wide-brim-breathable-mesh-adjustable</t>
  </si>
  <si>
    <t xml:space="preserve">Women's Sun Hat | Wide Brim Breathable Mesh Adjustable</t>
  </si>
  <si>
    <t xml:space="preserve">womens-sun-hat-wide-brim-visor-twist-front-packable</t>
  </si>
  <si>
    <t xml:space="preserve">Women's Sun Hat | Wide Brim Visor Twist Front Packable</t>
  </si>
  <si>
    <t xml:space="preserve">womens-kitten-heels-open-toe-square-knotted-mule</t>
  </si>
  <si>
    <t xml:space="preserve">Women's Kitten Heels | Open Toe Square Knotted Mule</t>
  </si>
  <si>
    <t xml:space="preserve">womens-kitten-heels-open-toe-strappy-ankle-strap</t>
  </si>
  <si>
    <t xml:space="preserve">Women's Kitten Heels | Open Toe Strappy Ankle Strap</t>
  </si>
  <si>
    <t xml:space="preserve">womens-kitten-heels-pointed-toe-ankle-strap-floral-embellished</t>
  </si>
  <si>
    <t xml:space="preserve">Women's Kitten Heels | Pointed Toe Ankle Strap Floral Embellished</t>
  </si>
  <si>
    <t xml:space="preserve">womens-kitten-heels-pointed-toe-bow-vamp-patent</t>
  </si>
  <si>
    <t xml:space="preserve">Women's Kitten Heels | Pointed Toe Bow Vamp Patent</t>
  </si>
  <si>
    <t xml:space="preserve">womens-kitten-heels-pointed-toe-slip-on-leather</t>
  </si>
  <si>
    <t xml:space="preserve">Women's Kitten Heels | Pointed Toe Slip-On Leather</t>
  </si>
  <si>
    <t xml:space="preserve">womens-shoe-rounded-toe-elastic-strap-wedge</t>
  </si>
  <si>
    <t xml:space="preserve">Women's Shoe | Rounded Toe Elastic Strap Wedge</t>
  </si>
  <si>
    <t xml:space="preserve">womens-jeans-distressed-slim-fit-frayed-hem</t>
  </si>
  <si>
    <t xml:space="preserve">Women's Jeans | Distressed Slim Fit Frayed Hem</t>
  </si>
  <si>
    <t xml:space="preserve">womens-jeans-high-waist-pleated-balloon-leg</t>
  </si>
  <si>
    <t xml:space="preserve">Women's Jeans | High Waist Pleated Balloon Leg</t>
  </si>
  <si>
    <t xml:space="preserve">womens-jeans-relaxed-fit-straight-leg-lightning-print-denim</t>
  </si>
  <si>
    <t xml:space="preserve">Women's Jeans | Relaxed Fit Straight Leg Lightning Print Denim</t>
  </si>
  <si>
    <t xml:space="preserve">womens-jeans-straight-leg-ripped-denim-raw-hem</t>
  </si>
  <si>
    <t xml:space="preserve">Women's Jeans | Straight Leg Ripped Denim Raw Hem</t>
  </si>
  <si>
    <t xml:space="preserve">womens-corset-top-sweetheart-neckline-lace-trim-underbust</t>
  </si>
  <si>
    <t xml:space="preserve">Women's Corset Top | Sweetheart Neckline Lace Trim Underbust</t>
  </si>
  <si>
    <t xml:space="preserve">womens-two-piece-set-knit-crewneck-long-sleeve-relaxed-fit</t>
  </si>
  <si>
    <t xml:space="preserve">Women's Two Piece Set | Knit Crewneck Long Sleeve Relaxed Fit</t>
  </si>
  <si>
    <t xml:space="preserve">womens-two-piece-set-relaxed-fleece-half-zip-long-sleeve</t>
  </si>
  <si>
    <t xml:space="preserve">Women's Two Piece Set | Relaxed Fleece Half Zip Long Sleeve</t>
  </si>
  <si>
    <t xml:space="preserve">womens-ballet-flats-open-toe-dual-strap-slingback-mesh</t>
  </si>
  <si>
    <t xml:space="preserve">Women's Ballet Flats | Open Toe Dual Strap Slingback Mesh</t>
  </si>
  <si>
    <t xml:space="preserve">womens-black-sandals-adjustable-buckle-strap-open-heel</t>
  </si>
  <si>
    <t xml:space="preserve">Women's Black Sandals | Adjustable Buckle Strap Open Heel</t>
  </si>
  <si>
    <t xml:space="preserve">womens-black-sandals-open-toe-ankle-strap-flat-leather</t>
  </si>
  <si>
    <t xml:space="preserve">Women's Black Sandals | Open Toe Ankle Strap Flat Leather</t>
  </si>
  <si>
    <t xml:space="preserve">womens-black-sandals-open-toe-block-heel-stretch-strap</t>
  </si>
  <si>
    <t xml:space="preserve">Women's Black Sandals | Open Toe Block Heel Stretch Strap</t>
  </si>
  <si>
    <t xml:space="preserve">womens-black-sandals-open-toe-pearl-embellished-flat-slip-on</t>
  </si>
  <si>
    <t xml:space="preserve">Women's Black Sandals | Open Toe Pearl Embellished Flat Slip On</t>
  </si>
  <si>
    <t xml:space="preserve">womens-black-sandals-strappy-flat-ankle-strap</t>
  </si>
  <si>
    <t xml:space="preserve">Women's Black Sandals | Strappy Flat Ankle Strap</t>
  </si>
  <si>
    <t xml:space="preserve">womens-platform-sandals-adjustable-straps-cushioned-sole-open-toe</t>
  </si>
  <si>
    <t xml:space="preserve">Women's Platform Sandals | Adjustable Straps Cushioned Sole Open Toe</t>
  </si>
  <si>
    <t xml:space="preserve">womens-platform-sandals-braided-straps-buckle-closure-wood-heel</t>
  </si>
  <si>
    <t xml:space="preserve">Women's Platform Sandals | Braided Straps Buckle Closure Wood Heel</t>
  </si>
  <si>
    <t xml:space="preserve">womens-platform-sandals-open-toe-cork-wedge-cushioned</t>
  </si>
  <si>
    <t xml:space="preserve">Women's Platform Sandals | Open Toe Cork Wedge Cushioned</t>
  </si>
  <si>
    <t xml:space="preserve">womens-platform-sandals-open-toe-crisscross-wedge-espadrille</t>
  </si>
  <si>
    <t xml:space="preserve">Women's Platform Sandals | Open Toe Crisscross Wedge Espadrille</t>
  </si>
  <si>
    <t xml:space="preserve">womens-platform-sandals-open-toe-elastic-strap-wedge</t>
  </si>
  <si>
    <t xml:space="preserve">Women's Platform Sandals | Open Toe Elastic Strap Wedge</t>
  </si>
  <si>
    <t xml:space="preserve">womens-platform-sandals-open-toe-mesh-velcro-slingback</t>
  </si>
  <si>
    <t xml:space="preserve">Women's Platform Sandals | Open Toe Mesh Velcro Slingback</t>
  </si>
  <si>
    <t xml:space="preserve">womens-sandals-open-toe-ankle-strap-platform</t>
  </si>
  <si>
    <t xml:space="preserve">Women's Sandals | Open Toe Ankle Strap Platform</t>
  </si>
  <si>
    <t xml:space="preserve">womens-sandals-open-toe-block-heel-ankle-strap-metallic</t>
  </si>
  <si>
    <t xml:space="preserve">Women's Sandals | Open Toe Block Heel Ankle Strap Metallic</t>
  </si>
  <si>
    <t xml:space="preserve">womens-sandals-open-toe-t-strap-hook-and-loop</t>
  </si>
  <si>
    <t xml:space="preserve">Women's Sandals | Open Toe T Strap Hook and Loop</t>
  </si>
  <si>
    <t xml:space="preserve">womens-sandals-open-toe-t-strap-wedge-zipper</t>
  </si>
  <si>
    <t xml:space="preserve">Women's Sandals | Open Toe T-Strap Wedge Zipper</t>
  </si>
  <si>
    <t xml:space="preserve">womens-sandals-platform-multi-strap-open-toe-buckle</t>
  </si>
  <si>
    <t xml:space="preserve">Women's Sandals | Platform Multi-Strap Open Toe Buckle</t>
  </si>
  <si>
    <t xml:space="preserve">womens-slide-flat-sandal-adjustable-strap-embellished</t>
  </si>
  <si>
    <t xml:space="preserve">Women's Slide | Flat Sandal Adjustable Strap Embellished</t>
  </si>
  <si>
    <t xml:space="preserve">womens-slide-mesh-upper-cushioned-sole-slip-on</t>
  </si>
  <si>
    <t xml:space="preserve">Women's Slide | Mesh Upper Cushioned Sole Slip-On</t>
  </si>
  <si>
    <t xml:space="preserve">womens-slide-open-toe-ankle-strap-leather-flat</t>
  </si>
  <si>
    <t xml:space="preserve">Women's Slide | Open Toe Ankle Strap Leather Flat</t>
  </si>
  <si>
    <t xml:space="preserve">womens-slide-orthopedic-toe-post-thong-faux-leather</t>
  </si>
  <si>
    <t xml:space="preserve">Women's Slide | Orthopedic Toe Post Thong Faux Leather</t>
  </si>
  <si>
    <t xml:space="preserve">womens-slide-perforated-h-strap-slip-on-cushioned</t>
  </si>
  <si>
    <t xml:space="preserve">Women's Slide | Perforated H-Strap Slip-On Cushioned</t>
  </si>
  <si>
    <t xml:space="preserve">womens-slide-strappy-gladiator-wedge-open-toe</t>
  </si>
  <si>
    <t xml:space="preserve">Women's Slide | Strappy Gladiator Wedge Open Toe</t>
  </si>
  <si>
    <t xml:space="preserve">womens-slide-t-strap-arch-support-leather-cushioned</t>
  </si>
  <si>
    <t xml:space="preserve">Women's Slide | T-Strap Arch Support Leather Cushioned</t>
  </si>
  <si>
    <t xml:space="preserve">womens-bicycle-shorts-high-waist-smoothing-pockets-cotton-blend</t>
  </si>
  <si>
    <t xml:space="preserve">Women's Bicycle Shorts | High Waist Smoothing Pockets Cotton Blend</t>
  </si>
  <si>
    <t xml:space="preserve">womens-cargo-shorts-quick-dry-drawstring-pockets</t>
  </si>
  <si>
    <t xml:space="preserve">Women's Cargo Shorts | Quick Dry Drawstring Pockets</t>
  </si>
  <si>
    <t xml:space="preserve">womens-denim-shorts-distressed-button-fly-rolled-cuff</t>
  </si>
  <si>
    <t xml:space="preserve">Women's Denim Shorts | Distressed Button Fly Rolled Cuff</t>
  </si>
  <si>
    <t xml:space="preserve">womens-denim-shorts-distressed-fringe-hem-high-rise</t>
  </si>
  <si>
    <t xml:space="preserve">Women's Denim Shorts | Distressed Fringe Hem High Rise</t>
  </si>
  <si>
    <t xml:space="preserve">womens-denim-shorts-distressed-raw-edge-relaxed-fit</t>
  </si>
  <si>
    <t xml:space="preserve">Women's Denim Shorts | Distressed Raw Edge Relaxed Fit</t>
  </si>
  <si>
    <t xml:space="preserve">womens-denim-shorts-distressed-relaxed-fit-frayed-hem</t>
  </si>
  <si>
    <t xml:space="preserve">Women's Denim Shorts | Distressed Relaxed Fit Frayed Hem</t>
  </si>
  <si>
    <t xml:space="preserve">womens-denim-shorts-extra-high-waist-button-closure-relaxed-fit</t>
  </si>
  <si>
    <t xml:space="preserve">Women's Denim Shorts | Extra High Waist Button Closure Relaxed Fit</t>
  </si>
  <si>
    <t xml:space="preserve">womens-denim-shorts-high-waisted-knee-length-fly-front</t>
  </si>
  <si>
    <t xml:space="preserve">Women's Denim Shorts | High-Waisted Knee-Length Fly Front</t>
  </si>
  <si>
    <t xml:space="preserve">womens-denim-shorts-high-waisted-structured-rolled-hem</t>
  </si>
  <si>
    <t xml:space="preserve">Women's Denim Shorts | High-Waisted Structured Rolled Hem</t>
  </si>
  <si>
    <t xml:space="preserve">womens-mini-shorts-distressed-denim-high-waist</t>
  </si>
  <si>
    <t xml:space="preserve">Women's Mini Shorts | Distressed Denim High Waist</t>
  </si>
  <si>
    <t xml:space="preserve">womens-mini-shorts-elastic-waist-raw-hem-denim</t>
  </si>
  <si>
    <t xml:space="preserve">Women's Mini Shorts | Elastic Waist Raw Hem Denim</t>
  </si>
  <si>
    <t xml:space="preserve">womens-mini-shorts-halter-neckline-sleeveless-mini-flare</t>
  </si>
  <si>
    <t xml:space="preserve">Women's Mini Shorts | Halter Neckline Sleeveless Mini Flare</t>
  </si>
  <si>
    <t xml:space="preserve">womens-mini-shorts-high-waist-fitted-side-pockets</t>
  </si>
  <si>
    <t xml:space="preserve">Women's Mini Shorts | High Waist Fitted Side Pockets</t>
  </si>
  <si>
    <t xml:space="preserve">womens-shorts-cropped-drawstring-linen-relaxed-fit</t>
  </si>
  <si>
    <t xml:space="preserve">Women's Shorts | Cropped Drawstring Linen Relaxed Fit</t>
  </si>
  <si>
    <t xml:space="preserve">womens-shorts-denim-distressed-cuffed-relaxed-fit</t>
  </si>
  <si>
    <t xml:space="preserve">Women's Shorts | Denim Distressed Cuffed Relaxed Fit</t>
  </si>
  <si>
    <t xml:space="preserve">womens-shorts-high-waisted-printed-mini-casual</t>
  </si>
  <si>
    <t xml:space="preserve">Women's Shorts | High-Waisted Printed Mini Casual</t>
  </si>
  <si>
    <t xml:space="preserve">womens-shorts-wide-leg-relaxed-fit-elastic-waist</t>
  </si>
  <si>
    <t xml:space="preserve">Women's Shorts | Wide Leg Relaxed Fit Elastic Waist</t>
  </si>
  <si>
    <t xml:space="preserve">womens-denim-skirt-maxi-lace-panel-button-front-scalloped</t>
  </si>
  <si>
    <t xml:space="preserve">Women's Denim Skirt | Maxi Lace Panel Button Front Scalloped</t>
  </si>
  <si>
    <t xml:space="preserve">womens-denim-skirt-maxi-length-button-front-tiered</t>
  </si>
  <si>
    <t xml:space="preserve">Women's Denim Skirt | Maxi Length Button Front Tiered</t>
  </si>
  <si>
    <t xml:space="preserve">womens-denim-skirt-maxi-tiered-elastic-waist-pockets</t>
  </si>
  <si>
    <t xml:space="preserve">Women's Denim Skirt | Maxi Tiered Elastic Waist Pockets</t>
  </si>
  <si>
    <t xml:space="preserve">womens-denim-skirt-midi-length-button-front-high-waist</t>
  </si>
  <si>
    <t xml:space="preserve">Women's Denim Skirt | Midi Length Button Front High Waist</t>
  </si>
  <si>
    <t xml:space="preserve">womens-denim-skirt-mini-fringe-hem-high-waist</t>
  </si>
  <si>
    <t xml:space="preserve">Women's Denim Skirt | Mini Fringe Hem High Waist</t>
  </si>
  <si>
    <t xml:space="preserve">womens-maxi-skirt-pleated-a-line-flowy</t>
  </si>
  <si>
    <t xml:space="preserve">Women's Maxi Skirt | Pleated A-Line Flowy</t>
  </si>
  <si>
    <t xml:space="preserve">womens-maxi-skirt-pleated-high-waist-flowy</t>
  </si>
  <si>
    <t xml:space="preserve">Women's Maxi Skirt | Pleated High Waist Flowy</t>
  </si>
  <si>
    <t xml:space="preserve">womens-maxi-skirt-sequin-elastic-waist-fitted-ankle</t>
  </si>
  <si>
    <t xml:space="preserve">Women's Maxi Skirt | Sequin Elastic Waist Fitted Ankle</t>
  </si>
  <si>
    <t xml:space="preserve">womens-maxi-skirt-tiered-button-fly-denim-a-line</t>
  </si>
  <si>
    <t xml:space="preserve">Women's Maxi Skirt | Tiered Button Fly Denim A-Line</t>
  </si>
  <si>
    <t xml:space="preserve">womens-midi-skirt-button-front-side-split-denim</t>
  </si>
  <si>
    <t xml:space="preserve">Women's Midi Skirt | Button Front Side Split Denim</t>
  </si>
  <si>
    <t xml:space="preserve">womens-midi-skirt-high-waist-button-zip-denim</t>
  </si>
  <si>
    <t xml:space="preserve">Women's Midi Skirt | High Waist Button Zip Denim</t>
  </si>
  <si>
    <t xml:space="preserve">womens-midi-skirt-high-waist-draped-satin</t>
  </si>
  <si>
    <t xml:space="preserve">Women's Midi Skirt | High Waist Draped Satin</t>
  </si>
  <si>
    <t xml:space="preserve">womens-midi-skirt-high-waist-tailored-fit-knee-length</t>
  </si>
  <si>
    <t xml:space="preserve">Women's Midi Skirt | High Waist Tailored Fit Knee Length</t>
  </si>
  <si>
    <t xml:space="preserve">shoe-for-women-lace-up-rounded-toe-flexible-sole</t>
  </si>
  <si>
    <t xml:space="preserve">Shoe For Women | Lace Up Rounded Toe Flexible Sole</t>
  </si>
  <si>
    <t xml:space="preserve">womens-ballet-flats-elastic-crossover-strap-rounded-toe</t>
  </si>
  <si>
    <t xml:space="preserve">Women's Ballet Flats | Elastic Crossover Strap Rounded Toe</t>
  </si>
  <si>
    <t xml:space="preserve">womens-ballet-flats-leather-round-toe-mary-jane-strap</t>
  </si>
  <si>
    <t xml:space="preserve">Women's Ballet Flats | Leather Round Toe Mary Jane Strap</t>
  </si>
  <si>
    <t xml:space="preserve">womens-ballet-flats-mary-jane-buckle-strap-leather</t>
  </si>
  <si>
    <t xml:space="preserve">Women's Ballet Flats | Mary Jane Buckle Strap Leather</t>
  </si>
  <si>
    <t xml:space="preserve">womens-ballet-flats-round-toe-adjustable-strap-slip-on</t>
  </si>
  <si>
    <t xml:space="preserve">Women's Ballet Flats | Round Toe Adjustable Strap Slip On</t>
  </si>
  <si>
    <t xml:space="preserve">womens-shoe-mesh-slip-on-rounded-toe-cushioned-sole</t>
  </si>
  <si>
    <t xml:space="preserve">Women's Shoe | Mesh Slip-On Rounded Toe Cushioned Sole</t>
  </si>
  <si>
    <t xml:space="preserve">womens-sneakers-knit-upper-lace-up-low-top-textured-sole</t>
  </si>
  <si>
    <t xml:space="preserve">Women's Sneakers | Knit Upper Lace-Up Low-Top Textured Sole</t>
  </si>
  <si>
    <t xml:space="preserve">womens-sneakers-low-top-lace-up-retro-stripe</t>
  </si>
  <si>
    <t xml:space="preserve">Women's Sneakers | Low-Top Lace-Up Retro Stripe</t>
  </si>
  <si>
    <t xml:space="preserve">womens-sneakers-platform-lace-up-chunky-sole</t>
  </si>
  <si>
    <t xml:space="preserve">Women's Sneakers | Platform Lace-Up Chunky Sole</t>
  </si>
  <si>
    <t xml:space="preserve">womens-sports-shoe-woven-textile-upper-slip-on-flat</t>
  </si>
  <si>
    <t xml:space="preserve">Women's Sports Shoe | Woven Textile Upper Slip-On Flat</t>
  </si>
  <si>
    <t xml:space="preserve">womens-bicycle-shorts-gel-padded-mid-rise-mesh-breathable</t>
  </si>
  <si>
    <t xml:space="preserve">Women's Bicycle Shorts | Gel Padded Mid Rise Mesh Breathable</t>
  </si>
  <si>
    <t xml:space="preserve">womens-mini-shorts-high-rise-contrast-trim-compressive</t>
  </si>
  <si>
    <t xml:space="preserve">Women's Mini Shorts | High-Rise Contrast Trim Compressive</t>
  </si>
  <si>
    <t xml:space="preserve">womens-one-piece-swimsuit-plunging-v-neck-halter-ruched</t>
  </si>
  <si>
    <t xml:space="preserve">Women's One Piece Swimsuit | Plunging V-Neck Halter Ruched</t>
  </si>
  <si>
    <t xml:space="preserve">womens-one-piece-swimsuit-plunging-v-neck-scalloped-trim-ruched</t>
  </si>
  <si>
    <t xml:space="preserve">Women's One Piece Swimsuit | Plunging V-Neck Scalloped Trim Ruched</t>
  </si>
  <si>
    <t xml:space="preserve">womens-one-piece-swimsuit-scoop-neck-high-cut-glossy</t>
  </si>
  <si>
    <t xml:space="preserve">Women's One Piece Swimsuit | Scoop Neck High-Cut Glossy</t>
  </si>
  <si>
    <t xml:space="preserve">womens-one-piece-swimsuit-scoop-neck-open-back</t>
  </si>
  <si>
    <t xml:space="preserve">Women's One Piece Swimsuit | Scoop Neck Open Back</t>
  </si>
  <si>
    <t xml:space="preserve">womens-one-piece-swimsuit-sweetheart-neckline-ruched-adjustable-straps</t>
  </si>
  <si>
    <t xml:space="preserve">Women's One Piece Swimsuit | Sweetheart Neckline Ruched Adjustable Straps</t>
  </si>
  <si>
    <t xml:space="preserve">womens-one-piece-swimsuit-v-neck-wrap-silhouette</t>
  </si>
  <si>
    <t xml:space="preserve">Women's One Piece Swimsuit | V-Neck Wrap Silhouette</t>
  </si>
  <si>
    <t xml:space="preserve">womens-period-swimwear-crossover-v-neck-high-waisted-geometric</t>
  </si>
  <si>
    <t xml:space="preserve">Women's Period Swimwear | Crossover V-Neck High-Waisted Geometric</t>
  </si>
  <si>
    <t xml:space="preserve">womens-period-swimwear-deep-v-neckline-ruched-center-ring-detail-floral</t>
  </si>
  <si>
    <t xml:space="preserve">Women's Period Swimwear | Deep V Neckline Ruched Center Ring Detail Floral</t>
  </si>
  <si>
    <t xml:space="preserve">womens-period-swimwear-high-waist-racerback-nylon</t>
  </si>
  <si>
    <t xml:space="preserve">Women's Period Swimwear | High Waist Racerback Nylon</t>
  </si>
  <si>
    <t xml:space="preserve">womens-period-swimwear-ruched-botanical-one-piece</t>
  </si>
  <si>
    <t xml:space="preserve">Women's Period Swimwear | Ruched Botanical One Piece</t>
  </si>
  <si>
    <t xml:space="preserve">womens-period-swimwear-scoop-neck-striped-one-piece</t>
  </si>
  <si>
    <t xml:space="preserve">Women's Period Swimwear | Scoop Neck Striped One Piece</t>
  </si>
  <si>
    <t xml:space="preserve">womens-swimwear-asymmetric-one-shoulder-ruched</t>
  </si>
  <si>
    <t xml:space="preserve">Women's Swimwear | Asymmetric One Shoulder Ruched</t>
  </si>
  <si>
    <t xml:space="preserve">womens-swimwear-deep-v-neck-striped-one-piece</t>
  </si>
  <si>
    <t xml:space="preserve">Women's Swimwear | Deep V-Neck Striped One-Piece</t>
  </si>
  <si>
    <t xml:space="preserve">womens-swimwear-plunging-v-neck-wrap-ruched-one-piece</t>
  </si>
  <si>
    <t xml:space="preserve">Women's Swimwear | Plunging V-Neck Wrap Ruched One Piece</t>
  </si>
  <si>
    <t xml:space="preserve">womens-swimwear-strapless-ruched-front-high-cut</t>
  </si>
  <si>
    <t xml:space="preserve">Women's Swimwear | Strapless Ruched Front High-Cut</t>
  </si>
  <si>
    <t xml:space="preserve">womens-swimwear-v-neck-striped-cutout-one-piece</t>
  </si>
  <si>
    <t xml:space="preserve">Women's Swimwear | V-Neck Striped Cutout One-Piece</t>
  </si>
  <si>
    <t xml:space="preserve">womens-tankini-halter-neck-gingham-contrast-waist</t>
  </si>
  <si>
    <t xml:space="preserve">Women's Tankini | Halter Neck Gingham Contrast Waist</t>
  </si>
  <si>
    <t xml:space="preserve">womens-tankini-halter-neck-mesh-skirt-mini</t>
  </si>
  <si>
    <t xml:space="preserve">Women's Tankini | Halter Neck Mesh Skirt Mini</t>
  </si>
  <si>
    <t xml:space="preserve">womens-tankini-halter-neckline-tie-closure-asymmetric-hem</t>
  </si>
  <si>
    <t xml:space="preserve">Women's Tankini | Halter Neckline Tie Closure Asymmetric Hem</t>
  </si>
  <si>
    <t xml:space="preserve">womens-tankini-scoop-neck-racerback-floral-print</t>
  </si>
  <si>
    <t xml:space="preserve">Women's Tankini | Scoop Neck Racerback Floral Print</t>
  </si>
  <si>
    <t xml:space="preserve">womens-tankini-v-neck-sleeveless-striped-ruched</t>
  </si>
  <si>
    <t xml:space="preserve">Women's Tankini | V-Neck Sleeveless Striped Ruched</t>
  </si>
  <si>
    <t xml:space="preserve">womens-t-shirt-crew-neck-short-sleeve-knit</t>
  </si>
  <si>
    <t xml:space="preserve">Women's T Shirt | Crew Neck Short Sleeve Knit</t>
  </si>
  <si>
    <t xml:space="preserve">womens-t-shirt-v-neck-short-sleeve-print</t>
  </si>
  <si>
    <t xml:space="preserve">Women's T Shirt | V-Neck Short Sleeve Print</t>
  </si>
  <si>
    <t xml:space="preserve">womens-white-shirt-santa-print-short-sleeve-crew-neck</t>
  </si>
  <si>
    <t xml:space="preserve">Women's White Shirt | Santa Print Short Sleeve Crew Neck</t>
  </si>
  <si>
    <t xml:space="preserve">womens-blouse-scoop-neck-short-sleeve-relaxed-fit</t>
  </si>
  <si>
    <t xml:space="preserve">Women's Blouse | Scoop Neck Short Sleeve Relaxed Fit</t>
  </si>
  <si>
    <t xml:space="preserve">womens-halter-top-sleeveless-gathered-neckline-shimmer</t>
  </si>
  <si>
    <t xml:space="preserve">Women's Halter Top | Sleeveless Gathered Neckline Shimmer</t>
  </si>
  <si>
    <t xml:space="preserve">womens-long-sleeve-top-henley-neckline-button-placket-ribbed-knit</t>
  </si>
  <si>
    <t xml:space="preserve">Women's Long Sleeve Top | Henley Neckline Button Placket Ribbed Knit</t>
  </si>
  <si>
    <t xml:space="preserve">womens-long-sleeve-top-striped-crew-neck-knit</t>
  </si>
  <si>
    <t xml:space="preserve">Women's Long Sleeve Top | Striped Crew Neck Knit</t>
  </si>
  <si>
    <t xml:space="preserve">womens-singlet-top-sleeveless-round-neck-relaxed-fit</t>
  </si>
  <si>
    <t xml:space="preserve">Women's Singlet Top | Sleeveless Round Neck Relaxed Fit</t>
  </si>
  <si>
    <t xml:space="preserve">womens-striped-tank-top-crew-neckline-long-sleeve-knit</t>
  </si>
  <si>
    <t xml:space="preserve">Women's Striped Tank Top | Crew Neckline Long Sleeve Knit</t>
  </si>
  <si>
    <t xml:space="preserve">womens-tank-top-layered-round-neck-short-sleeves-flared</t>
  </si>
  <si>
    <t xml:space="preserve">Women's Tank Top | Layered Round Neck Short Sleeves Flared</t>
  </si>
  <si>
    <t xml:space="preserve">womens-tank-top-plunging-u-neckline-relaxed-fit-satin</t>
  </si>
  <si>
    <t xml:space="preserve">Women's Tank Top | Plunging U-Neckline Relaxed Fit Satin</t>
  </si>
  <si>
    <t xml:space="preserve">womens-tank-top-ribbed-knit-racerback-sleeveless</t>
  </si>
  <si>
    <t xml:space="preserve">Women's Tank Top | Ribbed Knit Racerback Sleeveless</t>
  </si>
  <si>
    <t xml:space="preserve">womens-tank-top-v-neck-sequin-sleeveless</t>
  </si>
  <si>
    <t xml:space="preserve">Women's Tank Top | V-Neck Sequin Sleeveless</t>
  </si>
  <si>
    <t xml:space="preserve">womens-tank-top-v-neck-sleeveless-satin-pull-on</t>
  </si>
  <si>
    <t xml:space="preserve">Women's Tank Top | V-Neck Sleeveless Satin Pull-On</t>
  </si>
  <si>
    <t xml:space="preserve">womens-top-crew-neck-knit-short-sleeve-ribbed</t>
  </si>
  <si>
    <t xml:space="preserve">Women's Top | Crew Neck Knit Short Sleeve Ribbed</t>
  </si>
  <si>
    <t xml:space="preserve">womens-top-square-neck-long-sleeve-knit</t>
  </si>
  <si>
    <t xml:space="preserve">Women's Top | Square Neck Long Sleeve Knit</t>
  </si>
  <si>
    <t xml:space="preserve">womens-top-v-neck-sleeveless-lace-detail</t>
  </si>
  <si>
    <t xml:space="preserve">Women's Top | V Neck Sleeveless Lace Detail</t>
  </si>
  <si>
    <t xml:space="preserve">womens-top-v-neck-long-sleeve-knit-pocket</t>
  </si>
  <si>
    <t xml:space="preserve">Women's Top | V-Neck Long Sleeve Knit Pocket</t>
  </si>
  <si>
    <t xml:space="preserve">womens-sequin-tank-top-v-neck-sleeveless-shimmer</t>
  </si>
  <si>
    <t xml:space="preserve">Women's Sequin Tank Top | V-Neck Sleeveless Shimmer</t>
  </si>
  <si>
    <t xml:space="preserve">womens-singlet-top-roll-neck-sleeveless-linen</t>
  </si>
  <si>
    <t xml:space="preserve">Women's Singlet Top | Roll Neck Sleeveless Linen</t>
  </si>
  <si>
    <t xml:space="preserve">womens-cargo-pants-wide-leg-relaxed-fit-drawstring-waist</t>
  </si>
  <si>
    <t xml:space="preserve">Women's Cargo Pants | Wide-Leg Relaxed Fit Drawstring Waist</t>
  </si>
  <si>
    <t xml:space="preserve">womens-linen-pants-high-waist-wide-leg-striped</t>
  </si>
  <si>
    <t xml:space="preserve">Women's Linen Pants | High Waist Wide Leg Striped</t>
  </si>
  <si>
    <t xml:space="preserve">womens-linen-pants-relaxed-straight-leg-elastic-waist-rolled-hem</t>
  </si>
  <si>
    <t xml:space="preserve">Women's Linen Pants | Relaxed Straight Leg Elastic Waist Rolled Hem</t>
  </si>
  <si>
    <t xml:space="preserve">womens-linen-pants-tapered-leg-high-rise-elastic-waistband</t>
  </si>
  <si>
    <t xml:space="preserve">Women's Linen Pants | Tapered Leg High-Rise Elastic Waistband</t>
  </si>
  <si>
    <t xml:space="preserve">womens-linen-pants-tiered-waist-bow-closure-ankle-length</t>
  </si>
  <si>
    <t xml:space="preserve">Women's Linen Pants | Tiered Waist Bow Closure Ankle Length</t>
  </si>
  <si>
    <t xml:space="preserve">mens-crossbody-bag-canvas-leather-buckle-straps-shoulder-strap</t>
  </si>
  <si>
    <t xml:space="preserve">Men's Crossbody Bag | Canvas Leather Buckle Straps Shoulder Strap</t>
  </si>
  <si>
    <t xml:space="preserve">mens-crossbody-bag-canvas-leather-trim-duffle-shoulder-strap-buckle-pocket</t>
  </si>
  <si>
    <t xml:space="preserve">Men's Crossbody Bag | Canvas Leather Trim Duffle Shoulder Strap Buckle Pocket</t>
  </si>
  <si>
    <t xml:space="preserve">mens-crossbody-bag-canvas-magnetic-closure-adjustable-strap</t>
  </si>
  <si>
    <t xml:space="preserve">Men's Crossbody Bag | Canvas Magnetic Closure Adjustable Strap</t>
  </si>
  <si>
    <t xml:space="preserve">mens-crossbody-bag-padded-laptop-compartment-messenger-bag</t>
  </si>
  <si>
    <t xml:space="preserve">Men's Crossbody Bag | Padded Laptop Compartment Messenger Bag</t>
  </si>
  <si>
    <t xml:space="preserve">mens-crossbody-bag-quilted-pattern-zip-closure-adjustable-strap</t>
  </si>
  <si>
    <t xml:space="preserve">Men's Crossbody Bag | Quilted Pattern Zip Closure Adjustable Strap</t>
  </si>
  <si>
    <t xml:space="preserve">mens-slim-wallet-rfid-blocking-faux-leather-card-holder</t>
  </si>
  <si>
    <t xml:space="preserve">Men's Slim Wallet | RFID Blocking Faux Leather Card Holder</t>
  </si>
  <si>
    <t xml:space="preserve">mens-wallet-leather-aluminum-card-slots-money-clip</t>
  </si>
  <si>
    <t xml:space="preserve">Men's Wallet | Leather Aluminum Card Slots Money Clip</t>
  </si>
  <si>
    <t xml:space="preserve">mens-wallet-leather-bifold-rfid-blocking-slim</t>
  </si>
  <si>
    <t xml:space="preserve">Men's Wallet | Leather Bifold RFID Blocking Slim</t>
  </si>
  <si>
    <t xml:space="preserve">mens-wallet-pop-up-card-holder-aluminium-leather-rfid</t>
  </si>
  <si>
    <t xml:space="preserve">Men's Wallet | Pop-Up Card Holder Aluminium Leather RFID</t>
  </si>
  <si>
    <t xml:space="preserve">mens-band-collar-shirt-linen-long-sleeve-button-front</t>
  </si>
  <si>
    <t xml:space="preserve">Men's Band Collar Shirt | Linen Long Sleeve Button Front</t>
  </si>
  <si>
    <t xml:space="preserve">mens-button-up-shirt-collared-long-sleeve-chest-pockets</t>
  </si>
  <si>
    <t xml:space="preserve">Men's Button Up Shirt | Collared Long Sleeve Chest Pockets</t>
  </si>
  <si>
    <t xml:space="preserve">mens-button-up-shirt-collared-three-quarter-sleeve-breathable</t>
  </si>
  <si>
    <t xml:space="preserve">Men's Button Up Shirt | Collared Three-Quarter Sleeve Breathable</t>
  </si>
  <si>
    <t xml:space="preserve">mens-linen-shirt-mandarin-collar-button-front-relaxed-fit-1</t>
  </si>
  <si>
    <t xml:space="preserve">Men's Linen Shirt | Mandarin Collar Button Front Relaxed Fit</t>
  </si>
  <si>
    <t xml:space="preserve">mens-linen-shirt-mandarin-collar-button-front-relaxed-fit</t>
  </si>
  <si>
    <t xml:space="preserve">mens-linen-work-shirt-henley-neckline-button-placket-relaxed-fit</t>
  </si>
  <si>
    <t xml:space="preserve">Men's Linen Work Shirt | Henley Neckline Button Placket Relaxed Fit</t>
  </si>
  <si>
    <t xml:space="preserve">mens-long-sleeve-top-slim-fit-wool-point-collar-button</t>
  </si>
  <si>
    <t xml:space="preserve">Men's Long Sleeve Top | Slim Fit Wool Point Collar Button</t>
  </si>
  <si>
    <t xml:space="preserve">mens-shirt-corduroy-collared-long-sleeve-button-front</t>
  </si>
  <si>
    <t xml:space="preserve">Men's Shirt | Corduroy Collared Long Sleeve Button Front</t>
  </si>
  <si>
    <t xml:space="preserve">mens-white-shirt-short-sleeve-button-up-relaxed-fit</t>
  </si>
  <si>
    <t xml:space="preserve">Men's White Shirt | Short Sleeve Button-Up Relaxed Fit</t>
  </si>
  <si>
    <t xml:space="preserve">mens-white-shirt-short-sleeve-collar-button-closure</t>
  </si>
  <si>
    <t xml:space="preserve">Men's White Shirt | Short Sleeve Collar Button Closure</t>
  </si>
  <si>
    <t xml:space="preserve">mens-white-shirt-short-sleeve-linen-collar-pocket</t>
  </si>
  <si>
    <t xml:space="preserve">Men's White Shirt | Short Sleeve Linen Collar Pocket</t>
  </si>
  <si>
    <t xml:space="preserve">mens-work-shirt-button-down-collar-long-sleeve-cotton</t>
  </si>
  <si>
    <t xml:space="preserve">Men's Work Shirt | Button Down Collar Long Sleeve Cotton</t>
  </si>
  <si>
    <t xml:space="preserve">mens-work-shirt-henley-neckline-long-sleeve-linen</t>
  </si>
  <si>
    <t xml:space="preserve">Men's Work Shirt | Henley Neckline Long Sleeve Linen</t>
  </si>
  <si>
    <t xml:space="preserve">mens-work-shirt-long-sleeve-button-down-chest-pockets</t>
  </si>
  <si>
    <t xml:space="preserve">Men's Work Shirt | Long Sleeve Button-Down Chest Pockets</t>
  </si>
  <si>
    <t xml:space="preserve">mens-button-up-shirt-collared-linen-short-sleeve-relaxed-fit</t>
  </si>
  <si>
    <t xml:space="preserve">Men's Button Up Shirt | Collared Linen Short Sleeve Relaxed Fit</t>
  </si>
  <si>
    <t xml:space="preserve">mens-button-up-shirt-lapel-collar-long-sleeve-linen</t>
  </si>
  <si>
    <t xml:space="preserve">Men's Button Up Shirt | Lapel Collar Long Sleeve Linen</t>
  </si>
  <si>
    <t xml:space="preserve">mens-hawaiian-shirt-button-collar-botanical-print-short-sleeve</t>
  </si>
  <si>
    <t xml:space="preserve">Men's Hawaiian Shirt | Button Collar Botanical Print Short Sleeve</t>
  </si>
  <si>
    <t xml:space="preserve">mens-hawaiian-shirt-gradient-ombre-short-sleeve-button-front</t>
  </si>
  <si>
    <t xml:space="preserve">Men's Hawaiian Shirt | Gradient Ombre Short Sleeve Button Front</t>
  </si>
  <si>
    <t xml:space="preserve">mens-hawaiian-shirt-short-sleeve-button-front-graphic-linen</t>
  </si>
  <si>
    <t xml:space="preserve">Men's Hawaiian Shirt | Short Sleeve Button Front Graphic Linen</t>
  </si>
  <si>
    <t xml:space="preserve">mens-hawaiian-shirt-short-sleeve-button-up-print</t>
  </si>
  <si>
    <t xml:space="preserve">Men's Hawaiian Shirt | Short Sleeve Button Up Print</t>
  </si>
  <si>
    <t xml:space="preserve">mens-hawaiian-shirt-short-sleeve-newspaper-print-collar</t>
  </si>
  <si>
    <t xml:space="preserve">Men's Hawaiian Shirt | Short Sleeve Newspaper Print Collar</t>
  </si>
  <si>
    <t xml:space="preserve">mens-hawaiian-shirt-short-sleeve-notch-collar-print</t>
  </si>
  <si>
    <t xml:space="preserve">Men's Hawaiian Shirt | Short Sleeve Notch Collar Print</t>
  </si>
  <si>
    <t xml:space="preserve">mens-hawaiian-shirt-short-sleeve-palm-print-button-up</t>
  </si>
  <si>
    <t xml:space="preserve">Men's Hawaiian Shirt | Short Sleeve Palm Print Button Up</t>
  </si>
  <si>
    <t xml:space="preserve">mens-henley-linen-blend-rolled-sleeves-v-neck</t>
  </si>
  <si>
    <t xml:space="preserve">Men's Henley | Linen Blend Rolled Sleeves V-Neck</t>
  </si>
  <si>
    <t xml:space="preserve">mens-henley-v-neck-long-sleeve-linen-relaxed-fit</t>
  </si>
  <si>
    <t xml:space="preserve">Men's Henley | V-Neck Long Sleeve Linen Relaxed Fit</t>
  </si>
  <si>
    <t xml:space="preserve">mens-linen-blend-shirt-short-sleeves-button-front-collar</t>
  </si>
  <si>
    <t xml:space="preserve">Men's Linen Blend Shirt | Short Sleeves Button Front Collar</t>
  </si>
  <si>
    <t xml:space="preserve">mens-linen-shirt-short-sleeve-collared-button-closure</t>
  </si>
  <si>
    <t xml:space="preserve">Men's Linen Shirt | Short Sleeve Collared Button Closure</t>
  </si>
  <si>
    <t xml:space="preserve">mens-linen-shirt-short-sleeve-collared-button-front</t>
  </si>
  <si>
    <t xml:space="preserve">Men's Linen Shirt | Short Sleeve Collared Button Front</t>
  </si>
  <si>
    <t xml:space="preserve">mens-linen-shirt-v-neck-short-sleeve-relaxed-fit</t>
  </si>
  <si>
    <t xml:space="preserve">Men's Linen Shirt | V-Neck Short Sleeve Relaxed Fit</t>
  </si>
  <si>
    <t xml:space="preserve">mens-two-piece-set-short-sleeve-button-closure-ribbed</t>
  </si>
  <si>
    <t xml:space="preserve">Men's Two Piece Set | Short Sleeve Button Closure Ribbed</t>
  </si>
  <si>
    <t xml:space="preserve">mens-two-piece-set-short-sleeve-button-down-relaxed-fit</t>
  </si>
  <si>
    <t xml:space="preserve">Men's Two Piece Set | Short Sleeve Button Down Relaxed Fit</t>
  </si>
  <si>
    <t xml:space="preserve">mens-bucket-hat-cotton-denim-casual-adjustable</t>
  </si>
  <si>
    <t xml:space="preserve">Men's Bucket Hat | Cotton Denim Casual Adjustable</t>
  </si>
  <si>
    <t xml:space="preserve">mens-bucket-hat-newsboy-style-vintage-wool</t>
  </si>
  <si>
    <t xml:space="preserve">Men's Bucket Hat | Newsboy Style Vintage Wool</t>
  </si>
  <si>
    <t xml:space="preserve">mens-bucket-hat-wide-brim-adjustable-chin-strap</t>
  </si>
  <si>
    <t xml:space="preserve">Men's Bucket Hat | Wide Brim Adjustable Chin Strap</t>
  </si>
  <si>
    <t xml:space="preserve">mens-sun-hat-wide-brim-breathable-adjustable-strap</t>
  </si>
  <si>
    <t xml:space="preserve">Men's Sun Hat | Wide Brim Breathable Adjustable Strap</t>
  </si>
  <si>
    <t xml:space="preserve">mens-cargo-pants-slim-fit-denim-multiple-pockets</t>
  </si>
  <si>
    <t xml:space="preserve">Men's Cargo Pants | Slim Fit Denim Multiple Pockets</t>
  </si>
  <si>
    <t xml:space="preserve">mens-jeans-lightning-print-relaxed-fit-straight-leg-denim</t>
  </si>
  <si>
    <t xml:space="preserve">Men's Jeans | Lightning Print Relaxed Fit Straight Leg Denim</t>
  </si>
  <si>
    <t xml:space="preserve">mens-jeans-skinny-fit-cargo-pockets-denim</t>
  </si>
  <si>
    <t xml:space="preserve">Men's Jeans | Skinny Fit Cargo Pockets Denim</t>
  </si>
  <si>
    <t xml:space="preserve">mens-jeans-skinny-fit-ripped-denim-1</t>
  </si>
  <si>
    <t xml:space="preserve">Men's Jeans | Skinny Fit Ripped Denim</t>
  </si>
  <si>
    <t xml:space="preserve">mens-jeans-skinny-fit-ripped-denim</t>
  </si>
  <si>
    <t xml:space="preserve">mens-jeans-slim-fit-button-fly-leather</t>
  </si>
  <si>
    <t xml:space="preserve">Men's Jeans | Slim Fit Button Fly Leather</t>
  </si>
  <si>
    <t xml:space="preserve">mens-jeans-slim-fit-ripped-denim</t>
  </si>
  <si>
    <t xml:space="preserve">Men's Jeans | Slim Fit Ripped Denim</t>
  </si>
  <si>
    <t xml:space="preserve">mens-jeans-slim-fit-tapered-leg-denim</t>
  </si>
  <si>
    <t xml:space="preserve">Men's Jeans | Slim Fit Tapered Leg Denim</t>
  </si>
  <si>
    <t xml:space="preserve">mens-linen-pants-relaxed-fit-straight-leg-breathable</t>
  </si>
  <si>
    <t xml:space="preserve">Men's Linen Pants | Relaxed Fit Straight Leg Breathable</t>
  </si>
  <si>
    <t xml:space="preserve">mens-cargo-pants-relaxed-fit-utility-pockets-jogger</t>
  </si>
  <si>
    <t xml:space="preserve">Men's Cargo Pants | Relaxed Fit Utility Pockets Jogger</t>
  </si>
  <si>
    <t xml:space="preserve">mens-track-pants-baggy-fit-side-stripe-tapered-cuff</t>
  </si>
  <si>
    <t xml:space="preserve">Men's Track Pants | Baggy Fit Side Stripe Tapered Cuff</t>
  </si>
  <si>
    <t xml:space="preserve">mens-track-pants-drawstring-waist-side-stripe-relaxed-fit</t>
  </si>
  <si>
    <t xml:space="preserve">Men's Track Pants | Drawstring Waist Side Stripe Relaxed Fit</t>
  </si>
  <si>
    <t xml:space="preserve">mens-track-pants-elastic-waist-drawstring-relaxed-fit</t>
  </si>
  <si>
    <t xml:space="preserve">Men's Track Pants | Elastic Waist Drawstring Relaxed Fit</t>
  </si>
  <si>
    <t xml:space="preserve">mens-track-pants-relaxed-fit-side-stripe-elastic-waist</t>
  </si>
  <si>
    <t xml:space="preserve">Men's Track Pants | Relaxed Fit Side Stripe Elastic Waist</t>
  </si>
  <si>
    <t xml:space="preserve">mens-long-sleeve-polo-shirt-collared-button-knit</t>
  </si>
  <si>
    <t xml:space="preserve">Men's Long Sleeve Polo Shirt | Collared Button Knit</t>
  </si>
  <si>
    <t xml:space="preserve">mens-long-sleeve-polo-shirt-contrast-collar-button-closure</t>
  </si>
  <si>
    <t xml:space="preserve">Men's Long-Sleeve Polo Shirt | Contrast Collar Button Closure</t>
  </si>
  <si>
    <t xml:space="preserve">mens-polo-shirt-colorblock-design-short-sleeve-zip-closure</t>
  </si>
  <si>
    <t xml:space="preserve">Men's Polo Shirt | Colorblock Design Short Sleeve Zip Closure</t>
  </si>
  <si>
    <t xml:space="preserve">mens-polo-shirt-lapel-collar-short-sleeve-palm-print</t>
  </si>
  <si>
    <t xml:space="preserve">Men's Polo Shirt | Lapel Collar Short Sleeve Palm Print</t>
  </si>
  <si>
    <t xml:space="preserve">mens-polo-shirt-ribbed-knit-long-sleeve-collar</t>
  </si>
  <si>
    <t xml:space="preserve">Men's Polo Shirt | Ribbed Knit Long Sleeve Collar</t>
  </si>
  <si>
    <t xml:space="preserve">mens-polo-shirt-short-sleeve-collared-knit</t>
  </si>
  <si>
    <t xml:space="preserve">Men's Polo Shirt | Short-Sleeve Collared Knit</t>
  </si>
  <si>
    <t xml:space="preserve">mens-polo-shirt-striped-collared-short-sleeve</t>
  </si>
  <si>
    <t xml:space="preserve">Men's Polo Shirt | Striped Collared Short Sleeve</t>
  </si>
  <si>
    <t xml:space="preserve">mens-work-shirt-polo-collar-short-sleeve-ribbed-knit</t>
  </si>
  <si>
    <t xml:space="preserve">Men's Work Shirt | Polo Collar Short Sleeve Ribbed Knit</t>
  </si>
  <si>
    <t xml:space="preserve">mens-leather-sandals-closed-toe-adjustable-strap-cushioned</t>
  </si>
  <si>
    <t xml:space="preserve">Men's Leather Sandals | Closed Toe Adjustable Strap Cushioned</t>
  </si>
  <si>
    <t xml:space="preserve">mens-leather-sandals-closed-toe-anti-slip-sole-stitched</t>
  </si>
  <si>
    <t xml:space="preserve">Men's Leather Sandals | Closed Toe Anti-Slip Sole Stitched</t>
  </si>
  <si>
    <t xml:space="preserve">mens-leather-sandals-cross-strap-open-toe-slip-on-flat</t>
  </si>
  <si>
    <t xml:space="preserve">Men's Leather Sandals | Cross-Strap Open Toe Slip-On Flat</t>
  </si>
  <si>
    <t xml:space="preserve">mens-leather-sandals-open-toe-buckle-strap-platform-sole</t>
  </si>
  <si>
    <t xml:space="preserve">Men's Leather Sandals | Open Toe Buckle Strap Platform Sole</t>
  </si>
  <si>
    <t xml:space="preserve">mens-leather-sandals-open-toe-cross-strap-flat-sole</t>
  </si>
  <si>
    <t xml:space="preserve">Men's Leather Sandals | Open Toe Cross Strap Flat Sole</t>
  </si>
  <si>
    <t xml:space="preserve">mens-leather-sandals-strapped-open-toe-buckle-closure</t>
  </si>
  <si>
    <t xml:space="preserve">Men's Leather Sandals | Strapped Open Toe Buckle Closure</t>
  </si>
  <si>
    <t xml:space="preserve">mens-leather-slide-open-toe-flat-sole-comfort</t>
  </si>
  <si>
    <t xml:space="preserve">Men's Leather Slide | Open Toe Flat Sole Comfort</t>
  </si>
  <si>
    <t xml:space="preserve">mens-sandals-open-toe-adjustable-straps-cushioned</t>
  </si>
  <si>
    <t xml:space="preserve">Men's Sandals | Open Toe Adjustable Straps Cushioned</t>
  </si>
  <si>
    <t xml:space="preserve">mens-sandals-open-toe-adjustable-velcro-leather</t>
  </si>
  <si>
    <t xml:space="preserve">Men's Sandals | Open Toe Adjustable Velcro Leather</t>
  </si>
  <si>
    <t xml:space="preserve">mens-sandals-open-toe-hook-and-loop-straps-cushioned</t>
  </si>
  <si>
    <t xml:space="preserve">Men's Sandals | Open Toe Hook And Loop Straps Cushioned</t>
  </si>
  <si>
    <t xml:space="preserve">mens-sandals-open-toe-leather-adjustable-straps</t>
  </si>
  <si>
    <t xml:space="preserve">Men's Sandals | Open Toe Leather Adjustable Straps</t>
  </si>
  <si>
    <t xml:space="preserve">mens-sandals-strappy-open-toe-buckle-closure</t>
  </si>
  <si>
    <t xml:space="preserve">Men's Sandals | Strappy Open Toe Buckle Closure</t>
  </si>
  <si>
    <t xml:space="preserve">mens-slide-buckle-closure-ventilated-leather</t>
  </si>
  <si>
    <t xml:space="preserve">Men's Slide | Buckle Closure Ventilated Leather</t>
  </si>
  <si>
    <t xml:space="preserve">mens-slide-round-toe-pivoting-heel-strap-slip-on</t>
  </si>
  <si>
    <t xml:space="preserve">Men's Slide | Round Toe Pivoting Heel Strap Slip-On</t>
  </si>
  <si>
    <t xml:space="preserve">mens-slide-thong-closure-leather-strap</t>
  </si>
  <si>
    <t xml:space="preserve">Men's Slide | Thong Closure Leather Strap</t>
  </si>
  <si>
    <t xml:space="preserve">sandals-for-men-closed-toe-mesh-slip-on-cushioned-sole</t>
  </si>
  <si>
    <t xml:space="preserve">Sandals For Men | Closed Toe Mesh Slip-On Cushioned Sole</t>
  </si>
  <si>
    <t xml:space="preserve">water-shoe-for-men-adjustable-hook-loop-breathable-mesh-minimalist</t>
  </si>
  <si>
    <t xml:space="preserve">Water Shoe For Men | Adjustable Hook Loop Breathable Mesh Minimalist</t>
  </si>
  <si>
    <t xml:space="preserve">cowboy-shoe-for-men-leather-western-almond-toe-stacked-heel</t>
  </si>
  <si>
    <t xml:space="preserve">Cowboy Shoe For Men | Leather Western Almond Toe Stacked Heel</t>
  </si>
  <si>
    <t xml:space="preserve">derby-shoe-for-men-lace-up-leather-oxford-sole</t>
  </si>
  <si>
    <t xml:space="preserve">Derby Shoe For Men | Lace-Up Leather Oxford Sole</t>
  </si>
  <si>
    <t xml:space="preserve">mens-boat-shoe-lace-up-contrasting-collar-flexible-sole</t>
  </si>
  <si>
    <t xml:space="preserve">Men's Boat Shoe | Lace-Up Contrasting Collar Flexible Sole</t>
  </si>
  <si>
    <t xml:space="preserve">mens-boat-shoe-lace-up-suede-casual-loafer</t>
  </si>
  <si>
    <t xml:space="preserve">Men's Boat Shoe | Lace-Up Suede Casual Loafer</t>
  </si>
  <si>
    <t xml:space="preserve">mens-boat-shoe-leather-lace-casual-loafer</t>
  </si>
  <si>
    <t xml:space="preserve">Men's Boat Shoe | Leather Lace Casual Loafer</t>
  </si>
  <si>
    <t xml:space="preserve">mens-boat-shoe-leather-lace-up-contrast-toe</t>
  </si>
  <si>
    <t xml:space="preserve">Men's Boat Shoe | Leather Lace-Up Contrast Toe</t>
  </si>
  <si>
    <t xml:space="preserve">mens-boat-shoe-leather-round-toe-lace-closure</t>
  </si>
  <si>
    <t xml:space="preserve">Men's Boat Shoe | Leather Round Toe Lace Closure</t>
  </si>
  <si>
    <t xml:space="preserve">mens-boat-shoe-two-tone-lace-leather-casual</t>
  </si>
  <si>
    <t xml:space="preserve">Men's Boat Shoe | Two-Tone Lace Leather Casual</t>
  </si>
  <si>
    <t xml:space="preserve">mens-loafers-canvas-slip-on-lace-cushioned-sole</t>
  </si>
  <si>
    <t xml:space="preserve">Men's Loafers | Canvas Slip On Lace Cushioned Sole</t>
  </si>
  <si>
    <t xml:space="preserve">mens-loafers-perforated-slip-on-leather-breathable</t>
  </si>
  <si>
    <t xml:space="preserve">Men's Loafers | Perforated Slip-On Leather Breathable</t>
  </si>
  <si>
    <t xml:space="preserve">mens-loafers-slip-on-suede-almond-toe-flat-sole</t>
  </si>
  <si>
    <t xml:space="preserve">Men's Loafers | Slip On Suede Almond Toe Flat Sole</t>
  </si>
  <si>
    <t xml:space="preserve">mens-loafers-slip-on-leather-closed-toe-textured-sole</t>
  </si>
  <si>
    <t xml:space="preserve">Men's Loafers | Slip-On Leather Closed Toe Textured Sole</t>
  </si>
  <si>
    <t xml:space="preserve">mens-loafers-suede-slip-on-rounded-toe-rubber-sole</t>
  </si>
  <si>
    <t xml:space="preserve">Men's Loafers | Suede Slip-On Rounded Toe Rubber Sole</t>
  </si>
  <si>
    <t xml:space="preserve">mens-shoe-lace-up-cushioned-water-resistant-lightweight</t>
  </si>
  <si>
    <t xml:space="preserve">Men's Shoe | Lace-Up Cushioned Water-Resistant Lightweight</t>
  </si>
  <si>
    <t xml:space="preserve">mens-cargo-shorts-denim-cargo-pockets-belted</t>
  </si>
  <si>
    <t xml:space="preserve">Men's Cargo Shorts | Denim Cargo Pockets Belted</t>
  </si>
  <si>
    <t xml:space="preserve">mens-cargo-shorts-denim-multiple-pockets-relaxed-fit</t>
  </si>
  <si>
    <t xml:space="preserve">Men's Cargo Shorts | Denim Multiple Pockets Relaxed Fit</t>
  </si>
  <si>
    <t xml:space="preserve">mens-cargo-shorts-drawstring-relaxed-fit-zip-pockets</t>
  </si>
  <si>
    <t xml:space="preserve">Men's Cargo Shorts | Drawstring Relaxed Fit Zip Pockets</t>
  </si>
  <si>
    <t xml:space="preserve">mens-cargo-shorts-drawstring-waist-patch-pocket</t>
  </si>
  <si>
    <t xml:space="preserve">Men's Cargo Shorts | Drawstring Waist Patch Pocket</t>
  </si>
  <si>
    <t xml:space="preserve">mens-cargo-shorts-relaxed-fit-cargo-pockets-utility</t>
  </si>
  <si>
    <t xml:space="preserve">Men's Cargo Shorts | Relaxed Fit Cargo Pockets Utility</t>
  </si>
  <si>
    <t xml:space="preserve">mens-cargo-shorts-relaxed-fit-multiple-pockets-water-repellent</t>
  </si>
  <si>
    <t xml:space="preserve">Men's Cargo Shorts | Relaxed Fit Multiple Pockets Water-Repellent</t>
  </si>
  <si>
    <t xml:space="preserve">mens-cargo-shorts-tailored-silhouette-utility-pockets-stretch</t>
  </si>
  <si>
    <t xml:space="preserve">Men's Cargo Shorts | Tailored Silhouette Utility Pockets Stretch</t>
  </si>
  <si>
    <t xml:space="preserve">mens-chino-shorts-flat-front-tailored-fit-cotton-casual</t>
  </si>
  <si>
    <t xml:space="preserve">Men's Chino Shorts | Flat Front Tailored Fit Cotton Casual</t>
  </si>
  <si>
    <t xml:space="preserve">mens-chino-pleated-tailored-cuffed-shorts</t>
  </si>
  <si>
    <t xml:space="preserve">Men's Chino | Pleated Tailored Cuffed Shorts</t>
  </si>
  <si>
    <t xml:space="preserve">mens-linen-shorts-drawstring-relaxed-fit-deep-pockets</t>
  </si>
  <si>
    <t xml:space="preserve">Men's Linen Shorts | Drawstring Relaxed Fit Deep Pockets</t>
  </si>
  <si>
    <t xml:space="preserve">mens-linen-shorts-drawstring-waist-relaxed-fit-knee-length</t>
  </si>
  <si>
    <t xml:space="preserve">Men's Linen Shorts | Drawstring Waist Relaxed Fit Knee Length</t>
  </si>
  <si>
    <t xml:space="preserve">mens-linen-shorts-drawstring-waist-relaxed-fit-lightweight</t>
  </si>
  <si>
    <t xml:space="preserve">Men's Linen Shorts | Drawstring Waist Relaxed Fit Lightweight</t>
  </si>
  <si>
    <t xml:space="preserve">mens-linen-shorts-drawstring-waist-relaxed-fit-side-pockets</t>
  </si>
  <si>
    <t xml:space="preserve">Men's Linen Shorts | Drawstring Waist Relaxed Fit Side Pockets</t>
  </si>
  <si>
    <t xml:space="preserve">mens-linen-shorts-pleated-flat-front-rolled-hem-cotton</t>
  </si>
  <si>
    <t xml:space="preserve">Men's Linen Shorts | Pleated Flat Front Rolled Hem Cotton</t>
  </si>
  <si>
    <t xml:space="preserve">mens-shorts-drawstring-relaxed-fit-linen</t>
  </si>
  <si>
    <t xml:space="preserve">Men's Shorts | Drawstring Relaxed Fit Linen</t>
  </si>
  <si>
    <t xml:space="preserve">mens-shorts-elastic-waist-drawcord-relaxed-fit</t>
  </si>
  <si>
    <t xml:space="preserve">Men's Shorts | Elastic Waist Drawcord Relaxed Fit</t>
  </si>
  <si>
    <t xml:space="preserve">mens-shorts-knee-length-pull-on-linen</t>
  </si>
  <si>
    <t xml:space="preserve">Men's Shorts | Knee Length Pull-On Linen</t>
  </si>
  <si>
    <t xml:space="preserve">mens-shorts-palm-print-elastic-drawstring-relaxed-fit</t>
  </si>
  <si>
    <t xml:space="preserve">Men's Shorts | Palm Print Elastic Drawstring Relaxed Fit</t>
  </si>
  <si>
    <t xml:space="preserve">mens-tailored-shorts-drawstring-waist-corduroy-relaxed-fit</t>
  </si>
  <si>
    <t xml:space="preserve">Men's Tailored Shorts | Drawstring Waist Corduroy Relaxed Fit</t>
  </si>
  <si>
    <t xml:space="preserve">mens-tailored-shorts-knee-length-cargo-denim</t>
  </si>
  <si>
    <t xml:space="preserve">Men's Tailored Shorts | Knee Length Cargo Denim</t>
  </si>
  <si>
    <t xml:space="preserve">mens-tailored-shorts-regular-fit-woven-functional-pockets</t>
  </si>
  <si>
    <t xml:space="preserve">Men's Tailored Shorts | Regular Fit Woven Functional Pockets</t>
  </si>
  <si>
    <t xml:space="preserve">mens-tailored-shorts-relaxed-fit-drawstring-pockets</t>
  </si>
  <si>
    <t xml:space="preserve">Men's Tailored Shorts | Relaxed Fit Drawstring Pockets</t>
  </si>
  <si>
    <t xml:space="preserve">mens-tailored-shorts-relaxed-fit-linen-drawstring-rolled-hem</t>
  </si>
  <si>
    <t xml:space="preserve">Men's Tailored Shorts | Relaxed Fit Linen Drawstring Rolled Hem</t>
  </si>
  <si>
    <t xml:space="preserve">mens-work-shorts-cargo-pockets-relaxed-fit-cotton</t>
  </si>
  <si>
    <t xml:space="preserve">Men's Work Shorts | Cargo Pockets Relaxed Fit Cotton</t>
  </si>
  <si>
    <t xml:space="preserve">mens-work-shorts-drawstring-closure-ruched-sides</t>
  </si>
  <si>
    <t xml:space="preserve">Men's Work Shorts | Drawstring Closure Ruched Sides</t>
  </si>
  <si>
    <t xml:space="preserve">mens-work-shorts-straight-leg-pleated-button-closure</t>
  </si>
  <si>
    <t xml:space="preserve">Men's Work Shorts | Straight-Leg Pleated Button Closure</t>
  </si>
  <si>
    <t xml:space="preserve">mens-work-shorts-striped-drawstring-casual-fit</t>
  </si>
  <si>
    <t xml:space="preserve">Men's Work Shorts | Striped Drawstring Casual Fit</t>
  </si>
  <si>
    <t xml:space="preserve">athletic-running-shoe-for-men-mesh-upper-lace-closure-lightweight-sole</t>
  </si>
  <si>
    <t xml:space="preserve">Athletic Running Shoe For Men | Mesh Upper Lace Closure Lightweight Sole</t>
  </si>
  <si>
    <t xml:space="preserve">canvas-shoe-for-men-lace-up-low-top-rounded-toe</t>
  </si>
  <si>
    <t xml:space="preserve">Canvas Shoe For Men | Lace-Up Low-Top Rounded Toe</t>
  </si>
  <si>
    <t xml:space="preserve">lightweight-shoe-for-men-lace-closure-mesh-upper-cushioned-sole</t>
  </si>
  <si>
    <t xml:space="preserve">Lightweight Shoe For Men | Lace Closure Mesh Upper Cushioned Sole</t>
  </si>
  <si>
    <t xml:space="preserve">mens-sports-shoe-barefoot-water-aqua-lace-toggle</t>
  </si>
  <si>
    <t xml:space="preserve">Men's Sports Shoe | Barefoot Water Aqua Lace Toggle</t>
  </si>
  <si>
    <t xml:space="preserve">sports-shoe-for-men-lace-up-suede-ankle-high-barefoot</t>
  </si>
  <si>
    <t xml:space="preserve">Sports Shoe For Men | Lace-Up Suede Ankle High Barefoot</t>
  </si>
  <si>
    <t xml:space="preserve">unisex-sports-shoe-slip-on-knit-upper-textured-sole</t>
  </si>
  <si>
    <t xml:space="preserve">Unisex Sports Shoe | Slip-On Knit Upper Textured Sole</t>
  </si>
  <si>
    <t xml:space="preserve">mens-sport-shorts-corduroy-drawstring-waist-rolled-hem</t>
  </si>
  <si>
    <t xml:space="preserve">Men's Sport Shorts | Corduroy Drawstring Waist Rolled Hem</t>
  </si>
  <si>
    <t xml:space="preserve">mens-sport-shorts-drawstring-elastic-waist-relaxed-fit</t>
  </si>
  <si>
    <t xml:space="preserve">Men's Sport Shorts | Drawstring Elastic Waist Relaxed Fit</t>
  </si>
  <si>
    <t xml:space="preserve">mens-sport-shorts-geometric-print-drawstring-quick-dry</t>
  </si>
  <si>
    <t xml:space="preserve">Men's Sport Shorts | Geometric Print Drawstring Quick-Dry</t>
  </si>
  <si>
    <t xml:space="preserve">mens-sport-shorts-waffle-knit-relaxed-fit-drawcord</t>
  </si>
  <si>
    <t xml:space="preserve">Men's Sport Shorts | Waffle Knit Relaxed Fit Drawcord</t>
  </si>
  <si>
    <t xml:space="preserve">mens-board-shorts-compass-print-quick-dry-mesh-lined</t>
  </si>
  <si>
    <t xml:space="preserve">Men's Board Shorts | Compass Print Quick Dry Mesh Lined</t>
  </si>
  <si>
    <t xml:space="preserve">mens-board-shorts-drawstring-waist-printed-mid-thigh</t>
  </si>
  <si>
    <t xml:space="preserve">Men's Board Shorts | Drawstring Waist Printed Mid-Thigh</t>
  </si>
  <si>
    <t xml:space="preserve">mens-board-shorts-elastic-waist-drawstring-quick-dry</t>
  </si>
  <si>
    <t xml:space="preserve">Men's Board Shorts | Elastic Waist Drawstring Quick Dry</t>
  </si>
  <si>
    <t xml:space="preserve">mens-board-shorts-linen-mid-thigh-drawstring-quick-dry</t>
  </si>
  <si>
    <t xml:space="preserve">Men's Board Shorts | Linen Mid-Thigh Drawstring Quick-Dry</t>
  </si>
  <si>
    <t xml:space="preserve">mens-board-shorts-print-pattern-compression-liner-quick-dry</t>
  </si>
  <si>
    <t xml:space="preserve">Men's Board Shorts | Print Pattern Compression Liner Quick Dry</t>
  </si>
  <si>
    <t xml:space="preserve">mens-board-shorts-quick-dry-nylon-athletic-fit-drawstring</t>
  </si>
  <si>
    <t xml:space="preserve">Men's Board Shorts | Quick-Dry Nylon Athletic Fit Drawstring</t>
  </si>
  <si>
    <t xml:space="preserve">mens-board-shorts-striped-drawstring-relaxed-fit</t>
  </si>
  <si>
    <t xml:space="preserve">Men's Board Shorts | Striped Drawstring Relaxed Fit</t>
  </si>
  <si>
    <t xml:space="preserve">mens-swimwear-drawcord-waist-inner-liner-pocket</t>
  </si>
  <si>
    <t xml:space="preserve">Men's Swimwear | Drawcord Waist Inner Liner Pocket</t>
  </si>
  <si>
    <t xml:space="preserve">mens-swimwear-drawstring-waist-side-pockets-adjustable</t>
  </si>
  <si>
    <t xml:space="preserve">Men's Swimwear | Drawstring Waist Side Pockets Adjustable</t>
  </si>
  <si>
    <t xml:space="preserve">mens-swimwear-printed-drawstring-mid-thigh-pockets</t>
  </si>
  <si>
    <t xml:space="preserve">Men's Swimwear | Printed Drawstring Mid-Thigh Pockets</t>
  </si>
  <si>
    <t xml:space="preserve">mens-swimwear-quick-dry-drawstring-shorts</t>
  </si>
  <si>
    <t xml:space="preserve">Men's Swimwear | Quick-Dry Drawstring Shorts</t>
  </si>
  <si>
    <t xml:space="preserve">mens-swimwear-striped-quick-dry-drawstring-mesh-lined</t>
  </si>
  <si>
    <t xml:space="preserve">Men's Swimwear | Striped Quick Dry Drawstring Mesh Lined</t>
  </si>
  <si>
    <t xml:space="preserve">mens-swimwear-vertical-striped-drawstring-relaxed-fit</t>
  </si>
  <si>
    <t xml:space="preserve">Men's Swimwear | Vertical Striped Drawstring Relaxed Fit</t>
  </si>
  <si>
    <t xml:space="preserve">mens-henley-short-sleeve-button-placket-athletic-fit</t>
  </si>
  <si>
    <t xml:space="preserve">Men's Henley | Short Sleeve Button Placket Athletic Fit</t>
  </si>
  <si>
    <t xml:space="preserve">mens-henley-short-sleeve-denim-button-placket</t>
  </si>
  <si>
    <t xml:space="preserve">Men's Henley | Short Sleeve Denim Button Placket</t>
  </si>
  <si>
    <t xml:space="preserve">mens-henley-v-neck-short-sleeve-knit</t>
  </si>
  <si>
    <t xml:space="preserve">Men's Henley | V-Neck Short Sleeve Knit</t>
  </si>
  <si>
    <t xml:space="preserve">mens-long-sleeve-top-half-zip-neck-stretch-knit</t>
  </si>
  <si>
    <t xml:space="preserve">Men's Long Sleeve Top | Half Zip Neck Stretch Knit</t>
  </si>
  <si>
    <t xml:space="preserve">mens-ribbed-knit-shirt-crew-neck-short-sleeve-knit</t>
  </si>
  <si>
    <t xml:space="preserve">Men's Ribbed Knit Shirt | Crew Neck Short Sleeve Knit</t>
  </si>
  <si>
    <t xml:space="preserve">mens-t-shirt-crew-neck-short-sleeve-knit-1</t>
  </si>
  <si>
    <t xml:space="preserve">Men's T Shirt | Crew Neck Short Sleeve Knit</t>
  </si>
  <si>
    <t xml:space="preserve">mens-t-shirt-crew-neck-short-sleeve-knit</t>
  </si>
  <si>
    <t xml:space="preserve">mens-t-shirt-henley-neckline-short-sleeve-button-placket-ribbed</t>
  </si>
  <si>
    <t xml:space="preserve">Men's T Shirt | Henley Neckline Short Sleeve Button Placket Ribbed</t>
  </si>
  <si>
    <t xml:space="preserve">mens-t-shirt-mock-neck-ribbed-knit-short-sleeve</t>
  </si>
  <si>
    <t xml:space="preserve">Men's T Shirt | Mock Neck Ribbed Knit Short Sleeve</t>
  </si>
  <si>
    <t xml:space="preserve">mens-t-shirt-short-sleeve-henley-button-placket-knit</t>
  </si>
  <si>
    <t xml:space="preserve">Men's T Shirt | Short Sleeve Henley Button Placket Knit</t>
  </si>
  <si>
    <t xml:space="preserve">mens-white-shirt-henley-neckline-relaxed-fit-knit</t>
  </si>
  <si>
    <t xml:space="preserve">Men's White Shirt | Henley Neckline Relaxed Fit Knit</t>
  </si>
  <si>
    <t xml:space="preserve">mens-compression-shirt-sleeveless-seamless-ice-silk</t>
  </si>
  <si>
    <t xml:space="preserve">Men's Compression Shirt | Sleeveless Seamless Ice Silk</t>
  </si>
  <si>
    <t xml:space="preserve">mens-compression-shirt-tank-top-sleeveless-knit</t>
  </si>
  <si>
    <t xml:space="preserve">Men's Compression Shirt | Tank Top Sleeveless Knit</t>
  </si>
  <si>
    <t xml:space="preserve">mens-singlet-top-crew-neck-knit-sleeveless-stretch</t>
  </si>
  <si>
    <t xml:space="preserve">Men's Singlet Top | Crew Neck Knit Sleeveless Stretch</t>
  </si>
  <si>
    <t xml:space="preserve">mens-singlet-top-v-neck-sleeveless-knit</t>
  </si>
  <si>
    <t xml:space="preserve">Men's Singlet Top | V-Neck Sleeveless Knit</t>
  </si>
  <si>
    <t xml:space="preserve">mens-singlet-top-v-neckline-sleeveless-relaxed-fit-knit</t>
  </si>
  <si>
    <t xml:space="preserve">Men's Singlet Top | V-Neckline Sleeveless Relaxed Fit Knit</t>
  </si>
  <si>
    <t xml:space="preserve">mens-cargo-pants-relaxed-fit-drawstring-corduroy</t>
  </si>
  <si>
    <t xml:space="preserve">Men's Cargo Pants | Relaxed Fit Drawstring Corduroy</t>
  </si>
  <si>
    <t xml:space="preserve">mens-cargo-pants-relaxed-fit-multi-pocket</t>
  </si>
  <si>
    <t xml:space="preserve">Men's Cargo Pants | Relaxed Fit Multi-Pocket</t>
  </si>
  <si>
    <t xml:space="preserve">mens-cargo-pants-relaxed-fit-multiple-pockets-cotton</t>
  </si>
  <si>
    <t xml:space="preserve">Men's Cargo Pants | Relaxed Fit Multiple Pockets Cotton</t>
  </si>
  <si>
    <t xml:space="preserve">mens-cargo-pants-relaxed-straight-leg-corduroy-pockets</t>
  </si>
  <si>
    <t xml:space="preserve">Men's Cargo Pants | Relaxed Straight Leg Corduroy Pockets</t>
  </si>
  <si>
    <t xml:space="preserve">mens-chino-slim-fit-linen-flat-front</t>
  </si>
  <si>
    <t xml:space="preserve">Men's Chino | Slim Fit Linen Flat Front</t>
  </si>
  <si>
    <t xml:space="preserve">mens-chino-straight-leg-tailored-fit-cotton</t>
  </si>
  <si>
    <t xml:space="preserve">Men's Chino | Straight Leg Tailored Fit Cotton</t>
  </si>
  <si>
    <t xml:space="preserve">mens-chino-tapered-leg-drawstring-linen-blend</t>
  </si>
  <si>
    <t xml:space="preserve">Men's Chino | Tapered Leg Drawstring Linen Blend</t>
  </si>
  <si>
    <t xml:space="preserve">mens-hiking-pants-cargo-pockets-quick-dry-regular-fit</t>
  </si>
  <si>
    <t xml:space="preserve">Men's Hiking Pants | Cargo Pockets Quick-Dry Regular Fit</t>
  </si>
  <si>
    <t xml:space="preserve">mens-hiking-pants-stretch-breathable-cargo-pockets</t>
  </si>
  <si>
    <t xml:space="preserve">Men's Hiking Pants | Stretch Breathable Cargo Pockets</t>
  </si>
  <si>
    <t xml:space="preserve">mens-slim-fit-chino-flat-front-closure-stretch</t>
  </si>
  <si>
    <t xml:space="preserve">Men's Slim Fit Chino | Flat Front Closure Stretch</t>
  </si>
  <si>
    <t xml:space="preserve">mens-cargo-pants-waterproof-fleece-lined-zippered-pockets</t>
  </si>
  <si>
    <t xml:space="preserve">Men's Cargo Pants | Waterproof Fleece Lined Zippered Pockets</t>
  </si>
  <si>
    <t xml:space="preserve">mens-hiking-pants-padded-waterproof-bilateral-zippers</t>
  </si>
  <si>
    <t xml:space="preserve">Men's Hiking Pants | Padded Waterproof Bilateral Zippers</t>
  </si>
  <si>
    <t xml:space="preserve">mens-linen-pants-drawstring-waist-relaxed-fit-tapered-leg</t>
  </si>
  <si>
    <t xml:space="preserve">Men's Linen Pants | Drawstring Waist Relaxed Fit Tapered Leg</t>
  </si>
  <si>
    <t xml:space="preserve">mens-linen-pants-relaxed-fit-breathable-lightweight</t>
  </si>
  <si>
    <t xml:space="preserve">Men's Linen Pants | Relaxed Fit Breathable Lightweight</t>
  </si>
  <si>
    <t xml:space="preserve">mens-linen-pants-relaxed-fit-drawstring-closure</t>
  </si>
  <si>
    <t xml:space="preserve">Men's Linen Pants | Relaxed Fit Drawstring Closure</t>
  </si>
  <si>
    <t xml:space="preserve">mens-linen-pants-straight-fit-elastic-waistband-breathable</t>
  </si>
  <si>
    <t xml:space="preserve">Men's Linen Pants | Straight Fit Elastic Waistband Breathable</t>
  </si>
  <si>
    <t xml:space="preserve">mens-linen-pants-tapered-fit-lightweight-breathable</t>
  </si>
  <si>
    <t xml:space="preserve">Men's Linen Pants | Tapered Fit Lightweight Breathable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</si>
</sst>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B6F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1D1D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4"/>
      </left>
      <right style="thin">
        <color rgb="FFD0D0D4"/>
      </right>
      <top style="thin">
        <color rgb="FFD0D0D4"/>
      </top>
      <bottom style="thin">
        <color rgb="FFD0D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C1D1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F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4" t="n">
        <v>15</v>
      </c>
      <c r="E5" s="5" t="n">
        <v>79.95</v>
      </c>
      <c r="F5" s="5" t="n">
        <v>91.2833333333333</v>
      </c>
      <c r="G5" s="5" t="n">
        <v>104.95</v>
      </c>
      <c r="H5" s="5" t="n">
        <v>168.35</v>
      </c>
      <c r="I5" s="6" t="n">
        <v>0.455841473995262</v>
      </c>
      <c r="J5" s="5" t="n">
        <v>69.95</v>
      </c>
      <c r="K5" s="5" t="n">
        <v>71.95</v>
      </c>
      <c r="L5" s="5" t="n">
        <v>-19.3333333333333</v>
      </c>
      <c r="M5" s="6" t="n">
        <v>-0.211794778163228</v>
      </c>
    </row>
    <row r="6" customFormat="false" ht="15" hidden="false" customHeight="false" outlineLevel="0" collapsed="false">
      <c r="A6" s="4" t="s">
        <v>18</v>
      </c>
      <c r="B6" s="4" t="s">
        <v>16</v>
      </c>
      <c r="C6" s="4" t="s">
        <v>19</v>
      </c>
      <c r="D6" s="4" t="n">
        <v>8</v>
      </c>
      <c r="E6" s="5" t="n">
        <v>84.95</v>
      </c>
      <c r="F6" s="5" t="n">
        <v>89.325</v>
      </c>
      <c r="G6" s="5" t="n">
        <v>89.95</v>
      </c>
      <c r="H6" s="5" t="n">
        <v>165.95</v>
      </c>
      <c r="I6" s="6" t="n">
        <v>0.457655246784105</v>
      </c>
      <c r="J6" s="5" t="n">
        <v>69.95</v>
      </c>
      <c r="K6" s="5" t="n">
        <v>69.95</v>
      </c>
      <c r="L6" s="5" t="n">
        <v>-19.375</v>
      </c>
      <c r="M6" s="6" t="n">
        <v>-0.216904561992723</v>
      </c>
    </row>
    <row r="7" customFormat="false" ht="15" hidden="false" customHeight="false" outlineLevel="0" collapsed="false">
      <c r="A7" s="4" t="s">
        <v>20</v>
      </c>
      <c r="B7" s="4" t="s">
        <v>16</v>
      </c>
      <c r="C7" s="4" t="s">
        <v>21</v>
      </c>
      <c r="D7" s="4" t="n">
        <v>12</v>
      </c>
      <c r="E7" s="5" t="n">
        <v>89.95</v>
      </c>
      <c r="F7" s="5" t="n">
        <v>104.533333333333</v>
      </c>
      <c r="G7" s="5" t="n">
        <v>109.95</v>
      </c>
      <c r="H7" s="5" t="n">
        <v>192.033333333333</v>
      </c>
      <c r="I7" s="6" t="n">
        <v>0.451836053417694</v>
      </c>
      <c r="J7" s="5" t="n">
        <v>89.95</v>
      </c>
      <c r="K7" s="5" t="n">
        <v>92.8666666666667</v>
      </c>
      <c r="L7" s="5" t="n">
        <v>-11.6666666666667</v>
      </c>
      <c r="M7" s="6" t="n">
        <v>-0.111607142857143</v>
      </c>
    </row>
    <row r="8" customFormat="false" ht="15" hidden="false" customHeight="false" outlineLevel="0" collapsed="false">
      <c r="A8" s="4" t="s">
        <v>22</v>
      </c>
      <c r="B8" s="4" t="s">
        <v>16</v>
      </c>
      <c r="C8" s="4" t="s">
        <v>21</v>
      </c>
      <c r="D8" s="4" t="n">
        <v>1</v>
      </c>
      <c r="E8" s="5" t="n">
        <v>109.95</v>
      </c>
      <c r="F8" s="5" t="n">
        <v>109.95</v>
      </c>
      <c r="G8" s="5" t="n">
        <v>109.95</v>
      </c>
      <c r="H8" s="5" t="n">
        <v>183.95</v>
      </c>
      <c r="I8" s="6" t="n">
        <v>0.402283229138353</v>
      </c>
      <c r="J8" s="5" t="n">
        <v>89.95</v>
      </c>
      <c r="K8" s="5" t="n">
        <v>89.95</v>
      </c>
      <c r="L8" s="5" t="n">
        <v>-20</v>
      </c>
      <c r="M8" s="6" t="n">
        <v>-0.181900864029104</v>
      </c>
    </row>
    <row r="9" customFormat="false" ht="15" hidden="false" customHeight="false" outlineLevel="0" collapsed="false">
      <c r="A9" s="4" t="s">
        <v>23</v>
      </c>
      <c r="B9" s="4" t="s">
        <v>16</v>
      </c>
      <c r="C9" s="4" t="s">
        <v>24</v>
      </c>
      <c r="D9" s="4" t="n">
        <v>47</v>
      </c>
      <c r="E9" s="5" t="n">
        <v>84.95</v>
      </c>
      <c r="F9" s="5" t="n">
        <v>102.822340425532</v>
      </c>
      <c r="G9" s="5" t="n">
        <v>114.95</v>
      </c>
      <c r="H9" s="5" t="n">
        <v>186.481914893617</v>
      </c>
      <c r="I9" s="6" t="n">
        <v>0.446364008957381</v>
      </c>
      <c r="J9" s="5" t="n">
        <v>79.95</v>
      </c>
      <c r="K9" s="5" t="n">
        <v>81.7585106382979</v>
      </c>
      <c r="L9" s="5" t="n">
        <v>-21.063829787234</v>
      </c>
      <c r="M9" s="6" t="n">
        <v>-0.204856548684469</v>
      </c>
    </row>
    <row r="10" customFormat="false" ht="15" hidden="false" customHeight="false" outlineLevel="0" collapsed="false">
      <c r="A10" s="4" t="s">
        <v>25</v>
      </c>
      <c r="B10" s="4" t="s">
        <v>16</v>
      </c>
      <c r="C10" s="4" t="s">
        <v>24</v>
      </c>
      <c r="D10" s="4" t="n">
        <v>7</v>
      </c>
      <c r="E10" s="5" t="n">
        <v>89.95</v>
      </c>
      <c r="F10" s="5" t="n">
        <v>107.807142857143</v>
      </c>
      <c r="G10" s="5" t="n">
        <v>114.95</v>
      </c>
      <c r="H10" s="5" t="n">
        <v>197.378571428571</v>
      </c>
      <c r="I10" s="6" t="n">
        <v>0.451593544805245</v>
      </c>
      <c r="J10" s="5" t="n">
        <v>79.95</v>
      </c>
      <c r="K10" s="5" t="n">
        <v>82.8071428571429</v>
      </c>
      <c r="L10" s="5" t="n">
        <v>-25</v>
      </c>
      <c r="M10" s="6" t="n">
        <v>-0.23189558073279</v>
      </c>
    </row>
    <row r="11" customFormat="false" ht="15" hidden="false" customHeight="false" outlineLevel="0" collapsed="false">
      <c r="A11" s="4" t="s">
        <v>26</v>
      </c>
      <c r="B11" s="4" t="s">
        <v>16</v>
      </c>
      <c r="C11" s="4" t="s">
        <v>27</v>
      </c>
      <c r="D11" s="4" t="n">
        <v>1</v>
      </c>
      <c r="E11" s="5" t="n">
        <v>104.95</v>
      </c>
      <c r="F11" s="5" t="n">
        <v>104.95</v>
      </c>
      <c r="G11" s="5" t="n">
        <v>104.95</v>
      </c>
      <c r="H11" s="5" t="n">
        <v>209.95</v>
      </c>
      <c r="I11" s="6" t="n">
        <v>0.500119075970469</v>
      </c>
      <c r="J11" s="5" t="n">
        <v>79.95</v>
      </c>
      <c r="K11" s="5" t="n">
        <v>79.95</v>
      </c>
      <c r="L11" s="5" t="n">
        <v>-25</v>
      </c>
      <c r="M11" s="6" t="n">
        <v>-0.238208670795617</v>
      </c>
    </row>
    <row r="12" customFormat="false" ht="15" hidden="false" customHeight="false" outlineLevel="0" collapsed="false">
      <c r="A12" s="4" t="s">
        <v>28</v>
      </c>
      <c r="B12" s="4" t="s">
        <v>16</v>
      </c>
      <c r="C12" s="4" t="s">
        <v>29</v>
      </c>
      <c r="D12" s="4" t="n">
        <v>3</v>
      </c>
      <c r="E12" s="5" t="n">
        <v>64.95</v>
      </c>
      <c r="F12" s="5" t="n">
        <v>64.95</v>
      </c>
      <c r="G12" s="5" t="n">
        <v>64.95</v>
      </c>
      <c r="H12" s="5" t="n">
        <v>115.95</v>
      </c>
      <c r="I12" s="6" t="n">
        <v>0.435967446793971</v>
      </c>
      <c r="J12" s="5" t="s">
        <v>30</v>
      </c>
      <c r="K12" s="5" t="n">
        <v>64.95</v>
      </c>
      <c r="L12" s="5" t="n">
        <v>0</v>
      </c>
      <c r="M12" s="6" t="n">
        <v>0</v>
      </c>
    </row>
    <row r="13" customFormat="false" ht="15" hidden="false" customHeight="false" outlineLevel="0" collapsed="false">
      <c r="A13" s="4" t="s">
        <v>31</v>
      </c>
      <c r="B13" s="4" t="s">
        <v>16</v>
      </c>
      <c r="C13" s="4" t="s">
        <v>32</v>
      </c>
      <c r="D13" s="4" t="n">
        <v>6</v>
      </c>
      <c r="E13" s="5" t="n">
        <v>79.95</v>
      </c>
      <c r="F13" s="5" t="n">
        <v>100.783333333333</v>
      </c>
      <c r="G13" s="5" t="n">
        <v>109.95</v>
      </c>
      <c r="H13" s="5" t="n">
        <v>188.45</v>
      </c>
      <c r="I13" s="6" t="n">
        <v>0.461321321359594</v>
      </c>
      <c r="J13" s="5" t="n">
        <v>84.95</v>
      </c>
      <c r="K13" s="5" t="n">
        <v>86.6166666666667</v>
      </c>
      <c r="L13" s="5" t="n">
        <v>-14.1666666666667</v>
      </c>
      <c r="M13" s="6" t="n">
        <v>-0.140565569703985</v>
      </c>
    </row>
    <row r="14" customFormat="false" ht="15" hidden="false" customHeight="false" outlineLevel="0" collapsed="false">
      <c r="A14" s="4" t="s">
        <v>33</v>
      </c>
      <c r="B14" s="4" t="s">
        <v>16</v>
      </c>
      <c r="C14" s="4" t="s">
        <v>34</v>
      </c>
      <c r="D14" s="4" t="n">
        <v>4</v>
      </c>
      <c r="E14" s="5" t="n">
        <v>84.95</v>
      </c>
      <c r="F14" s="5" t="n">
        <v>96.2</v>
      </c>
      <c r="G14" s="5" t="n">
        <v>109.95</v>
      </c>
      <c r="H14" s="5" t="n">
        <v>183.7</v>
      </c>
      <c r="I14" s="6" t="n">
        <v>0.475130546187583</v>
      </c>
      <c r="J14" s="5" t="n">
        <v>84.95</v>
      </c>
      <c r="K14" s="5" t="n">
        <v>87.45</v>
      </c>
      <c r="L14" s="5" t="n">
        <v>-8.75</v>
      </c>
      <c r="M14" s="6" t="n">
        <v>-0.090956340956341</v>
      </c>
    </row>
    <row r="15" customFormat="false" ht="15" hidden="false" customHeight="false" outlineLevel="0" collapsed="false">
      <c r="A15" s="4" t="s">
        <v>35</v>
      </c>
      <c r="B15" s="4" t="s">
        <v>16</v>
      </c>
      <c r="C15" s="4" t="s">
        <v>36</v>
      </c>
      <c r="D15" s="4" t="n">
        <v>1</v>
      </c>
      <c r="E15" s="5" t="n">
        <v>84.95</v>
      </c>
      <c r="F15" s="5" t="n">
        <v>84.95</v>
      </c>
      <c r="G15" s="5" t="n">
        <v>84.95</v>
      </c>
      <c r="H15" s="5" t="n">
        <v>142.95</v>
      </c>
      <c r="I15" s="6" t="n">
        <v>0.405736271423575</v>
      </c>
      <c r="J15" s="5" t="n">
        <v>59.95</v>
      </c>
      <c r="K15" s="5" t="n">
        <v>59.95</v>
      </c>
      <c r="L15" s="5" t="n">
        <v>-25</v>
      </c>
      <c r="M15" s="6" t="n">
        <v>-0.294290759270159</v>
      </c>
    </row>
    <row r="16" customFormat="false" ht="15" hidden="false" customHeight="false" outlineLevel="0" collapsed="false">
      <c r="A16" s="4" t="s">
        <v>37</v>
      </c>
      <c r="B16" s="4" t="s">
        <v>16</v>
      </c>
      <c r="C16" s="4" t="s">
        <v>38</v>
      </c>
      <c r="D16" s="4" t="n">
        <v>2</v>
      </c>
      <c r="E16" s="5" t="n">
        <v>99.95</v>
      </c>
      <c r="F16" s="5" t="n">
        <v>107.45</v>
      </c>
      <c r="G16" s="5" t="n">
        <v>114.95</v>
      </c>
      <c r="H16" s="5" t="n">
        <v>204.95</v>
      </c>
      <c r="I16" s="6" t="n">
        <v>0.47630685952031</v>
      </c>
      <c r="J16" s="5" t="n">
        <v>84.95</v>
      </c>
      <c r="K16" s="5" t="n">
        <v>87.45</v>
      </c>
      <c r="L16" s="5" t="n">
        <v>-20</v>
      </c>
      <c r="M16" s="6" t="n">
        <v>-0.186133085155886</v>
      </c>
    </row>
    <row r="17" customFormat="false" ht="15" hidden="false" customHeight="false" outlineLevel="0" collapsed="false">
      <c r="A17" s="4" t="s">
        <v>39</v>
      </c>
      <c r="B17" s="4" t="s">
        <v>16</v>
      </c>
      <c r="C17" s="4" t="s">
        <v>40</v>
      </c>
      <c r="D17" s="4" t="n">
        <v>24</v>
      </c>
      <c r="E17" s="5" t="n">
        <v>79.95</v>
      </c>
      <c r="F17" s="5" t="n">
        <v>92.2416666666667</v>
      </c>
      <c r="G17" s="5" t="n">
        <v>99.95</v>
      </c>
      <c r="H17" s="5" t="n">
        <v>168.575</v>
      </c>
      <c r="I17" s="6" t="n">
        <v>0.451358900397497</v>
      </c>
      <c r="J17" s="5" t="n">
        <v>74.95</v>
      </c>
      <c r="K17" s="5" t="n">
        <v>77.45</v>
      </c>
      <c r="L17" s="5" t="n">
        <v>-14.7916666666667</v>
      </c>
      <c r="M17" s="6" t="n">
        <v>-0.160357755894842</v>
      </c>
    </row>
    <row r="18" customFormat="false" ht="15" hidden="false" customHeight="false" outlineLevel="0" collapsed="false">
      <c r="A18" s="4" t="s">
        <v>41</v>
      </c>
      <c r="B18" s="4" t="s">
        <v>16</v>
      </c>
      <c r="C18" s="4" t="s">
        <v>42</v>
      </c>
      <c r="D18" s="4" t="n">
        <v>17</v>
      </c>
      <c r="E18" s="5" t="n">
        <v>79.95</v>
      </c>
      <c r="F18" s="5" t="n">
        <v>83.1852941176471</v>
      </c>
      <c r="G18" s="5" t="n">
        <v>84.95</v>
      </c>
      <c r="H18" s="5" t="n">
        <v>153.714705882353</v>
      </c>
      <c r="I18" s="6" t="n">
        <v>0.456377171514644</v>
      </c>
      <c r="J18" s="5" t="n">
        <v>69.95</v>
      </c>
      <c r="K18" s="5" t="n">
        <v>69.95</v>
      </c>
      <c r="L18" s="5" t="n">
        <v>-13.2352941176471</v>
      </c>
      <c r="M18" s="6" t="n">
        <v>-0.159106176855355</v>
      </c>
    </row>
    <row r="19" customFormat="false" ht="15" hidden="false" customHeight="false" outlineLevel="0" collapsed="false">
      <c r="A19" s="4" t="s">
        <v>43</v>
      </c>
      <c r="B19" s="4" t="s">
        <v>16</v>
      </c>
      <c r="C19" s="4" t="s">
        <v>44</v>
      </c>
      <c r="D19" s="4" t="n">
        <v>13</v>
      </c>
      <c r="E19" s="5" t="n">
        <v>79.95</v>
      </c>
      <c r="F19" s="5" t="n">
        <v>95.3346153846154</v>
      </c>
      <c r="G19" s="5" t="n">
        <v>99.95</v>
      </c>
      <c r="H19" s="5" t="n">
        <v>182.334615384615</v>
      </c>
      <c r="I19" s="6" t="n">
        <v>0.475264961205812</v>
      </c>
      <c r="J19" s="5" t="n">
        <v>74.95</v>
      </c>
      <c r="K19" s="5" t="n">
        <v>74.95</v>
      </c>
      <c r="L19" s="5" t="n">
        <v>-20.3846153846154</v>
      </c>
      <c r="M19" s="6" t="n">
        <v>-0.213821761407189</v>
      </c>
    </row>
    <row r="20" customFormat="false" ht="15" hidden="false" customHeight="false" outlineLevel="0" collapsed="false">
      <c r="A20" s="4" t="s">
        <v>45</v>
      </c>
      <c r="B20" s="4" t="s">
        <v>16</v>
      </c>
      <c r="C20" s="4" t="s">
        <v>46</v>
      </c>
      <c r="D20" s="4" t="n">
        <v>10</v>
      </c>
      <c r="E20" s="5" t="n">
        <v>84.95</v>
      </c>
      <c r="F20" s="5" t="n">
        <v>96.45</v>
      </c>
      <c r="G20" s="5" t="n">
        <v>109.95</v>
      </c>
      <c r="H20" s="5" t="n">
        <v>175.55</v>
      </c>
      <c r="I20" s="6" t="n">
        <v>0.447947204441774</v>
      </c>
      <c r="J20" s="5" t="n">
        <v>84.95</v>
      </c>
      <c r="K20" s="5" t="n">
        <v>86.45</v>
      </c>
      <c r="L20" s="5" t="n">
        <v>-10</v>
      </c>
      <c r="M20" s="6" t="n">
        <v>-0.103680663556247</v>
      </c>
    </row>
    <row r="21" customFormat="false" ht="15" hidden="false" customHeight="false" outlineLevel="0" collapsed="false">
      <c r="A21" s="4" t="s">
        <v>47</v>
      </c>
      <c r="B21" s="4" t="s">
        <v>16</v>
      </c>
      <c r="C21" s="4" t="s">
        <v>48</v>
      </c>
      <c r="D21" s="4" t="n">
        <v>2</v>
      </c>
      <c r="E21" s="5" t="n">
        <v>79.95</v>
      </c>
      <c r="F21" s="5" t="n">
        <v>82.45</v>
      </c>
      <c r="G21" s="5" t="n">
        <v>84.95</v>
      </c>
      <c r="H21" s="5" t="n">
        <v>145.45</v>
      </c>
      <c r="I21" s="6" t="n">
        <v>0.431416240634408</v>
      </c>
      <c r="J21" s="5" t="n">
        <v>64.95</v>
      </c>
      <c r="K21" s="5" t="n">
        <v>64.95</v>
      </c>
      <c r="L21" s="5" t="n">
        <v>-17.5</v>
      </c>
      <c r="M21" s="6" t="n">
        <v>-0.212249848392965</v>
      </c>
    </row>
    <row r="22" customFormat="false" ht="15" hidden="false" customHeight="false" outlineLevel="0" collapsed="false">
      <c r="A22" s="4" t="s">
        <v>49</v>
      </c>
      <c r="B22" s="4" t="s">
        <v>16</v>
      </c>
      <c r="C22" s="4" t="s">
        <v>50</v>
      </c>
      <c r="D22" s="4" t="n">
        <v>21</v>
      </c>
      <c r="E22" s="5" t="n">
        <v>59.95</v>
      </c>
      <c r="F22" s="5" t="n">
        <v>84.4738095238095</v>
      </c>
      <c r="G22" s="5" t="n">
        <v>104.95</v>
      </c>
      <c r="H22" s="5" t="n">
        <v>155.521428571429</v>
      </c>
      <c r="I22" s="6" t="n">
        <v>0.452922029775488</v>
      </c>
      <c r="J22" s="5" t="n">
        <v>64.95</v>
      </c>
      <c r="K22" s="5" t="n">
        <v>66.1404761904762</v>
      </c>
      <c r="L22" s="5" t="n">
        <v>-18.3333333333333</v>
      </c>
      <c r="M22" s="6" t="n">
        <v>-0.217029792271485</v>
      </c>
    </row>
    <row r="23" customFormat="false" ht="15" hidden="false" customHeight="false" outlineLevel="0" collapsed="false">
      <c r="A23" s="4" t="s">
        <v>51</v>
      </c>
      <c r="B23" s="4" t="s">
        <v>16</v>
      </c>
      <c r="C23" s="4" t="s">
        <v>52</v>
      </c>
      <c r="D23" s="4" t="n">
        <v>3</v>
      </c>
      <c r="E23" s="5" t="n">
        <v>79.95</v>
      </c>
      <c r="F23" s="5" t="n">
        <v>79.95</v>
      </c>
      <c r="G23" s="5" t="n">
        <v>79.95</v>
      </c>
      <c r="H23" s="5" t="n">
        <v>143.283333333333</v>
      </c>
      <c r="I23" s="6" t="n">
        <v>0.438424336245314</v>
      </c>
      <c r="J23" s="5" t="n">
        <v>64.95</v>
      </c>
      <c r="K23" s="5" t="n">
        <v>64.95</v>
      </c>
      <c r="L23" s="5" t="n">
        <v>-15</v>
      </c>
      <c r="M23" s="6" t="n">
        <v>-0.187617260787993</v>
      </c>
    </row>
    <row r="24" customFormat="false" ht="15" hidden="false" customHeight="false" outlineLevel="0" collapsed="false">
      <c r="A24" s="4" t="s">
        <v>53</v>
      </c>
      <c r="B24" s="4" t="s">
        <v>16</v>
      </c>
      <c r="C24" s="4" t="s">
        <v>54</v>
      </c>
      <c r="D24" s="4" t="n">
        <v>15</v>
      </c>
      <c r="E24" s="5" t="n">
        <v>79.95</v>
      </c>
      <c r="F24" s="5" t="n">
        <v>83.2833333333333</v>
      </c>
      <c r="G24" s="5" t="n">
        <v>89.95</v>
      </c>
      <c r="H24" s="5" t="n">
        <v>147.75</v>
      </c>
      <c r="I24" s="6" t="n">
        <v>0.435117027529817</v>
      </c>
      <c r="J24" s="5" t="n">
        <v>64.95</v>
      </c>
      <c r="K24" s="5" t="n">
        <v>65.2833333333333</v>
      </c>
      <c r="L24" s="5" t="n">
        <v>-18</v>
      </c>
      <c r="M24" s="6" t="n">
        <v>-0.216129677806684</v>
      </c>
    </row>
    <row r="25" customFormat="false" ht="15" hidden="false" customHeight="false" outlineLevel="0" collapsed="false">
      <c r="A25" s="4" t="s">
        <v>55</v>
      </c>
      <c r="B25" s="4" t="s">
        <v>16</v>
      </c>
      <c r="C25" s="4" t="s">
        <v>54</v>
      </c>
      <c r="D25" s="4" t="n">
        <v>2</v>
      </c>
      <c r="E25" s="5" t="n">
        <v>84.95</v>
      </c>
      <c r="F25" s="5" t="n">
        <v>84.95</v>
      </c>
      <c r="G25" s="5" t="n">
        <v>84.95</v>
      </c>
      <c r="H25" s="5" t="n">
        <v>169.95</v>
      </c>
      <c r="I25" s="6" t="n">
        <v>0.50014710208885</v>
      </c>
      <c r="J25" s="5" t="n">
        <v>64.95</v>
      </c>
      <c r="K25" s="5" t="n">
        <v>64.95</v>
      </c>
      <c r="L25" s="5" t="n">
        <v>-20</v>
      </c>
      <c r="M25" s="6" t="n">
        <v>-0.235432607416127</v>
      </c>
    </row>
    <row r="26" customFormat="false" ht="15" hidden="false" customHeight="false" outlineLevel="0" collapsed="false">
      <c r="A26" s="4" t="s">
        <v>56</v>
      </c>
      <c r="B26" s="4" t="s">
        <v>16</v>
      </c>
      <c r="C26" s="4" t="s">
        <v>57</v>
      </c>
      <c r="D26" s="4" t="n">
        <v>1</v>
      </c>
      <c r="E26" s="5" t="n">
        <v>84.95</v>
      </c>
      <c r="F26" s="5" t="n">
        <v>84.95</v>
      </c>
      <c r="G26" s="5" t="n">
        <v>84.95</v>
      </c>
      <c r="H26" s="5" t="n">
        <v>155.95</v>
      </c>
      <c r="I26" s="6" t="n">
        <v>0.455274126322539</v>
      </c>
      <c r="J26" s="5" t="n">
        <v>79.95</v>
      </c>
      <c r="K26" s="5" t="n">
        <v>79.95</v>
      </c>
      <c r="L26" s="5" t="n">
        <v>-5</v>
      </c>
      <c r="M26" s="6" t="n">
        <v>-0.0588581518540318</v>
      </c>
    </row>
    <row r="27" customFormat="false" ht="15" hidden="false" customHeight="false" outlineLevel="0" collapsed="false">
      <c r="A27" s="4" t="s">
        <v>58</v>
      </c>
      <c r="B27" s="4" t="s">
        <v>16</v>
      </c>
      <c r="C27" s="4" t="s">
        <v>57</v>
      </c>
      <c r="D27" s="4" t="n">
        <v>4</v>
      </c>
      <c r="E27" s="5" t="n">
        <v>84.95</v>
      </c>
      <c r="F27" s="5" t="n">
        <v>94.95</v>
      </c>
      <c r="G27" s="5" t="n">
        <v>104.95</v>
      </c>
      <c r="H27" s="5" t="n">
        <v>177.7</v>
      </c>
      <c r="I27" s="6" t="n">
        <v>0.463913655689634</v>
      </c>
      <c r="J27" s="5" t="n">
        <v>79.95</v>
      </c>
      <c r="K27" s="5" t="n">
        <v>82.45</v>
      </c>
      <c r="L27" s="5" t="n">
        <v>-12.5</v>
      </c>
      <c r="M27" s="6" t="n">
        <v>-0.131648235913639</v>
      </c>
    </row>
    <row r="28" customFormat="false" ht="15" hidden="false" customHeight="false" outlineLevel="0" collapsed="false">
      <c r="A28" s="4" t="s">
        <v>59</v>
      </c>
      <c r="B28" s="4" t="s">
        <v>60</v>
      </c>
      <c r="C28" s="4" t="s">
        <v>17</v>
      </c>
      <c r="D28" s="4" t="n">
        <v>9</v>
      </c>
      <c r="E28" s="5" t="n">
        <v>49.95</v>
      </c>
      <c r="F28" s="5" t="n">
        <v>84.3944444444445</v>
      </c>
      <c r="G28" s="5" t="n">
        <v>104.95</v>
      </c>
      <c r="H28" s="5" t="n">
        <v>161.838888888889</v>
      </c>
      <c r="I28" s="6" t="n">
        <v>0.481186555415528</v>
      </c>
      <c r="J28" s="5" t="n">
        <v>69.95</v>
      </c>
      <c r="K28" s="5" t="n">
        <v>69.95</v>
      </c>
      <c r="L28" s="5" t="n">
        <v>-14.4444444444444</v>
      </c>
      <c r="M28" s="6" t="n">
        <v>-0.171153972747021</v>
      </c>
    </row>
    <row r="29" customFormat="false" ht="15" hidden="false" customHeight="false" outlineLevel="0" collapsed="false">
      <c r="A29" s="4" t="s">
        <v>61</v>
      </c>
      <c r="B29" s="4" t="s">
        <v>60</v>
      </c>
      <c r="C29" s="4" t="s">
        <v>19</v>
      </c>
      <c r="D29" s="4" t="n">
        <v>14</v>
      </c>
      <c r="E29" s="5" t="n">
        <v>79.95</v>
      </c>
      <c r="F29" s="5" t="n">
        <v>87.0928571428571</v>
      </c>
      <c r="G29" s="5" t="n">
        <v>89.95</v>
      </c>
      <c r="H29" s="5" t="n">
        <v>154.878571428571</v>
      </c>
      <c r="I29" s="6" t="n">
        <v>0.435593627746089</v>
      </c>
      <c r="J29" s="5" t="n">
        <v>69.95</v>
      </c>
      <c r="K29" s="5" t="n">
        <v>69.95</v>
      </c>
      <c r="L29" s="5" t="n">
        <v>-17.1428571428571</v>
      </c>
      <c r="M29" s="6" t="n">
        <v>-0.196834249159354</v>
      </c>
    </row>
    <row r="30" customFormat="false" ht="15" hidden="false" customHeight="false" outlineLevel="0" collapsed="false">
      <c r="A30" s="4" t="s">
        <v>62</v>
      </c>
      <c r="B30" s="4" t="s">
        <v>60</v>
      </c>
      <c r="C30" s="4" t="s">
        <v>19</v>
      </c>
      <c r="D30" s="4" t="n">
        <v>15</v>
      </c>
      <c r="E30" s="5" t="n">
        <v>79.95</v>
      </c>
      <c r="F30" s="5" t="n">
        <v>82.95</v>
      </c>
      <c r="G30" s="5" t="n">
        <v>89.95</v>
      </c>
      <c r="H30" s="5" t="n">
        <v>148.016666666667</v>
      </c>
      <c r="I30" s="6" t="n">
        <v>0.437972847698955</v>
      </c>
      <c r="J30" s="5" t="n">
        <v>69.95</v>
      </c>
      <c r="K30" s="5" t="n">
        <v>70.95</v>
      </c>
      <c r="L30" s="5" t="n">
        <v>-12</v>
      </c>
      <c r="M30" s="6" t="n">
        <v>-0.144665461121157</v>
      </c>
    </row>
    <row r="31" customFormat="false" ht="15" hidden="false" customHeight="false" outlineLevel="0" collapsed="false">
      <c r="A31" s="4" t="s">
        <v>63</v>
      </c>
      <c r="B31" s="4" t="s">
        <v>60</v>
      </c>
      <c r="C31" s="4" t="s">
        <v>21</v>
      </c>
      <c r="D31" s="4" t="n">
        <v>2</v>
      </c>
      <c r="E31" s="5" t="n">
        <v>114.95</v>
      </c>
      <c r="F31" s="5" t="n">
        <v>114.95</v>
      </c>
      <c r="G31" s="5" t="n">
        <v>114.95</v>
      </c>
      <c r="H31" s="5" t="n">
        <v>200.95</v>
      </c>
      <c r="I31" s="6" t="n">
        <v>0.426817409793982</v>
      </c>
      <c r="J31" s="5" t="n">
        <v>89.95</v>
      </c>
      <c r="K31" s="5" t="n">
        <v>89.95</v>
      </c>
      <c r="L31" s="5" t="n">
        <v>-25</v>
      </c>
      <c r="M31" s="6" t="n">
        <v>-0.217485863418878</v>
      </c>
    </row>
    <row r="32" customFormat="false" ht="15" hidden="false" customHeight="false" outlineLevel="0" collapsed="false">
      <c r="A32" s="4" t="s">
        <v>64</v>
      </c>
      <c r="B32" s="4" t="s">
        <v>60</v>
      </c>
      <c r="C32" s="4" t="s">
        <v>29</v>
      </c>
      <c r="D32" s="4" t="n">
        <v>4</v>
      </c>
      <c r="E32" s="5" t="n">
        <v>64.95</v>
      </c>
      <c r="F32" s="5" t="n">
        <v>64.95</v>
      </c>
      <c r="G32" s="5" t="n">
        <v>64.95</v>
      </c>
      <c r="H32" s="5" t="n">
        <v>129.95</v>
      </c>
      <c r="I32" s="6" t="n">
        <v>0.500192381685264</v>
      </c>
      <c r="J32" s="5" t="s">
        <v>30</v>
      </c>
      <c r="K32" s="5" t="n">
        <v>64.95</v>
      </c>
      <c r="L32" s="5" t="n">
        <v>0</v>
      </c>
      <c r="M32" s="6" t="n">
        <v>0</v>
      </c>
    </row>
    <row r="33" customFormat="false" ht="15" hidden="false" customHeight="false" outlineLevel="0" collapsed="false">
      <c r="A33" s="4" t="s">
        <v>65</v>
      </c>
      <c r="B33" s="4" t="s">
        <v>60</v>
      </c>
      <c r="C33" s="4" t="s">
        <v>34</v>
      </c>
      <c r="D33" s="4" t="n">
        <v>8</v>
      </c>
      <c r="E33" s="5" t="n">
        <v>89.95</v>
      </c>
      <c r="F33" s="5" t="n">
        <v>101.2</v>
      </c>
      <c r="G33" s="5" t="n">
        <v>109.95</v>
      </c>
      <c r="H33" s="5" t="n">
        <v>189.575</v>
      </c>
      <c r="I33" s="6" t="n">
        <v>0.464134078026775</v>
      </c>
      <c r="J33" s="5" t="n">
        <v>84.95</v>
      </c>
      <c r="K33" s="5" t="n">
        <v>85.575</v>
      </c>
      <c r="L33" s="5" t="n">
        <v>-15.625</v>
      </c>
      <c r="M33" s="6" t="n">
        <v>-0.154397233201581</v>
      </c>
    </row>
    <row r="34" customFormat="false" ht="15" hidden="false" customHeight="false" outlineLevel="0" collapsed="false">
      <c r="A34" s="4" t="s">
        <v>66</v>
      </c>
      <c r="B34" s="4" t="s">
        <v>60</v>
      </c>
      <c r="C34" s="4" t="s">
        <v>34</v>
      </c>
      <c r="D34" s="4" t="n">
        <v>1</v>
      </c>
      <c r="E34" s="5" t="n">
        <v>84.95</v>
      </c>
      <c r="F34" s="5" t="n">
        <v>84.95</v>
      </c>
      <c r="G34" s="5" t="n">
        <v>84.95</v>
      </c>
      <c r="H34" s="5" t="n">
        <v>142.95</v>
      </c>
      <c r="I34" s="6" t="n">
        <v>0.405736271423575</v>
      </c>
      <c r="J34" s="5" t="n">
        <v>84.95</v>
      </c>
      <c r="K34" s="5" t="n">
        <v>84.95</v>
      </c>
      <c r="L34" s="5" t="n">
        <v>0</v>
      </c>
      <c r="M34" s="6" t="n">
        <v>0</v>
      </c>
    </row>
    <row r="35" customFormat="false" ht="15" hidden="false" customHeight="false" outlineLevel="0" collapsed="false">
      <c r="A35" s="4" t="s">
        <v>67</v>
      </c>
      <c r="B35" s="4" t="s">
        <v>60</v>
      </c>
      <c r="C35" s="4" t="s">
        <v>68</v>
      </c>
      <c r="D35" s="4" t="n">
        <v>5</v>
      </c>
      <c r="E35" s="5" t="n">
        <v>84.95</v>
      </c>
      <c r="F35" s="5" t="n">
        <v>93.95</v>
      </c>
      <c r="G35" s="5" t="n">
        <v>104.95</v>
      </c>
      <c r="H35" s="5" t="n">
        <v>177.35</v>
      </c>
      <c r="I35" s="6" t="n">
        <v>0.470758096414766</v>
      </c>
      <c r="J35" s="5" t="n">
        <v>74.95</v>
      </c>
      <c r="K35" s="5" t="n">
        <v>76.95</v>
      </c>
      <c r="L35" s="5" t="n">
        <v>-17</v>
      </c>
      <c r="M35" s="6" t="n">
        <v>-0.180947312400213</v>
      </c>
    </row>
    <row r="36" customFormat="false" ht="15" hidden="false" customHeight="false" outlineLevel="0" collapsed="false">
      <c r="A36" s="4" t="s">
        <v>69</v>
      </c>
      <c r="B36" s="4" t="s">
        <v>60</v>
      </c>
      <c r="C36" s="4" t="s">
        <v>70</v>
      </c>
      <c r="D36" s="4" t="n">
        <v>8</v>
      </c>
      <c r="E36" s="5" t="n">
        <v>79.95</v>
      </c>
      <c r="F36" s="5" t="n">
        <v>83.075</v>
      </c>
      <c r="G36" s="5" t="n">
        <v>84.95</v>
      </c>
      <c r="H36" s="5" t="n">
        <v>155.825</v>
      </c>
      <c r="I36" s="6" t="n">
        <v>0.465912709155487</v>
      </c>
      <c r="J36" s="5" t="n">
        <v>69.95</v>
      </c>
      <c r="K36" s="5" t="n">
        <v>69.95</v>
      </c>
      <c r="L36" s="5" t="n">
        <v>-13.125</v>
      </c>
      <c r="M36" s="6" t="n">
        <v>-0.157989768281673</v>
      </c>
    </row>
    <row r="37" customFormat="false" ht="15" hidden="false" customHeight="false" outlineLevel="0" collapsed="false">
      <c r="A37" s="4" t="s">
        <v>71</v>
      </c>
      <c r="B37" s="4" t="s">
        <v>60</v>
      </c>
      <c r="C37" s="4" t="s">
        <v>40</v>
      </c>
      <c r="D37" s="4" t="n">
        <v>17</v>
      </c>
      <c r="E37" s="5" t="n">
        <v>79.95</v>
      </c>
      <c r="F37" s="5" t="n">
        <v>94.95</v>
      </c>
      <c r="G37" s="5" t="n">
        <v>99.95</v>
      </c>
      <c r="H37" s="5" t="n">
        <v>176.244117647059</v>
      </c>
      <c r="I37" s="6" t="n">
        <v>0.458731386689429</v>
      </c>
      <c r="J37" s="5" t="n">
        <v>74.95</v>
      </c>
      <c r="K37" s="5" t="n">
        <v>78.4794117647059</v>
      </c>
      <c r="L37" s="5" t="n">
        <v>-16.4705882352941</v>
      </c>
      <c r="M37" s="6" t="n">
        <v>-0.173465910850912</v>
      </c>
    </row>
    <row r="38" customFormat="false" ht="15" hidden="false" customHeight="false" outlineLevel="0" collapsed="false">
      <c r="A38" s="4" t="s">
        <v>72</v>
      </c>
      <c r="B38" s="4" t="s">
        <v>60</v>
      </c>
      <c r="C38" s="4" t="s">
        <v>73</v>
      </c>
      <c r="D38" s="4" t="n">
        <v>14</v>
      </c>
      <c r="E38" s="5" t="n">
        <v>89.95</v>
      </c>
      <c r="F38" s="5" t="n">
        <v>103.521428571429</v>
      </c>
      <c r="G38" s="5" t="n">
        <v>109.95</v>
      </c>
      <c r="H38" s="5" t="n">
        <v>190.521428571429</v>
      </c>
      <c r="I38" s="6" t="n">
        <v>0.454533360140164</v>
      </c>
      <c r="J38" s="5" t="n">
        <v>84.95</v>
      </c>
      <c r="K38" s="5" t="n">
        <v>87.8071428571429</v>
      </c>
      <c r="L38" s="5" t="n">
        <v>-15.7142857142857</v>
      </c>
      <c r="M38" s="6" t="n">
        <v>-0.151797419443869</v>
      </c>
    </row>
    <row r="39" customFormat="false" ht="15" hidden="false" customHeight="false" outlineLevel="0" collapsed="false">
      <c r="A39" s="4" t="s">
        <v>74</v>
      </c>
      <c r="B39" s="4" t="s">
        <v>60</v>
      </c>
      <c r="C39" s="4" t="s">
        <v>42</v>
      </c>
      <c r="D39" s="4" t="n">
        <v>27</v>
      </c>
      <c r="E39" s="5" t="n">
        <v>74.95</v>
      </c>
      <c r="F39" s="5" t="n">
        <v>81.987037037037</v>
      </c>
      <c r="G39" s="5" t="n">
        <v>84.95</v>
      </c>
      <c r="H39" s="5" t="n">
        <v>153.468518518519</v>
      </c>
      <c r="I39" s="6" t="n">
        <v>0.463784873733082</v>
      </c>
      <c r="J39" s="5" t="n">
        <v>69.95</v>
      </c>
      <c r="K39" s="5" t="n">
        <v>69.95</v>
      </c>
      <c r="L39" s="5" t="n">
        <v>-12.037037037037</v>
      </c>
      <c r="M39" s="6" t="n">
        <v>-0.146816344047162</v>
      </c>
    </row>
    <row r="40" customFormat="false" ht="15" hidden="false" customHeight="false" outlineLevel="0" collapsed="false">
      <c r="A40" s="4" t="s">
        <v>75</v>
      </c>
      <c r="B40" s="4" t="s">
        <v>60</v>
      </c>
      <c r="C40" s="4" t="s">
        <v>46</v>
      </c>
      <c r="D40" s="4" t="n">
        <v>6</v>
      </c>
      <c r="E40" s="5" t="n">
        <v>84.95</v>
      </c>
      <c r="F40" s="5" t="n">
        <v>99.1166666666667</v>
      </c>
      <c r="G40" s="5" t="n">
        <v>109.95</v>
      </c>
      <c r="H40" s="5" t="n">
        <v>192.116666666667</v>
      </c>
      <c r="I40" s="6" t="n">
        <v>0.484437022706902</v>
      </c>
      <c r="J40" s="5" t="n">
        <v>84.95</v>
      </c>
      <c r="K40" s="5" t="n">
        <v>87.45</v>
      </c>
      <c r="L40" s="5" t="n">
        <v>-11.6666666666667</v>
      </c>
      <c r="M40" s="6" t="n">
        <v>-0.117706406591559</v>
      </c>
    </row>
    <row r="41" customFormat="false" ht="15" hidden="false" customHeight="false" outlineLevel="0" collapsed="false">
      <c r="A41" s="4" t="s">
        <v>76</v>
      </c>
      <c r="B41" s="4" t="s">
        <v>60</v>
      </c>
      <c r="C41" s="4" t="s">
        <v>48</v>
      </c>
      <c r="D41" s="4" t="n">
        <v>4</v>
      </c>
      <c r="E41" s="5" t="n">
        <v>79.95</v>
      </c>
      <c r="F41" s="5" t="n">
        <v>82.45</v>
      </c>
      <c r="G41" s="5" t="n">
        <v>84.95</v>
      </c>
      <c r="H41" s="5" t="n">
        <v>141.95</v>
      </c>
      <c r="I41" s="6" t="n">
        <v>0.418742072866186</v>
      </c>
      <c r="J41" s="5" t="n">
        <v>64.95</v>
      </c>
      <c r="K41" s="5" t="n">
        <v>64.95</v>
      </c>
      <c r="L41" s="5" t="n">
        <v>-17.5</v>
      </c>
      <c r="M41" s="6" t="n">
        <v>-0.212249848392965</v>
      </c>
    </row>
    <row r="42" customFormat="false" ht="15" hidden="false" customHeight="false" outlineLevel="0" collapsed="false">
      <c r="A42" s="4" t="s">
        <v>77</v>
      </c>
      <c r="B42" s="4" t="s">
        <v>60</v>
      </c>
      <c r="C42" s="4" t="s">
        <v>50</v>
      </c>
      <c r="D42" s="4" t="n">
        <v>13</v>
      </c>
      <c r="E42" s="5" t="n">
        <v>59.95</v>
      </c>
      <c r="F42" s="5" t="n">
        <v>79.95</v>
      </c>
      <c r="G42" s="5" t="n">
        <v>84.95</v>
      </c>
      <c r="H42" s="5" t="n">
        <v>151.026923076923</v>
      </c>
      <c r="I42" s="6" t="n">
        <v>0.469216131682677</v>
      </c>
      <c r="J42" s="5" t="n">
        <v>64.95</v>
      </c>
      <c r="K42" s="5" t="n">
        <v>66.1038461538462</v>
      </c>
      <c r="L42" s="5" t="n">
        <v>-13.8461538461538</v>
      </c>
      <c r="M42" s="6" t="n">
        <v>-0.173185163804301</v>
      </c>
    </row>
    <row r="43" customFormat="false" ht="15" hidden="false" customHeight="false" outlineLevel="0" collapsed="false">
      <c r="A43" s="4" t="s">
        <v>78</v>
      </c>
      <c r="B43" s="4" t="s">
        <v>60</v>
      </c>
      <c r="C43" s="4" t="s">
        <v>52</v>
      </c>
      <c r="D43" s="4" t="n">
        <v>11</v>
      </c>
      <c r="E43" s="5" t="n">
        <v>79.95</v>
      </c>
      <c r="F43" s="5" t="n">
        <v>83.5863636363636</v>
      </c>
      <c r="G43" s="5" t="n">
        <v>99.95</v>
      </c>
      <c r="H43" s="5" t="n">
        <v>151.404545454546</v>
      </c>
      <c r="I43" s="6" t="n">
        <v>0.445786802611986</v>
      </c>
      <c r="J43" s="5" t="n">
        <v>64.95</v>
      </c>
      <c r="K43" s="5" t="n">
        <v>65.4045454545455</v>
      </c>
      <c r="L43" s="5" t="n">
        <v>-18.1818181818182</v>
      </c>
      <c r="M43" s="6" t="n">
        <v>-0.217521344281908</v>
      </c>
    </row>
    <row r="44" customFormat="false" ht="15" hidden="false" customHeight="false" outlineLevel="0" collapsed="false">
      <c r="A44" s="4" t="s">
        <v>79</v>
      </c>
      <c r="B44" s="4" t="s">
        <v>60</v>
      </c>
      <c r="C44" s="4" t="s">
        <v>80</v>
      </c>
      <c r="D44" s="4" t="n">
        <v>5</v>
      </c>
      <c r="E44" s="5" t="n">
        <v>79.95</v>
      </c>
      <c r="F44" s="5" t="n">
        <v>81.95</v>
      </c>
      <c r="G44" s="5" t="n">
        <v>84.95</v>
      </c>
      <c r="H44" s="5" t="n">
        <v>145.75</v>
      </c>
      <c r="I44" s="6" t="n">
        <v>0.435256681296411</v>
      </c>
      <c r="J44" s="5" t="n">
        <v>59.95</v>
      </c>
      <c r="K44" s="5" t="n">
        <v>59.95</v>
      </c>
      <c r="L44" s="5" t="n">
        <v>-22</v>
      </c>
      <c r="M44" s="6" t="n">
        <v>-0.268456375838926</v>
      </c>
    </row>
    <row r="45" customFormat="false" ht="15" hidden="false" customHeight="false" outlineLevel="0" collapsed="false">
      <c r="A45" s="4" t="s">
        <v>81</v>
      </c>
      <c r="B45" s="4" t="s">
        <v>60</v>
      </c>
      <c r="C45" s="4" t="s">
        <v>57</v>
      </c>
      <c r="D45" s="4" t="n">
        <v>10</v>
      </c>
      <c r="E45" s="5" t="n">
        <v>89.95</v>
      </c>
      <c r="F45" s="5" t="n">
        <v>100.95</v>
      </c>
      <c r="G45" s="5" t="n">
        <v>104.95</v>
      </c>
      <c r="H45" s="5" t="n">
        <v>177.95</v>
      </c>
      <c r="I45" s="6" t="n">
        <v>0.431461216728082</v>
      </c>
      <c r="J45" s="5" t="n">
        <v>79.95</v>
      </c>
      <c r="K45" s="5" t="n">
        <v>79.95</v>
      </c>
      <c r="L45" s="5" t="n">
        <v>-21</v>
      </c>
      <c r="M45" s="6" t="n">
        <v>-0.208023774145617</v>
      </c>
    </row>
    <row r="46" customFormat="false" ht="15" hidden="false" customHeight="false" outlineLevel="0" collapsed="false">
      <c r="A46" s="4" t="s">
        <v>82</v>
      </c>
      <c r="B46" s="4" t="s">
        <v>60</v>
      </c>
      <c r="C46" s="4" t="s">
        <v>57</v>
      </c>
      <c r="D46" s="4" t="n">
        <v>2</v>
      </c>
      <c r="E46" s="5" t="n">
        <v>99.95</v>
      </c>
      <c r="F46" s="5" t="n">
        <v>102.45</v>
      </c>
      <c r="G46" s="5" t="n">
        <v>104.95</v>
      </c>
      <c r="H46" s="5" t="n">
        <v>188.95</v>
      </c>
      <c r="I46" s="6" t="n">
        <v>0.452500740724145</v>
      </c>
      <c r="J46" s="5" t="n">
        <v>79.95</v>
      </c>
      <c r="K46" s="5" t="n">
        <v>79.95</v>
      </c>
      <c r="L46" s="5" t="n">
        <v>-22.5</v>
      </c>
      <c r="M46" s="6" t="n">
        <v>-0.219619326500732</v>
      </c>
    </row>
    <row r="47" customFormat="false" ht="15" hidden="false" customHeight="false" outlineLevel="0" collapsed="false">
      <c r="A47" s="4" t="s">
        <v>83</v>
      </c>
      <c r="B47" s="4" t="s">
        <v>60</v>
      </c>
      <c r="C47" s="4" t="s">
        <v>57</v>
      </c>
      <c r="D47" s="4" t="n">
        <v>5</v>
      </c>
      <c r="E47" s="5" t="n">
        <v>84.95</v>
      </c>
      <c r="F47" s="5" t="n">
        <v>88.95</v>
      </c>
      <c r="G47" s="5" t="n">
        <v>94.95</v>
      </c>
      <c r="H47" s="5" t="n">
        <v>155.15</v>
      </c>
      <c r="I47" s="6" t="n">
        <v>0.423624368185971</v>
      </c>
      <c r="J47" s="5" t="n">
        <v>79.95</v>
      </c>
      <c r="K47" s="5" t="n">
        <v>80.95</v>
      </c>
      <c r="L47" s="5" t="n">
        <v>-8</v>
      </c>
      <c r="M47" s="6" t="n">
        <v>-0.089938167509837</v>
      </c>
    </row>
    <row r="48" customFormat="false" ht="15" hidden="false" customHeight="false" outlineLevel="0" collapsed="false">
      <c r="A48" s="7" t="s">
        <v>84</v>
      </c>
      <c r="B48" s="7"/>
      <c r="C48" s="7"/>
      <c r="D48" s="7" t="n">
        <f aca="false">SUM(D5:D47)</f>
        <v>399</v>
      </c>
      <c r="E48" s="7"/>
      <c r="F48" s="8" t="n">
        <f aca="false">AVERAGE('Per product'!E2:E400)</f>
        <v>91.4537593984963</v>
      </c>
      <c r="G48" s="7"/>
      <c r="H48" s="7"/>
      <c r="I48" s="7"/>
      <c r="J48" s="7"/>
      <c r="K48" s="8" t="n">
        <f aca="false">AVERAGE('Per product'!H2:H400)</f>
        <v>75.3635338345865</v>
      </c>
      <c r="L48" s="8" t="n">
        <f aca="false">K48-F48</f>
        <v>-16.0902255639098</v>
      </c>
      <c r="M48" s="9" t="n">
        <f aca="false">L48/F48</f>
        <v>-0.1759383722412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0"/>
  </cols>
  <sheetData>
    <row r="1" customFormat="false" ht="15" hidden="false" customHeight="false" outlineLevel="0" collapsed="false">
      <c r="A1" s="10" t="s">
        <v>85</v>
      </c>
      <c r="B1" s="10" t="s">
        <v>86</v>
      </c>
      <c r="C1" s="10" t="s">
        <v>2</v>
      </c>
      <c r="D1" s="10" t="s">
        <v>4</v>
      </c>
      <c r="E1" s="10" t="s">
        <v>87</v>
      </c>
      <c r="F1" s="10" t="s">
        <v>88</v>
      </c>
      <c r="G1" s="10" t="s">
        <v>89</v>
      </c>
      <c r="H1" s="10" t="s">
        <v>90</v>
      </c>
      <c r="I1" s="10" t="s">
        <v>91</v>
      </c>
      <c r="J1" s="10" t="s">
        <v>92</v>
      </c>
      <c r="K1" s="10" t="s">
        <v>14</v>
      </c>
    </row>
    <row r="2" customFormat="false" ht="15" hidden="false" customHeight="false" outlineLevel="0" collapsed="false">
      <c r="A2" s="4" t="s">
        <v>93</v>
      </c>
      <c r="B2" s="4" t="s">
        <v>94</v>
      </c>
      <c r="C2" s="4" t="s">
        <v>15</v>
      </c>
      <c r="D2" s="4" t="s">
        <v>17</v>
      </c>
      <c r="E2" s="5" t="n">
        <v>104.95</v>
      </c>
      <c r="F2" s="5" t="n">
        <v>191.95</v>
      </c>
      <c r="G2" s="6" t="n">
        <v>0.453243032039594</v>
      </c>
      <c r="H2" s="5" t="n">
        <v>74.95</v>
      </c>
      <c r="I2" s="5" t="n">
        <v>137.95</v>
      </c>
      <c r="J2" s="5" t="n">
        <f aca="false">H2-E2</f>
        <v>-30</v>
      </c>
      <c r="K2" s="6" t="n">
        <f aca="false">IF(E2=0,0,J2/E2)</f>
        <v>-0.28585040495474</v>
      </c>
    </row>
    <row r="3" customFormat="false" ht="15" hidden="false" customHeight="false" outlineLevel="0" collapsed="false">
      <c r="A3" s="4" t="s">
        <v>95</v>
      </c>
      <c r="B3" s="4" t="s">
        <v>96</v>
      </c>
      <c r="C3" s="4" t="s">
        <v>15</v>
      </c>
      <c r="D3" s="4" t="s">
        <v>17</v>
      </c>
      <c r="E3" s="5" t="n">
        <v>84.95</v>
      </c>
      <c r="F3" s="5" t="n">
        <v>169.95</v>
      </c>
      <c r="G3" s="6" t="n">
        <v>0.50014710208885</v>
      </c>
      <c r="H3" s="5" t="n">
        <v>69.95</v>
      </c>
      <c r="I3" s="5" t="n">
        <v>139.95</v>
      </c>
      <c r="J3" s="5" t="n">
        <f aca="false">H3-E3</f>
        <v>-15</v>
      </c>
      <c r="K3" s="6" t="n">
        <f aca="false">IF(E3=0,0,J3/E3)</f>
        <v>-0.176574455562095</v>
      </c>
    </row>
    <row r="4" customFormat="false" ht="15" hidden="false" customHeight="false" outlineLevel="0" collapsed="false">
      <c r="A4" s="4" t="s">
        <v>97</v>
      </c>
      <c r="B4" s="4" t="s">
        <v>98</v>
      </c>
      <c r="C4" s="4" t="s">
        <v>15</v>
      </c>
      <c r="D4" s="4" t="s">
        <v>17</v>
      </c>
      <c r="E4" s="5" t="n">
        <v>89.95</v>
      </c>
      <c r="F4" s="5" t="n">
        <v>179.95</v>
      </c>
      <c r="G4" s="6" t="n">
        <v>0.500138927479855</v>
      </c>
      <c r="H4" s="5" t="n">
        <v>69.95</v>
      </c>
      <c r="I4" s="5" t="n">
        <v>139.95</v>
      </c>
      <c r="J4" s="5" t="n">
        <f aca="false">H4-E4</f>
        <v>-20</v>
      </c>
      <c r="K4" s="6" t="n">
        <f aca="false">IF(E4=0,0,J4/E4)</f>
        <v>-0.222345747637576</v>
      </c>
    </row>
    <row r="5" customFormat="false" ht="15" hidden="false" customHeight="false" outlineLevel="0" collapsed="false">
      <c r="A5" s="4" t="s">
        <v>99</v>
      </c>
      <c r="B5" s="4" t="s">
        <v>100</v>
      </c>
      <c r="C5" s="4" t="s">
        <v>15</v>
      </c>
      <c r="D5" s="4" t="s">
        <v>17</v>
      </c>
      <c r="E5" s="5" t="n">
        <v>79.95</v>
      </c>
      <c r="F5" s="5" t="n">
        <v>159.95</v>
      </c>
      <c r="G5" s="6" t="n">
        <v>0.500156298843389</v>
      </c>
      <c r="H5" s="5" t="n">
        <v>69.95</v>
      </c>
      <c r="I5" s="5" t="n">
        <v>139.95</v>
      </c>
      <c r="J5" s="5" t="n">
        <f aca="false">H5-E5</f>
        <v>-10</v>
      </c>
      <c r="K5" s="6" t="n">
        <f aca="false">IF(E5=0,0,J5/E5)</f>
        <v>-0.125078173858662</v>
      </c>
    </row>
    <row r="6" customFormat="false" ht="15" hidden="false" customHeight="false" outlineLevel="0" collapsed="false">
      <c r="A6" s="4" t="s">
        <v>101</v>
      </c>
      <c r="B6" s="4" t="s">
        <v>102</v>
      </c>
      <c r="C6" s="4" t="s">
        <v>15</v>
      </c>
      <c r="D6" s="4" t="s">
        <v>17</v>
      </c>
      <c r="E6" s="5" t="n">
        <v>104.95</v>
      </c>
      <c r="F6" s="5" t="n">
        <v>209.95</v>
      </c>
      <c r="G6" s="6" t="n">
        <v>0.500119075970469</v>
      </c>
      <c r="H6" s="5" t="n">
        <v>74.95</v>
      </c>
      <c r="I6" s="5" t="n">
        <v>149.95</v>
      </c>
      <c r="J6" s="5" t="n">
        <f aca="false">H6-E6</f>
        <v>-30</v>
      </c>
      <c r="K6" s="6" t="n">
        <f aca="false">IF(E6=0,0,J6/E6)</f>
        <v>-0.28585040495474</v>
      </c>
    </row>
    <row r="7" customFormat="false" ht="15" hidden="false" customHeight="false" outlineLevel="0" collapsed="false">
      <c r="A7" s="4" t="s">
        <v>103</v>
      </c>
      <c r="B7" s="4" t="s">
        <v>104</v>
      </c>
      <c r="C7" s="4" t="s">
        <v>15</v>
      </c>
      <c r="D7" s="4" t="s">
        <v>17</v>
      </c>
      <c r="E7" s="5" t="n">
        <v>79.95</v>
      </c>
      <c r="F7" s="5" t="n">
        <v>159.95</v>
      </c>
      <c r="G7" s="6" t="n">
        <v>0.500156298843389</v>
      </c>
      <c r="H7" s="5" t="n">
        <v>69.95</v>
      </c>
      <c r="I7" s="5" t="n">
        <v>139.95</v>
      </c>
      <c r="J7" s="5" t="n">
        <f aca="false">H7-E7</f>
        <v>-10</v>
      </c>
      <c r="K7" s="6" t="n">
        <f aca="false">IF(E7=0,0,J7/E7)</f>
        <v>-0.125078173858662</v>
      </c>
    </row>
    <row r="8" customFormat="false" ht="15" hidden="false" customHeight="false" outlineLevel="0" collapsed="false">
      <c r="A8" s="4" t="s">
        <v>105</v>
      </c>
      <c r="B8" s="4" t="s">
        <v>106</v>
      </c>
      <c r="C8" s="4" t="s">
        <v>15</v>
      </c>
      <c r="D8" s="4" t="s">
        <v>17</v>
      </c>
      <c r="E8" s="5" t="n">
        <v>104.95</v>
      </c>
      <c r="F8" s="5" t="n">
        <v>191.95</v>
      </c>
      <c r="G8" s="6" t="n">
        <v>0.453243032039594</v>
      </c>
      <c r="H8" s="5" t="n">
        <v>74.95</v>
      </c>
      <c r="I8" s="5" t="n">
        <v>137.95</v>
      </c>
      <c r="J8" s="5" t="n">
        <f aca="false">H8-E8</f>
        <v>-30</v>
      </c>
      <c r="K8" s="6" t="n">
        <f aca="false">IF(E8=0,0,J8/E8)</f>
        <v>-0.28585040495474</v>
      </c>
    </row>
    <row r="9" customFormat="false" ht="15" hidden="false" customHeight="false" outlineLevel="0" collapsed="false">
      <c r="A9" s="4" t="s">
        <v>107</v>
      </c>
      <c r="B9" s="4" t="s">
        <v>108</v>
      </c>
      <c r="C9" s="4" t="s">
        <v>15</v>
      </c>
      <c r="D9" s="4" t="s">
        <v>17</v>
      </c>
      <c r="E9" s="5" t="n">
        <v>84.95</v>
      </c>
      <c r="F9" s="5" t="n">
        <v>142.95</v>
      </c>
      <c r="G9" s="6" t="n">
        <v>0.405736271423575</v>
      </c>
      <c r="H9" s="5" t="n">
        <v>69.95</v>
      </c>
      <c r="I9" s="5" t="n">
        <v>117.95</v>
      </c>
      <c r="J9" s="5" t="n">
        <f aca="false">H9-E9</f>
        <v>-15</v>
      </c>
      <c r="K9" s="6" t="n">
        <f aca="false">IF(E9=0,0,J9/E9)</f>
        <v>-0.176574455562095</v>
      </c>
    </row>
    <row r="10" customFormat="false" ht="15" hidden="false" customHeight="false" outlineLevel="0" collapsed="false">
      <c r="A10" s="4" t="s">
        <v>109</v>
      </c>
      <c r="B10" s="4" t="s">
        <v>110</v>
      </c>
      <c r="C10" s="4" t="s">
        <v>15</v>
      </c>
      <c r="D10" s="4" t="s">
        <v>17</v>
      </c>
      <c r="E10" s="5" t="n">
        <v>79.95</v>
      </c>
      <c r="F10" s="5" t="n">
        <v>134.95</v>
      </c>
      <c r="G10" s="6" t="n">
        <v>0.407558354946276</v>
      </c>
      <c r="H10" s="5" t="n">
        <v>69.95</v>
      </c>
      <c r="I10" s="5" t="n">
        <v>118.95</v>
      </c>
      <c r="J10" s="5" t="n">
        <f aca="false">H10-E10</f>
        <v>-10</v>
      </c>
      <c r="K10" s="6" t="n">
        <f aca="false">IF(E10=0,0,J10/E10)</f>
        <v>-0.125078173858662</v>
      </c>
    </row>
    <row r="11" customFormat="false" ht="15" hidden="false" customHeight="false" outlineLevel="0" collapsed="false">
      <c r="A11" s="4" t="s">
        <v>111</v>
      </c>
      <c r="B11" s="4" t="s">
        <v>112</v>
      </c>
      <c r="C11" s="4" t="s">
        <v>15</v>
      </c>
      <c r="D11" s="4" t="s">
        <v>17</v>
      </c>
      <c r="E11" s="5" t="n">
        <v>104.95</v>
      </c>
      <c r="F11" s="5" t="n">
        <v>174.95</v>
      </c>
      <c r="G11" s="6" t="n">
        <v>0.400114318376679</v>
      </c>
      <c r="H11" s="5" t="n">
        <v>74.95</v>
      </c>
      <c r="I11" s="5" t="n">
        <v>124.95</v>
      </c>
      <c r="J11" s="5" t="n">
        <f aca="false">H11-E11</f>
        <v>-30</v>
      </c>
      <c r="K11" s="6" t="n">
        <f aca="false">IF(E11=0,0,J11/E11)</f>
        <v>-0.28585040495474</v>
      </c>
    </row>
    <row r="12" customFormat="false" ht="15" hidden="false" customHeight="false" outlineLevel="0" collapsed="false">
      <c r="A12" s="4" t="s">
        <v>113</v>
      </c>
      <c r="B12" s="4" t="s">
        <v>114</v>
      </c>
      <c r="C12" s="4" t="s">
        <v>15</v>
      </c>
      <c r="D12" s="4" t="s">
        <v>17</v>
      </c>
      <c r="E12" s="5" t="n">
        <v>79.95</v>
      </c>
      <c r="F12" s="5" t="n">
        <v>159.95</v>
      </c>
      <c r="G12" s="6" t="n">
        <v>0.500156298843389</v>
      </c>
      <c r="H12" s="5" t="n">
        <v>69.95</v>
      </c>
      <c r="I12" s="5" t="n">
        <v>139.95</v>
      </c>
      <c r="J12" s="5" t="n">
        <f aca="false">H12-E12</f>
        <v>-10</v>
      </c>
      <c r="K12" s="6" t="n">
        <f aca="false">IF(E12=0,0,J12/E12)</f>
        <v>-0.125078173858662</v>
      </c>
    </row>
    <row r="13" customFormat="false" ht="15" hidden="false" customHeight="false" outlineLevel="0" collapsed="false">
      <c r="A13" s="4" t="s">
        <v>115</v>
      </c>
      <c r="B13" s="4" t="s">
        <v>116</v>
      </c>
      <c r="C13" s="4" t="s">
        <v>15</v>
      </c>
      <c r="D13" s="4" t="s">
        <v>17</v>
      </c>
      <c r="E13" s="5" t="n">
        <v>79.95</v>
      </c>
      <c r="F13" s="5" t="n">
        <v>134.95</v>
      </c>
      <c r="G13" s="6" t="n">
        <v>0.407558354946276</v>
      </c>
      <c r="H13" s="5" t="n">
        <v>69.95</v>
      </c>
      <c r="I13" s="5" t="n">
        <v>118.95</v>
      </c>
      <c r="J13" s="5" t="n">
        <f aca="false">H13-E13</f>
        <v>-10</v>
      </c>
      <c r="K13" s="6" t="n">
        <f aca="false">IF(E13=0,0,J13/E13)</f>
        <v>-0.125078173858662</v>
      </c>
    </row>
    <row r="14" customFormat="false" ht="15" hidden="false" customHeight="false" outlineLevel="0" collapsed="false">
      <c r="A14" s="4" t="s">
        <v>117</v>
      </c>
      <c r="B14" s="4" t="s">
        <v>118</v>
      </c>
      <c r="C14" s="4" t="s">
        <v>15</v>
      </c>
      <c r="D14" s="4" t="s">
        <v>17</v>
      </c>
      <c r="E14" s="5" t="n">
        <v>79.95</v>
      </c>
      <c r="F14" s="5" t="n">
        <v>146.95</v>
      </c>
      <c r="G14" s="6" t="n">
        <v>0.455937393671317</v>
      </c>
      <c r="H14" s="5" t="n">
        <v>69.95</v>
      </c>
      <c r="I14" s="5" t="n">
        <v>128.95</v>
      </c>
      <c r="J14" s="5" t="n">
        <f aca="false">H14-E14</f>
        <v>-10</v>
      </c>
      <c r="K14" s="6" t="n">
        <f aca="false">IF(E14=0,0,J14/E14)</f>
        <v>-0.125078173858662</v>
      </c>
    </row>
    <row r="15" customFormat="false" ht="15" hidden="false" customHeight="false" outlineLevel="0" collapsed="false">
      <c r="A15" s="4" t="s">
        <v>119</v>
      </c>
      <c r="B15" s="4" t="s">
        <v>120</v>
      </c>
      <c r="C15" s="4" t="s">
        <v>15</v>
      </c>
      <c r="D15" s="4" t="s">
        <v>17</v>
      </c>
      <c r="E15" s="5" t="n">
        <v>104.95</v>
      </c>
      <c r="F15" s="5" t="n">
        <v>191.95</v>
      </c>
      <c r="G15" s="6" t="n">
        <v>0.453243032039594</v>
      </c>
      <c r="H15" s="5" t="n">
        <v>74.95</v>
      </c>
      <c r="I15" s="5" t="n">
        <v>137.95</v>
      </c>
      <c r="J15" s="5" t="n">
        <f aca="false">H15-E15</f>
        <v>-30</v>
      </c>
      <c r="K15" s="6" t="n">
        <f aca="false">IF(E15=0,0,J15/E15)</f>
        <v>-0.28585040495474</v>
      </c>
    </row>
    <row r="16" customFormat="false" ht="15" hidden="false" customHeight="false" outlineLevel="0" collapsed="false">
      <c r="A16" s="4" t="s">
        <v>121</v>
      </c>
      <c r="B16" s="4" t="s">
        <v>122</v>
      </c>
      <c r="C16" s="4" t="s">
        <v>15</v>
      </c>
      <c r="D16" s="4" t="s">
        <v>17</v>
      </c>
      <c r="E16" s="5" t="n">
        <v>104.95</v>
      </c>
      <c r="F16" s="5" t="n">
        <v>174.95</v>
      </c>
      <c r="G16" s="6" t="n">
        <v>0.400114318376679</v>
      </c>
      <c r="H16" s="5" t="n">
        <v>74.95</v>
      </c>
      <c r="I16" s="5" t="n">
        <v>124.95</v>
      </c>
      <c r="J16" s="5" t="n">
        <f aca="false">H16-E16</f>
        <v>-30</v>
      </c>
      <c r="K16" s="6" t="n">
        <f aca="false">IF(E16=0,0,J16/E16)</f>
        <v>-0.28585040495474</v>
      </c>
    </row>
    <row r="17" customFormat="false" ht="15" hidden="false" customHeight="false" outlineLevel="0" collapsed="false">
      <c r="A17" s="4" t="s">
        <v>123</v>
      </c>
      <c r="B17" s="4" t="s">
        <v>124</v>
      </c>
      <c r="C17" s="4" t="s">
        <v>18</v>
      </c>
      <c r="D17" s="4" t="s">
        <v>19</v>
      </c>
      <c r="E17" s="5" t="n">
        <v>89.95</v>
      </c>
      <c r="F17" s="5" t="n">
        <v>179.95</v>
      </c>
      <c r="G17" s="6" t="n">
        <v>0.500138927479855</v>
      </c>
      <c r="H17" s="5" t="n">
        <v>69.95</v>
      </c>
      <c r="I17" s="5" t="n">
        <v>139.95</v>
      </c>
      <c r="J17" s="5" t="n">
        <f aca="false">H17-E17</f>
        <v>-20</v>
      </c>
      <c r="K17" s="6" t="n">
        <f aca="false">IF(E17=0,0,J17/E17)</f>
        <v>-0.222345747637576</v>
      </c>
    </row>
    <row r="18" customFormat="false" ht="15" hidden="false" customHeight="false" outlineLevel="0" collapsed="false">
      <c r="A18" s="4" t="s">
        <v>125</v>
      </c>
      <c r="B18" s="4" t="s">
        <v>126</v>
      </c>
      <c r="C18" s="4" t="s">
        <v>18</v>
      </c>
      <c r="D18" s="4" t="s">
        <v>19</v>
      </c>
      <c r="E18" s="5" t="n">
        <v>89.95</v>
      </c>
      <c r="F18" s="5" t="n">
        <v>149.95</v>
      </c>
      <c r="G18" s="6" t="n">
        <v>0.400133377792597</v>
      </c>
      <c r="H18" s="5" t="n">
        <v>69.95</v>
      </c>
      <c r="I18" s="5" t="n">
        <v>116.95</v>
      </c>
      <c r="J18" s="5" t="n">
        <f aca="false">H18-E18</f>
        <v>-20</v>
      </c>
      <c r="K18" s="6" t="n">
        <f aca="false">IF(E18=0,0,J18/E18)</f>
        <v>-0.222345747637576</v>
      </c>
    </row>
    <row r="19" customFormat="false" ht="15" hidden="false" customHeight="false" outlineLevel="0" collapsed="false">
      <c r="A19" s="4" t="s">
        <v>127</v>
      </c>
      <c r="B19" s="4" t="s">
        <v>128</v>
      </c>
      <c r="C19" s="4" t="s">
        <v>18</v>
      </c>
      <c r="D19" s="4" t="s">
        <v>19</v>
      </c>
      <c r="E19" s="5" t="n">
        <v>89.95</v>
      </c>
      <c r="F19" s="5" t="n">
        <v>179.95</v>
      </c>
      <c r="G19" s="6" t="n">
        <v>0.500138927479855</v>
      </c>
      <c r="H19" s="5" t="n">
        <v>69.95</v>
      </c>
      <c r="I19" s="5" t="n">
        <v>139.95</v>
      </c>
      <c r="J19" s="5" t="n">
        <f aca="false">H19-E19</f>
        <v>-20</v>
      </c>
      <c r="K19" s="6" t="n">
        <f aca="false">IF(E19=0,0,J19/E19)</f>
        <v>-0.222345747637576</v>
      </c>
    </row>
    <row r="20" customFormat="false" ht="15" hidden="false" customHeight="false" outlineLevel="0" collapsed="false">
      <c r="A20" s="4" t="s">
        <v>129</v>
      </c>
      <c r="B20" s="4" t="s">
        <v>130</v>
      </c>
      <c r="C20" s="4" t="s">
        <v>18</v>
      </c>
      <c r="D20" s="4" t="s">
        <v>19</v>
      </c>
      <c r="E20" s="5" t="n">
        <v>89.95</v>
      </c>
      <c r="F20" s="5" t="n">
        <v>164.95</v>
      </c>
      <c r="G20" s="6" t="n">
        <v>0.45468323734465</v>
      </c>
      <c r="H20" s="5" t="n">
        <v>69.95</v>
      </c>
      <c r="I20" s="5" t="n">
        <v>128.95</v>
      </c>
      <c r="J20" s="5" t="n">
        <f aca="false">H20-E20</f>
        <v>-20</v>
      </c>
      <c r="K20" s="6" t="n">
        <f aca="false">IF(E20=0,0,J20/E20)</f>
        <v>-0.222345747637576</v>
      </c>
    </row>
    <row r="21" customFormat="false" ht="15" hidden="false" customHeight="false" outlineLevel="0" collapsed="false">
      <c r="A21" s="4" t="s">
        <v>131</v>
      </c>
      <c r="B21" s="4" t="s">
        <v>132</v>
      </c>
      <c r="C21" s="4" t="s">
        <v>18</v>
      </c>
      <c r="D21" s="4" t="s">
        <v>19</v>
      </c>
      <c r="E21" s="5" t="n">
        <v>89.95</v>
      </c>
      <c r="F21" s="5" t="n">
        <v>179.95</v>
      </c>
      <c r="G21" s="6" t="n">
        <v>0.500138927479855</v>
      </c>
      <c r="H21" s="5" t="n">
        <v>69.95</v>
      </c>
      <c r="I21" s="5" t="n">
        <v>139.95</v>
      </c>
      <c r="J21" s="5" t="n">
        <f aca="false">H21-E21</f>
        <v>-20</v>
      </c>
      <c r="K21" s="6" t="n">
        <f aca="false">IF(E21=0,0,J21/E21)</f>
        <v>-0.222345747637576</v>
      </c>
    </row>
    <row r="22" customFormat="false" ht="15" hidden="false" customHeight="false" outlineLevel="0" collapsed="false">
      <c r="A22" s="4" t="s">
        <v>133</v>
      </c>
      <c r="B22" s="4" t="s">
        <v>134</v>
      </c>
      <c r="C22" s="4" t="s">
        <v>18</v>
      </c>
      <c r="D22" s="4" t="s">
        <v>19</v>
      </c>
      <c r="E22" s="5" t="n">
        <v>89.95</v>
      </c>
      <c r="F22" s="5" t="n">
        <v>179.95</v>
      </c>
      <c r="G22" s="6" t="n">
        <v>0.500138927479855</v>
      </c>
      <c r="H22" s="5" t="n">
        <v>69.95</v>
      </c>
      <c r="I22" s="5" t="n">
        <v>139.95</v>
      </c>
      <c r="J22" s="5" t="n">
        <f aca="false">H22-E22</f>
        <v>-20</v>
      </c>
      <c r="K22" s="6" t="n">
        <f aca="false">IF(E22=0,0,J22/E22)</f>
        <v>-0.222345747637576</v>
      </c>
    </row>
    <row r="23" customFormat="false" ht="15" hidden="false" customHeight="false" outlineLevel="0" collapsed="false">
      <c r="A23" s="4" t="s">
        <v>135</v>
      </c>
      <c r="B23" s="4" t="s">
        <v>136</v>
      </c>
      <c r="C23" s="4" t="s">
        <v>18</v>
      </c>
      <c r="D23" s="4" t="s">
        <v>19</v>
      </c>
      <c r="E23" s="5" t="n">
        <v>84.95</v>
      </c>
      <c r="F23" s="5" t="n">
        <v>142.95</v>
      </c>
      <c r="G23" s="6" t="n">
        <v>0.405736271423575</v>
      </c>
      <c r="H23" s="5" t="n">
        <v>69.95</v>
      </c>
      <c r="I23" s="5" t="n">
        <v>117.95</v>
      </c>
      <c r="J23" s="5" t="n">
        <f aca="false">H23-E23</f>
        <v>-15</v>
      </c>
      <c r="K23" s="6" t="n">
        <f aca="false">IF(E23=0,0,J23/E23)</f>
        <v>-0.176574455562095</v>
      </c>
    </row>
    <row r="24" customFormat="false" ht="15" hidden="false" customHeight="false" outlineLevel="0" collapsed="false">
      <c r="A24" s="4" t="s">
        <v>137</v>
      </c>
      <c r="B24" s="4" t="s">
        <v>138</v>
      </c>
      <c r="C24" s="4" t="s">
        <v>18</v>
      </c>
      <c r="D24" s="4" t="s">
        <v>19</v>
      </c>
      <c r="E24" s="5" t="n">
        <v>89.95</v>
      </c>
      <c r="F24" s="5" t="n">
        <v>149.95</v>
      </c>
      <c r="G24" s="6" t="n">
        <v>0.400133377792597</v>
      </c>
      <c r="H24" s="5" t="n">
        <v>69.95</v>
      </c>
      <c r="I24" s="5" t="n">
        <v>116.95</v>
      </c>
      <c r="J24" s="5" t="n">
        <f aca="false">H24-E24</f>
        <v>-20</v>
      </c>
      <c r="K24" s="6" t="n">
        <f aca="false">IF(E24=0,0,J24/E24)</f>
        <v>-0.222345747637576</v>
      </c>
    </row>
    <row r="25" customFormat="false" ht="15" hidden="false" customHeight="false" outlineLevel="0" collapsed="false">
      <c r="A25" s="4" t="s">
        <v>139</v>
      </c>
      <c r="B25" s="4" t="s">
        <v>140</v>
      </c>
      <c r="C25" s="4" t="s">
        <v>20</v>
      </c>
      <c r="D25" s="4" t="s">
        <v>21</v>
      </c>
      <c r="E25" s="5" t="n">
        <v>109.95</v>
      </c>
      <c r="F25" s="5" t="n">
        <v>200.95</v>
      </c>
      <c r="G25" s="6" t="n">
        <v>0.452848967404827</v>
      </c>
      <c r="H25" s="5" t="n">
        <v>94.95</v>
      </c>
      <c r="I25" s="5" t="n">
        <v>173.95</v>
      </c>
      <c r="J25" s="5" t="n">
        <f aca="false">H25-E25</f>
        <v>-15</v>
      </c>
      <c r="K25" s="6" t="n">
        <f aca="false">IF(E25=0,0,J25/E25)</f>
        <v>-0.136425648021828</v>
      </c>
    </row>
    <row r="26" customFormat="false" ht="15" hidden="false" customHeight="false" outlineLevel="0" collapsed="false">
      <c r="A26" s="4" t="s">
        <v>141</v>
      </c>
      <c r="B26" s="4" t="s">
        <v>142</v>
      </c>
      <c r="C26" s="4" t="s">
        <v>20</v>
      </c>
      <c r="D26" s="4" t="s">
        <v>21</v>
      </c>
      <c r="E26" s="5" t="n">
        <v>89.95</v>
      </c>
      <c r="F26" s="5" t="n">
        <v>149.95</v>
      </c>
      <c r="G26" s="6" t="n">
        <v>0.400133377792597</v>
      </c>
      <c r="H26" s="5" t="n">
        <v>89.95</v>
      </c>
      <c r="I26" s="5" t="n">
        <v>149.95</v>
      </c>
      <c r="J26" s="5" t="n">
        <f aca="false">H26-E26</f>
        <v>0</v>
      </c>
      <c r="K26" s="6" t="n">
        <f aca="false">IF(E26=0,0,J26/E26)</f>
        <v>0</v>
      </c>
    </row>
    <row r="27" customFormat="false" ht="15" hidden="false" customHeight="false" outlineLevel="0" collapsed="false">
      <c r="A27" s="4" t="s">
        <v>143</v>
      </c>
      <c r="B27" s="4" t="s">
        <v>144</v>
      </c>
      <c r="C27" s="4" t="s">
        <v>20</v>
      </c>
      <c r="D27" s="4" t="s">
        <v>21</v>
      </c>
      <c r="E27" s="5" t="n">
        <v>109.95</v>
      </c>
      <c r="F27" s="5" t="n">
        <v>219.95</v>
      </c>
      <c r="G27" s="6" t="n">
        <v>0.500113662195954</v>
      </c>
      <c r="H27" s="5" t="n">
        <v>94.95</v>
      </c>
      <c r="I27" s="5" t="n">
        <v>189.95</v>
      </c>
      <c r="J27" s="5" t="n">
        <f aca="false">H27-E27</f>
        <v>-15</v>
      </c>
      <c r="K27" s="6" t="n">
        <f aca="false">IF(E27=0,0,J27/E27)</f>
        <v>-0.136425648021828</v>
      </c>
    </row>
    <row r="28" customFormat="false" ht="15" hidden="false" customHeight="false" outlineLevel="0" collapsed="false">
      <c r="A28" s="4" t="s">
        <v>145</v>
      </c>
      <c r="B28" s="4" t="s">
        <v>146</v>
      </c>
      <c r="C28" s="4" t="s">
        <v>20</v>
      </c>
      <c r="D28" s="4" t="s">
        <v>21</v>
      </c>
      <c r="E28" s="5" t="n">
        <v>109.95</v>
      </c>
      <c r="F28" s="5" t="n">
        <v>183.95</v>
      </c>
      <c r="G28" s="6" t="n">
        <v>0.402283229138353</v>
      </c>
      <c r="H28" s="5" t="n">
        <v>94.95</v>
      </c>
      <c r="I28" s="5" t="n">
        <v>158.95</v>
      </c>
      <c r="J28" s="5" t="n">
        <f aca="false">H28-E28</f>
        <v>-15</v>
      </c>
      <c r="K28" s="6" t="n">
        <f aca="false">IF(E28=0,0,J28/E28)</f>
        <v>-0.136425648021828</v>
      </c>
    </row>
    <row r="29" customFormat="false" ht="15" hidden="false" customHeight="false" outlineLevel="0" collapsed="false">
      <c r="A29" s="4" t="s">
        <v>147</v>
      </c>
      <c r="B29" s="4" t="s">
        <v>148</v>
      </c>
      <c r="C29" s="4" t="s">
        <v>20</v>
      </c>
      <c r="D29" s="4" t="s">
        <v>21</v>
      </c>
      <c r="E29" s="5" t="n">
        <v>104.95</v>
      </c>
      <c r="F29" s="5" t="n">
        <v>191.95</v>
      </c>
      <c r="G29" s="6" t="n">
        <v>0.453243032039594</v>
      </c>
      <c r="H29" s="5" t="n">
        <v>89.95</v>
      </c>
      <c r="I29" s="5" t="n">
        <v>164.95</v>
      </c>
      <c r="J29" s="5" t="n">
        <f aca="false">H29-E29</f>
        <v>-15</v>
      </c>
      <c r="K29" s="6" t="n">
        <f aca="false">IF(E29=0,0,J29/E29)</f>
        <v>-0.14292520247737</v>
      </c>
    </row>
    <row r="30" customFormat="false" ht="15" hidden="false" customHeight="false" outlineLevel="0" collapsed="false">
      <c r="A30" s="4" t="s">
        <v>149</v>
      </c>
      <c r="B30" s="4" t="s">
        <v>150</v>
      </c>
      <c r="C30" s="4" t="s">
        <v>20</v>
      </c>
      <c r="D30" s="4" t="s">
        <v>21</v>
      </c>
      <c r="E30" s="5" t="n">
        <v>109.95</v>
      </c>
      <c r="F30" s="5" t="n">
        <v>219.95</v>
      </c>
      <c r="G30" s="6" t="n">
        <v>0.500113662195954</v>
      </c>
      <c r="H30" s="5" t="n">
        <v>94.95</v>
      </c>
      <c r="I30" s="5" t="n">
        <v>189.95</v>
      </c>
      <c r="J30" s="5" t="n">
        <f aca="false">H30-E30</f>
        <v>-15</v>
      </c>
      <c r="K30" s="6" t="n">
        <f aca="false">IF(E30=0,0,J30/E30)</f>
        <v>-0.136425648021828</v>
      </c>
    </row>
    <row r="31" customFormat="false" ht="15" hidden="false" customHeight="false" outlineLevel="0" collapsed="false">
      <c r="A31" s="4" t="s">
        <v>151</v>
      </c>
      <c r="B31" s="4" t="s">
        <v>152</v>
      </c>
      <c r="C31" s="4" t="s">
        <v>20</v>
      </c>
      <c r="D31" s="4" t="s">
        <v>21</v>
      </c>
      <c r="E31" s="5" t="n">
        <v>109.95</v>
      </c>
      <c r="F31" s="5" t="n">
        <v>200.95</v>
      </c>
      <c r="G31" s="6" t="n">
        <v>0.452848967404827</v>
      </c>
      <c r="H31" s="5" t="n">
        <v>94.95</v>
      </c>
      <c r="I31" s="5" t="n">
        <v>173.95</v>
      </c>
      <c r="J31" s="5" t="n">
        <f aca="false">H31-E31</f>
        <v>-15</v>
      </c>
      <c r="K31" s="6" t="n">
        <f aca="false">IF(E31=0,0,J31/E31)</f>
        <v>-0.136425648021828</v>
      </c>
    </row>
    <row r="32" customFormat="false" ht="15" hidden="false" customHeight="false" outlineLevel="0" collapsed="false">
      <c r="A32" s="4" t="s">
        <v>153</v>
      </c>
      <c r="B32" s="4" t="s">
        <v>154</v>
      </c>
      <c r="C32" s="4" t="s">
        <v>20</v>
      </c>
      <c r="D32" s="4" t="s">
        <v>21</v>
      </c>
      <c r="E32" s="5" t="n">
        <v>89.95</v>
      </c>
      <c r="F32" s="5" t="n">
        <v>149.95</v>
      </c>
      <c r="G32" s="6" t="n">
        <v>0.400133377792597</v>
      </c>
      <c r="H32" s="5" t="n">
        <v>89.95</v>
      </c>
      <c r="I32" s="5" t="n">
        <v>149.95</v>
      </c>
      <c r="J32" s="5" t="n">
        <f aca="false">H32-E32</f>
        <v>0</v>
      </c>
      <c r="K32" s="6" t="n">
        <f aca="false">IF(E32=0,0,J32/E32)</f>
        <v>0</v>
      </c>
    </row>
    <row r="33" customFormat="false" ht="15" hidden="false" customHeight="false" outlineLevel="0" collapsed="false">
      <c r="A33" s="4" t="s">
        <v>155</v>
      </c>
      <c r="B33" s="4" t="s">
        <v>156</v>
      </c>
      <c r="C33" s="4" t="s">
        <v>20</v>
      </c>
      <c r="D33" s="4" t="s">
        <v>21</v>
      </c>
      <c r="E33" s="5" t="n">
        <v>99.95</v>
      </c>
      <c r="F33" s="5" t="n">
        <v>182.95</v>
      </c>
      <c r="G33" s="6" t="n">
        <v>0.453675867723422</v>
      </c>
      <c r="H33" s="5" t="n">
        <v>89.95</v>
      </c>
      <c r="I33" s="5" t="n">
        <v>164.95</v>
      </c>
      <c r="J33" s="5" t="n">
        <f aca="false">H33-E33</f>
        <v>-10</v>
      </c>
      <c r="K33" s="6" t="n">
        <f aca="false">IF(E33=0,0,J33/E33)</f>
        <v>-0.100050025012506</v>
      </c>
    </row>
    <row r="34" customFormat="false" ht="15" hidden="false" customHeight="false" outlineLevel="0" collapsed="false">
      <c r="A34" s="4" t="s">
        <v>157</v>
      </c>
      <c r="B34" s="4" t="s">
        <v>158</v>
      </c>
      <c r="C34" s="4" t="s">
        <v>20</v>
      </c>
      <c r="D34" s="4" t="s">
        <v>21</v>
      </c>
      <c r="E34" s="5" t="n">
        <v>99.95</v>
      </c>
      <c r="F34" s="5" t="n">
        <v>182.95</v>
      </c>
      <c r="G34" s="6" t="n">
        <v>0.453675867723422</v>
      </c>
      <c r="H34" s="5" t="n">
        <v>89.95</v>
      </c>
      <c r="I34" s="5" t="n">
        <v>164.95</v>
      </c>
      <c r="J34" s="5" t="n">
        <f aca="false">H34-E34</f>
        <v>-10</v>
      </c>
      <c r="K34" s="6" t="n">
        <f aca="false">IF(E34=0,0,J34/E34)</f>
        <v>-0.100050025012506</v>
      </c>
    </row>
    <row r="35" customFormat="false" ht="15" hidden="false" customHeight="false" outlineLevel="0" collapsed="false">
      <c r="A35" s="4" t="s">
        <v>159</v>
      </c>
      <c r="B35" s="4" t="s">
        <v>160</v>
      </c>
      <c r="C35" s="4" t="s">
        <v>20</v>
      </c>
      <c r="D35" s="4" t="s">
        <v>21</v>
      </c>
      <c r="E35" s="5" t="n">
        <v>109.95</v>
      </c>
      <c r="F35" s="5" t="n">
        <v>200.95</v>
      </c>
      <c r="G35" s="6" t="n">
        <v>0.452848967404827</v>
      </c>
      <c r="H35" s="5" t="n">
        <v>94.95</v>
      </c>
      <c r="I35" s="5" t="n">
        <v>173.95</v>
      </c>
      <c r="J35" s="5" t="n">
        <f aca="false">H35-E35</f>
        <v>-15</v>
      </c>
      <c r="K35" s="6" t="n">
        <f aca="false">IF(E35=0,0,J35/E35)</f>
        <v>-0.136425648021828</v>
      </c>
    </row>
    <row r="36" customFormat="false" ht="15" hidden="false" customHeight="false" outlineLevel="0" collapsed="false">
      <c r="A36" s="4" t="s">
        <v>161</v>
      </c>
      <c r="B36" s="4" t="s">
        <v>162</v>
      </c>
      <c r="C36" s="4" t="s">
        <v>20</v>
      </c>
      <c r="D36" s="4" t="s">
        <v>21</v>
      </c>
      <c r="E36" s="5" t="n">
        <v>109.95</v>
      </c>
      <c r="F36" s="5" t="n">
        <v>219.95</v>
      </c>
      <c r="G36" s="6" t="n">
        <v>0.500113662195954</v>
      </c>
      <c r="H36" s="5" t="n">
        <v>94.95</v>
      </c>
      <c r="I36" s="5" t="n">
        <v>189.95</v>
      </c>
      <c r="J36" s="5" t="n">
        <f aca="false">H36-E36</f>
        <v>-15</v>
      </c>
      <c r="K36" s="6" t="n">
        <f aca="false">IF(E36=0,0,J36/E36)</f>
        <v>-0.136425648021828</v>
      </c>
    </row>
    <row r="37" customFormat="false" ht="15" hidden="false" customHeight="false" outlineLevel="0" collapsed="false">
      <c r="A37" s="4" t="s">
        <v>163</v>
      </c>
      <c r="B37" s="4" t="s">
        <v>164</v>
      </c>
      <c r="C37" s="4" t="s">
        <v>22</v>
      </c>
      <c r="D37" s="4" t="s">
        <v>21</v>
      </c>
      <c r="E37" s="5" t="n">
        <v>109.95</v>
      </c>
      <c r="F37" s="5" t="n">
        <v>183.95</v>
      </c>
      <c r="G37" s="6" t="n">
        <v>0.402283229138353</v>
      </c>
      <c r="H37" s="5" t="n">
        <v>89.95</v>
      </c>
      <c r="I37" s="5" t="n">
        <v>150.95</v>
      </c>
      <c r="J37" s="5" t="n">
        <f aca="false">H37-E37</f>
        <v>-20</v>
      </c>
      <c r="K37" s="6" t="n">
        <f aca="false">IF(E37=0,0,J37/E37)</f>
        <v>-0.181900864029104</v>
      </c>
    </row>
    <row r="38" customFormat="false" ht="15" hidden="false" customHeight="false" outlineLevel="0" collapsed="false">
      <c r="A38" s="4" t="s">
        <v>165</v>
      </c>
      <c r="B38" s="4" t="s">
        <v>166</v>
      </c>
      <c r="C38" s="4" t="s">
        <v>23</v>
      </c>
      <c r="D38" s="4" t="s">
        <v>24</v>
      </c>
      <c r="E38" s="5" t="n">
        <v>104.95</v>
      </c>
      <c r="F38" s="5" t="n">
        <v>191.95</v>
      </c>
      <c r="G38" s="6" t="n">
        <v>0.453243032039594</v>
      </c>
      <c r="H38" s="5" t="n">
        <v>79.95</v>
      </c>
      <c r="I38" s="5" t="n">
        <v>146.95</v>
      </c>
      <c r="J38" s="5" t="n">
        <f aca="false">H38-E38</f>
        <v>-25</v>
      </c>
      <c r="K38" s="6" t="n">
        <f aca="false">IF(E38=0,0,J38/E38)</f>
        <v>-0.238208670795617</v>
      </c>
    </row>
    <row r="39" customFormat="false" ht="15" hidden="false" customHeight="false" outlineLevel="0" collapsed="false">
      <c r="A39" s="4" t="s">
        <v>167</v>
      </c>
      <c r="B39" s="4" t="s">
        <v>168</v>
      </c>
      <c r="C39" s="4" t="s">
        <v>23</v>
      </c>
      <c r="D39" s="4" t="s">
        <v>24</v>
      </c>
      <c r="E39" s="5" t="n">
        <v>104.95</v>
      </c>
      <c r="F39" s="5" t="n">
        <v>175.95</v>
      </c>
      <c r="G39" s="6" t="n">
        <v>0.403523728331912</v>
      </c>
      <c r="H39" s="5" t="n">
        <v>79.95</v>
      </c>
      <c r="I39" s="5" t="n">
        <v>134.95</v>
      </c>
      <c r="J39" s="5" t="n">
        <f aca="false">H39-E39</f>
        <v>-25</v>
      </c>
      <c r="K39" s="6" t="n">
        <f aca="false">IF(E39=0,0,J39/E39)</f>
        <v>-0.238208670795617</v>
      </c>
    </row>
    <row r="40" customFormat="false" ht="15" hidden="false" customHeight="false" outlineLevel="0" collapsed="false">
      <c r="A40" s="4" t="s">
        <v>169</v>
      </c>
      <c r="B40" s="4" t="s">
        <v>170</v>
      </c>
      <c r="C40" s="4" t="s">
        <v>23</v>
      </c>
      <c r="D40" s="4" t="s">
        <v>24</v>
      </c>
      <c r="E40" s="5" t="n">
        <v>114.95</v>
      </c>
      <c r="F40" s="5" t="n">
        <v>209.95</v>
      </c>
      <c r="G40" s="6" t="n">
        <v>0.452488687782805</v>
      </c>
      <c r="H40" s="5" t="n">
        <v>84.95</v>
      </c>
      <c r="I40" s="5" t="n">
        <v>155.95</v>
      </c>
      <c r="J40" s="5" t="n">
        <f aca="false">H40-E40</f>
        <v>-30</v>
      </c>
      <c r="K40" s="6" t="n">
        <f aca="false">IF(E40=0,0,J40/E40)</f>
        <v>-0.260983036102653</v>
      </c>
    </row>
    <row r="41" customFormat="false" ht="15" hidden="false" customHeight="false" outlineLevel="0" collapsed="false">
      <c r="A41" s="4" t="s">
        <v>171</v>
      </c>
      <c r="B41" s="4" t="s">
        <v>172</v>
      </c>
      <c r="C41" s="4" t="s">
        <v>23</v>
      </c>
      <c r="D41" s="4" t="s">
        <v>24</v>
      </c>
      <c r="E41" s="5" t="n">
        <v>104.95</v>
      </c>
      <c r="F41" s="5" t="n">
        <v>174.95</v>
      </c>
      <c r="G41" s="6" t="n">
        <v>0.400114318376679</v>
      </c>
      <c r="H41" s="5" t="n">
        <v>79.95</v>
      </c>
      <c r="I41" s="5" t="n">
        <v>133.95</v>
      </c>
      <c r="J41" s="5" t="n">
        <f aca="false">H41-E41</f>
        <v>-25</v>
      </c>
      <c r="K41" s="6" t="n">
        <f aca="false">IF(E41=0,0,J41/E41)</f>
        <v>-0.238208670795617</v>
      </c>
    </row>
    <row r="42" customFormat="false" ht="15" hidden="false" customHeight="false" outlineLevel="0" collapsed="false">
      <c r="A42" s="4" t="s">
        <v>173</v>
      </c>
      <c r="B42" s="4" t="s">
        <v>174</v>
      </c>
      <c r="C42" s="4" t="s">
        <v>23</v>
      </c>
      <c r="D42" s="4" t="s">
        <v>24</v>
      </c>
      <c r="E42" s="5" t="n">
        <v>114.95</v>
      </c>
      <c r="F42" s="5" t="n">
        <v>209.95</v>
      </c>
      <c r="G42" s="6" t="n">
        <v>0.452488687782805</v>
      </c>
      <c r="H42" s="5" t="n">
        <v>84.95</v>
      </c>
      <c r="I42" s="5" t="n">
        <v>155.95</v>
      </c>
      <c r="J42" s="5" t="n">
        <f aca="false">H42-E42</f>
        <v>-30</v>
      </c>
      <c r="K42" s="6" t="n">
        <f aca="false">IF(E42=0,0,J42/E42)</f>
        <v>-0.260983036102653</v>
      </c>
    </row>
    <row r="43" customFormat="false" ht="15" hidden="false" customHeight="false" outlineLevel="0" collapsed="false">
      <c r="A43" s="4" t="s">
        <v>175</v>
      </c>
      <c r="B43" s="4" t="s">
        <v>176</v>
      </c>
      <c r="C43" s="4" t="s">
        <v>23</v>
      </c>
      <c r="D43" s="4" t="s">
        <v>24</v>
      </c>
      <c r="E43" s="5" t="n">
        <v>104.95</v>
      </c>
      <c r="F43" s="5" t="n">
        <v>209.95</v>
      </c>
      <c r="G43" s="6" t="n">
        <v>0.500119075970469</v>
      </c>
      <c r="H43" s="5" t="n">
        <v>79.95</v>
      </c>
      <c r="I43" s="5" t="n">
        <v>159.95</v>
      </c>
      <c r="J43" s="5" t="n">
        <f aca="false">H43-E43</f>
        <v>-25</v>
      </c>
      <c r="K43" s="6" t="n">
        <f aca="false">IF(E43=0,0,J43/E43)</f>
        <v>-0.238208670795617</v>
      </c>
    </row>
    <row r="44" customFormat="false" ht="15" hidden="false" customHeight="false" outlineLevel="0" collapsed="false">
      <c r="A44" s="4" t="s">
        <v>177</v>
      </c>
      <c r="B44" s="4" t="s">
        <v>178</v>
      </c>
      <c r="C44" s="4" t="s">
        <v>23</v>
      </c>
      <c r="D44" s="4" t="s">
        <v>24</v>
      </c>
      <c r="E44" s="5" t="n">
        <v>114.95</v>
      </c>
      <c r="F44" s="5" t="n">
        <v>209.95</v>
      </c>
      <c r="G44" s="6" t="n">
        <v>0.452488687782805</v>
      </c>
      <c r="H44" s="5" t="n">
        <v>84.95</v>
      </c>
      <c r="I44" s="5" t="n">
        <v>155.95</v>
      </c>
      <c r="J44" s="5" t="n">
        <f aca="false">H44-E44</f>
        <v>-30</v>
      </c>
      <c r="K44" s="6" t="n">
        <f aca="false">IF(E44=0,0,J44/E44)</f>
        <v>-0.260983036102653</v>
      </c>
    </row>
    <row r="45" customFormat="false" ht="15" hidden="false" customHeight="false" outlineLevel="0" collapsed="false">
      <c r="A45" s="4" t="s">
        <v>179</v>
      </c>
      <c r="B45" s="4" t="s">
        <v>180</v>
      </c>
      <c r="C45" s="4" t="s">
        <v>23</v>
      </c>
      <c r="D45" s="4" t="s">
        <v>24</v>
      </c>
      <c r="E45" s="5" t="n">
        <v>89.95</v>
      </c>
      <c r="F45" s="5" t="n">
        <v>149.95</v>
      </c>
      <c r="G45" s="6" t="n">
        <v>0.400133377792597</v>
      </c>
      <c r="H45" s="5" t="n">
        <v>79.95</v>
      </c>
      <c r="I45" s="5" t="n">
        <v>133.95</v>
      </c>
      <c r="J45" s="5" t="n">
        <f aca="false">H45-E45</f>
        <v>-10</v>
      </c>
      <c r="K45" s="6" t="n">
        <f aca="false">IF(E45=0,0,J45/E45)</f>
        <v>-0.111172873818788</v>
      </c>
    </row>
    <row r="46" customFormat="false" ht="15" hidden="false" customHeight="false" outlineLevel="0" collapsed="false">
      <c r="A46" s="4" t="s">
        <v>181</v>
      </c>
      <c r="B46" s="4" t="s">
        <v>182</v>
      </c>
      <c r="C46" s="4" t="s">
        <v>23</v>
      </c>
      <c r="D46" s="4" t="s">
        <v>24</v>
      </c>
      <c r="E46" s="5" t="n">
        <v>99.95</v>
      </c>
      <c r="F46" s="5" t="n">
        <v>167.95</v>
      </c>
      <c r="G46" s="6" t="n">
        <v>0.404882405477821</v>
      </c>
      <c r="H46" s="5" t="n">
        <v>79.95</v>
      </c>
      <c r="I46" s="5" t="n">
        <v>134.95</v>
      </c>
      <c r="J46" s="5" t="n">
        <f aca="false">H46-E46</f>
        <v>-20</v>
      </c>
      <c r="K46" s="6" t="n">
        <f aca="false">IF(E46=0,0,J46/E46)</f>
        <v>-0.200100050025013</v>
      </c>
    </row>
    <row r="47" customFormat="false" ht="15" hidden="false" customHeight="false" outlineLevel="0" collapsed="false">
      <c r="A47" s="4" t="s">
        <v>183</v>
      </c>
      <c r="B47" s="4" t="s">
        <v>184</v>
      </c>
      <c r="C47" s="4" t="s">
        <v>23</v>
      </c>
      <c r="D47" s="4" t="s">
        <v>24</v>
      </c>
      <c r="E47" s="5" t="n">
        <v>104.95</v>
      </c>
      <c r="F47" s="5" t="n">
        <v>209.95</v>
      </c>
      <c r="G47" s="6" t="n">
        <v>0.500119075970469</v>
      </c>
      <c r="H47" s="5" t="n">
        <v>79.95</v>
      </c>
      <c r="I47" s="5" t="n">
        <v>159.95</v>
      </c>
      <c r="J47" s="5" t="n">
        <f aca="false">H47-E47</f>
        <v>-25</v>
      </c>
      <c r="K47" s="6" t="n">
        <f aca="false">IF(E47=0,0,J47/E47)</f>
        <v>-0.238208670795617</v>
      </c>
    </row>
    <row r="48" customFormat="false" ht="15" hidden="false" customHeight="false" outlineLevel="0" collapsed="false">
      <c r="A48" s="4" t="s">
        <v>185</v>
      </c>
      <c r="B48" s="4" t="s">
        <v>186</v>
      </c>
      <c r="C48" s="4" t="s">
        <v>23</v>
      </c>
      <c r="D48" s="4" t="s">
        <v>24</v>
      </c>
      <c r="E48" s="5" t="n">
        <v>114.95</v>
      </c>
      <c r="F48" s="5" t="n">
        <v>229.95</v>
      </c>
      <c r="G48" s="6" t="n">
        <v>0.500108719286802</v>
      </c>
      <c r="H48" s="5" t="n">
        <v>84.95</v>
      </c>
      <c r="I48" s="5" t="n">
        <v>169.95</v>
      </c>
      <c r="J48" s="5" t="n">
        <f aca="false">H48-E48</f>
        <v>-30</v>
      </c>
      <c r="K48" s="6" t="n">
        <f aca="false">IF(E48=0,0,J48/E48)</f>
        <v>-0.260983036102653</v>
      </c>
    </row>
    <row r="49" customFormat="false" ht="15" hidden="false" customHeight="false" outlineLevel="0" collapsed="false">
      <c r="A49" s="4" t="s">
        <v>187</v>
      </c>
      <c r="B49" s="4" t="s">
        <v>188</v>
      </c>
      <c r="C49" s="4" t="s">
        <v>23</v>
      </c>
      <c r="D49" s="4" t="s">
        <v>24</v>
      </c>
      <c r="E49" s="5" t="n">
        <v>114.95</v>
      </c>
      <c r="F49" s="5" t="n">
        <v>191.95</v>
      </c>
      <c r="G49" s="6" t="n">
        <v>0.401146131805158</v>
      </c>
      <c r="H49" s="5" t="n">
        <v>84.95</v>
      </c>
      <c r="I49" s="5" t="n">
        <v>141.95</v>
      </c>
      <c r="J49" s="5" t="n">
        <f aca="false">H49-E49</f>
        <v>-30</v>
      </c>
      <c r="K49" s="6" t="n">
        <f aca="false">IF(E49=0,0,J49/E49)</f>
        <v>-0.260983036102653</v>
      </c>
    </row>
    <row r="50" customFormat="false" ht="15" hidden="false" customHeight="false" outlineLevel="0" collapsed="false">
      <c r="A50" s="4" t="s">
        <v>189</v>
      </c>
      <c r="B50" s="4" t="s">
        <v>190</v>
      </c>
      <c r="C50" s="4" t="s">
        <v>23</v>
      </c>
      <c r="D50" s="4" t="s">
        <v>24</v>
      </c>
      <c r="E50" s="5" t="n">
        <v>104.95</v>
      </c>
      <c r="F50" s="5" t="n">
        <v>191.95</v>
      </c>
      <c r="G50" s="6" t="n">
        <v>0.453243032039594</v>
      </c>
      <c r="H50" s="5" t="n">
        <v>79.95</v>
      </c>
      <c r="I50" s="5" t="n">
        <v>146.95</v>
      </c>
      <c r="J50" s="5" t="n">
        <f aca="false">H50-E50</f>
        <v>-25</v>
      </c>
      <c r="K50" s="6" t="n">
        <f aca="false">IF(E50=0,0,J50/E50)</f>
        <v>-0.238208670795617</v>
      </c>
    </row>
    <row r="51" customFormat="false" ht="15" hidden="false" customHeight="false" outlineLevel="0" collapsed="false">
      <c r="A51" s="4" t="s">
        <v>191</v>
      </c>
      <c r="B51" s="4" t="s">
        <v>192</v>
      </c>
      <c r="C51" s="4" t="s">
        <v>23</v>
      </c>
      <c r="D51" s="4" t="s">
        <v>24</v>
      </c>
      <c r="E51" s="5" t="n">
        <v>99.95</v>
      </c>
      <c r="F51" s="5" t="n">
        <v>182.95</v>
      </c>
      <c r="G51" s="6" t="n">
        <v>0.453675867723422</v>
      </c>
      <c r="H51" s="5" t="n">
        <v>79.95</v>
      </c>
      <c r="I51" s="5" t="n">
        <v>146.95</v>
      </c>
      <c r="J51" s="5" t="n">
        <f aca="false">H51-E51</f>
        <v>-20</v>
      </c>
      <c r="K51" s="6" t="n">
        <f aca="false">IF(E51=0,0,J51/E51)</f>
        <v>-0.200100050025013</v>
      </c>
    </row>
    <row r="52" customFormat="false" ht="15" hidden="false" customHeight="false" outlineLevel="0" collapsed="false">
      <c r="A52" s="4" t="s">
        <v>193</v>
      </c>
      <c r="B52" s="4" t="s">
        <v>194</v>
      </c>
      <c r="C52" s="4" t="s">
        <v>23</v>
      </c>
      <c r="D52" s="4" t="s">
        <v>24</v>
      </c>
      <c r="E52" s="5" t="n">
        <v>114.95</v>
      </c>
      <c r="F52" s="5" t="n">
        <v>191.95</v>
      </c>
      <c r="G52" s="6" t="n">
        <v>0.401146131805158</v>
      </c>
      <c r="H52" s="5" t="n">
        <v>84.95</v>
      </c>
      <c r="I52" s="5" t="n">
        <v>141.95</v>
      </c>
      <c r="J52" s="5" t="n">
        <f aca="false">H52-E52</f>
        <v>-30</v>
      </c>
      <c r="K52" s="6" t="n">
        <f aca="false">IF(E52=0,0,J52/E52)</f>
        <v>-0.260983036102653</v>
      </c>
    </row>
    <row r="53" customFormat="false" ht="15" hidden="false" customHeight="false" outlineLevel="0" collapsed="false">
      <c r="A53" s="4" t="s">
        <v>195</v>
      </c>
      <c r="B53" s="4" t="s">
        <v>196</v>
      </c>
      <c r="C53" s="4" t="s">
        <v>23</v>
      </c>
      <c r="D53" s="4" t="s">
        <v>24</v>
      </c>
      <c r="E53" s="5" t="n">
        <v>114.95</v>
      </c>
      <c r="F53" s="5" t="n">
        <v>191.95</v>
      </c>
      <c r="G53" s="6" t="n">
        <v>0.401146131805158</v>
      </c>
      <c r="H53" s="5" t="n">
        <v>84.95</v>
      </c>
      <c r="I53" s="5" t="n">
        <v>141.95</v>
      </c>
      <c r="J53" s="5" t="n">
        <f aca="false">H53-E53</f>
        <v>-30</v>
      </c>
      <c r="K53" s="6" t="n">
        <f aca="false">IF(E53=0,0,J53/E53)</f>
        <v>-0.260983036102653</v>
      </c>
    </row>
    <row r="54" customFormat="false" ht="15" hidden="false" customHeight="false" outlineLevel="0" collapsed="false">
      <c r="A54" s="4" t="s">
        <v>197</v>
      </c>
      <c r="B54" s="4" t="s">
        <v>198</v>
      </c>
      <c r="C54" s="4" t="s">
        <v>23</v>
      </c>
      <c r="D54" s="4" t="s">
        <v>24</v>
      </c>
      <c r="E54" s="5" t="n">
        <v>99.95</v>
      </c>
      <c r="F54" s="5" t="n">
        <v>199.95</v>
      </c>
      <c r="G54" s="6" t="n">
        <v>0.500125031257814</v>
      </c>
      <c r="H54" s="5" t="n">
        <v>79.95</v>
      </c>
      <c r="I54" s="5" t="n">
        <v>159.95</v>
      </c>
      <c r="J54" s="5" t="n">
        <f aca="false">H54-E54</f>
        <v>-20</v>
      </c>
      <c r="K54" s="6" t="n">
        <f aca="false">IF(E54=0,0,J54/E54)</f>
        <v>-0.200100050025013</v>
      </c>
    </row>
    <row r="55" customFormat="false" ht="15" hidden="false" customHeight="false" outlineLevel="0" collapsed="false">
      <c r="A55" s="4" t="s">
        <v>199</v>
      </c>
      <c r="B55" s="4" t="s">
        <v>200</v>
      </c>
      <c r="C55" s="4" t="s">
        <v>23</v>
      </c>
      <c r="D55" s="4" t="s">
        <v>24</v>
      </c>
      <c r="E55" s="5" t="n">
        <v>114.95</v>
      </c>
      <c r="F55" s="5" t="n">
        <v>209.95</v>
      </c>
      <c r="G55" s="6" t="n">
        <v>0.452488687782805</v>
      </c>
      <c r="H55" s="5" t="n">
        <v>84.95</v>
      </c>
      <c r="I55" s="5" t="n">
        <v>155.95</v>
      </c>
      <c r="J55" s="5" t="n">
        <f aca="false">H55-E55</f>
        <v>-30</v>
      </c>
      <c r="K55" s="6" t="n">
        <f aca="false">IF(E55=0,0,J55/E55)</f>
        <v>-0.260983036102653</v>
      </c>
    </row>
    <row r="56" customFormat="false" ht="15" hidden="false" customHeight="false" outlineLevel="0" collapsed="false">
      <c r="A56" s="4" t="s">
        <v>201</v>
      </c>
      <c r="B56" s="4" t="s">
        <v>202</v>
      </c>
      <c r="C56" s="4" t="s">
        <v>23</v>
      </c>
      <c r="D56" s="4" t="s">
        <v>24</v>
      </c>
      <c r="E56" s="5" t="n">
        <v>114.95</v>
      </c>
      <c r="F56" s="5" t="n">
        <v>209.95</v>
      </c>
      <c r="G56" s="6" t="n">
        <v>0.452488687782805</v>
      </c>
      <c r="H56" s="5" t="n">
        <v>84.95</v>
      </c>
      <c r="I56" s="5" t="n">
        <v>155.95</v>
      </c>
      <c r="J56" s="5" t="n">
        <f aca="false">H56-E56</f>
        <v>-30</v>
      </c>
      <c r="K56" s="6" t="n">
        <f aca="false">IF(E56=0,0,J56/E56)</f>
        <v>-0.260983036102653</v>
      </c>
    </row>
    <row r="57" customFormat="false" ht="15" hidden="false" customHeight="false" outlineLevel="0" collapsed="false">
      <c r="A57" s="4" t="s">
        <v>203</v>
      </c>
      <c r="B57" s="4" t="s">
        <v>204</v>
      </c>
      <c r="C57" s="4" t="s">
        <v>23</v>
      </c>
      <c r="D57" s="4" t="s">
        <v>24</v>
      </c>
      <c r="E57" s="5" t="n">
        <v>114.95</v>
      </c>
      <c r="F57" s="5" t="n">
        <v>191.95</v>
      </c>
      <c r="G57" s="6" t="n">
        <v>0.401146131805158</v>
      </c>
      <c r="H57" s="5" t="n">
        <v>84.95</v>
      </c>
      <c r="I57" s="5" t="n">
        <v>141.95</v>
      </c>
      <c r="J57" s="5" t="n">
        <f aca="false">H57-E57</f>
        <v>-30</v>
      </c>
      <c r="K57" s="6" t="n">
        <f aca="false">IF(E57=0,0,J57/E57)</f>
        <v>-0.260983036102653</v>
      </c>
    </row>
    <row r="58" customFormat="false" ht="15" hidden="false" customHeight="false" outlineLevel="0" collapsed="false">
      <c r="A58" s="4" t="s">
        <v>205</v>
      </c>
      <c r="B58" s="4" t="s">
        <v>206</v>
      </c>
      <c r="C58" s="4" t="s">
        <v>23</v>
      </c>
      <c r="D58" s="4" t="s">
        <v>24</v>
      </c>
      <c r="E58" s="5" t="n">
        <v>114.95</v>
      </c>
      <c r="F58" s="5" t="n">
        <v>229.95</v>
      </c>
      <c r="G58" s="6" t="n">
        <v>0.500108719286802</v>
      </c>
      <c r="H58" s="5" t="n">
        <v>84.95</v>
      </c>
      <c r="I58" s="5" t="n">
        <v>169.95</v>
      </c>
      <c r="J58" s="5" t="n">
        <f aca="false">H58-E58</f>
        <v>-30</v>
      </c>
      <c r="K58" s="6" t="n">
        <f aca="false">IF(E58=0,0,J58/E58)</f>
        <v>-0.260983036102653</v>
      </c>
    </row>
    <row r="59" customFormat="false" ht="15" hidden="false" customHeight="false" outlineLevel="0" collapsed="false">
      <c r="A59" s="4" t="s">
        <v>207</v>
      </c>
      <c r="B59" s="4" t="s">
        <v>208</v>
      </c>
      <c r="C59" s="4" t="s">
        <v>23</v>
      </c>
      <c r="D59" s="4" t="s">
        <v>24</v>
      </c>
      <c r="E59" s="5" t="n">
        <v>114.95</v>
      </c>
      <c r="F59" s="5" t="n">
        <v>229.95</v>
      </c>
      <c r="G59" s="6" t="n">
        <v>0.500108719286802</v>
      </c>
      <c r="H59" s="5" t="n">
        <v>84.95</v>
      </c>
      <c r="I59" s="5" t="n">
        <v>169.95</v>
      </c>
      <c r="J59" s="5" t="n">
        <f aca="false">H59-E59</f>
        <v>-30</v>
      </c>
      <c r="K59" s="6" t="n">
        <f aca="false">IF(E59=0,0,J59/E59)</f>
        <v>-0.260983036102653</v>
      </c>
    </row>
    <row r="60" customFormat="false" ht="15" hidden="false" customHeight="false" outlineLevel="0" collapsed="false">
      <c r="A60" s="4" t="s">
        <v>209</v>
      </c>
      <c r="B60" s="4" t="s">
        <v>210</v>
      </c>
      <c r="C60" s="4" t="s">
        <v>23</v>
      </c>
      <c r="D60" s="4" t="s">
        <v>24</v>
      </c>
      <c r="E60" s="5" t="n">
        <v>114.95</v>
      </c>
      <c r="F60" s="5" t="n">
        <v>191.95</v>
      </c>
      <c r="G60" s="6" t="n">
        <v>0.401146131805158</v>
      </c>
      <c r="H60" s="5" t="n">
        <v>84.95</v>
      </c>
      <c r="I60" s="5" t="n">
        <v>141.95</v>
      </c>
      <c r="J60" s="5" t="n">
        <f aca="false">H60-E60</f>
        <v>-30</v>
      </c>
      <c r="K60" s="6" t="n">
        <f aca="false">IF(E60=0,0,J60/E60)</f>
        <v>-0.260983036102653</v>
      </c>
    </row>
    <row r="61" customFormat="false" ht="15" hidden="false" customHeight="false" outlineLevel="0" collapsed="false">
      <c r="A61" s="4" t="s">
        <v>211</v>
      </c>
      <c r="B61" s="4" t="s">
        <v>212</v>
      </c>
      <c r="C61" s="4" t="s">
        <v>23</v>
      </c>
      <c r="D61" s="4" t="s">
        <v>24</v>
      </c>
      <c r="E61" s="5" t="n">
        <v>114.95</v>
      </c>
      <c r="F61" s="5" t="n">
        <v>229.95</v>
      </c>
      <c r="G61" s="6" t="n">
        <v>0.500108719286802</v>
      </c>
      <c r="H61" s="5" t="n">
        <v>84.95</v>
      </c>
      <c r="I61" s="5" t="n">
        <v>169.95</v>
      </c>
      <c r="J61" s="5" t="n">
        <f aca="false">H61-E61</f>
        <v>-30</v>
      </c>
      <c r="K61" s="6" t="n">
        <f aca="false">IF(E61=0,0,J61/E61)</f>
        <v>-0.260983036102653</v>
      </c>
    </row>
    <row r="62" customFormat="false" ht="15" hidden="false" customHeight="false" outlineLevel="0" collapsed="false">
      <c r="A62" s="4" t="s">
        <v>213</v>
      </c>
      <c r="B62" s="4" t="s">
        <v>214</v>
      </c>
      <c r="C62" s="4" t="s">
        <v>23</v>
      </c>
      <c r="D62" s="4" t="s">
        <v>24</v>
      </c>
      <c r="E62" s="5" t="n">
        <v>114.95</v>
      </c>
      <c r="F62" s="5" t="n">
        <v>191.95</v>
      </c>
      <c r="G62" s="6" t="n">
        <v>0.401146131805158</v>
      </c>
      <c r="H62" s="5" t="n">
        <v>84.95</v>
      </c>
      <c r="I62" s="5" t="n">
        <v>141.95</v>
      </c>
      <c r="J62" s="5" t="n">
        <f aca="false">H62-E62</f>
        <v>-30</v>
      </c>
      <c r="K62" s="6" t="n">
        <f aca="false">IF(E62=0,0,J62/E62)</f>
        <v>-0.260983036102653</v>
      </c>
    </row>
    <row r="63" customFormat="false" ht="15" hidden="false" customHeight="false" outlineLevel="0" collapsed="false">
      <c r="A63" s="4" t="s">
        <v>215</v>
      </c>
      <c r="B63" s="4" t="s">
        <v>216</v>
      </c>
      <c r="C63" s="4" t="s">
        <v>23</v>
      </c>
      <c r="D63" s="4" t="s">
        <v>24</v>
      </c>
      <c r="E63" s="5" t="n">
        <v>99.95</v>
      </c>
      <c r="F63" s="5" t="n">
        <v>199.95</v>
      </c>
      <c r="G63" s="6" t="n">
        <v>0.500125031257814</v>
      </c>
      <c r="H63" s="5" t="n">
        <v>79.95</v>
      </c>
      <c r="I63" s="5" t="n">
        <v>159.95</v>
      </c>
      <c r="J63" s="5" t="n">
        <f aca="false">H63-E63</f>
        <v>-20</v>
      </c>
      <c r="K63" s="6" t="n">
        <f aca="false">IF(E63=0,0,J63/E63)</f>
        <v>-0.200100050025013</v>
      </c>
    </row>
    <row r="64" customFormat="false" ht="15" hidden="false" customHeight="false" outlineLevel="0" collapsed="false">
      <c r="A64" s="4" t="s">
        <v>217</v>
      </c>
      <c r="B64" s="4" t="s">
        <v>218</v>
      </c>
      <c r="C64" s="4" t="s">
        <v>23</v>
      </c>
      <c r="D64" s="4" t="s">
        <v>24</v>
      </c>
      <c r="E64" s="5" t="n">
        <v>109.95</v>
      </c>
      <c r="F64" s="5" t="n">
        <v>200.95</v>
      </c>
      <c r="G64" s="6" t="n">
        <v>0.452848967404827</v>
      </c>
      <c r="H64" s="5" t="n">
        <v>84.95</v>
      </c>
      <c r="I64" s="5" t="n">
        <v>155.95</v>
      </c>
      <c r="J64" s="5" t="n">
        <f aca="false">H64-E64</f>
        <v>-25</v>
      </c>
      <c r="K64" s="6" t="n">
        <f aca="false">IF(E64=0,0,J64/E64)</f>
        <v>-0.22737608003638</v>
      </c>
    </row>
    <row r="65" customFormat="false" ht="15" hidden="false" customHeight="false" outlineLevel="0" collapsed="false">
      <c r="A65" s="4" t="s">
        <v>219</v>
      </c>
      <c r="B65" s="4" t="s">
        <v>220</v>
      </c>
      <c r="C65" s="4" t="s">
        <v>23</v>
      </c>
      <c r="D65" s="4" t="s">
        <v>24</v>
      </c>
      <c r="E65" s="5" t="n">
        <v>104.95</v>
      </c>
      <c r="F65" s="5" t="n">
        <v>191.95</v>
      </c>
      <c r="G65" s="6" t="n">
        <v>0.453243032039594</v>
      </c>
      <c r="H65" s="5" t="n">
        <v>79.95</v>
      </c>
      <c r="I65" s="5" t="n">
        <v>146.95</v>
      </c>
      <c r="J65" s="5" t="n">
        <f aca="false">H65-E65</f>
        <v>-25</v>
      </c>
      <c r="K65" s="6" t="n">
        <f aca="false">IF(E65=0,0,J65/E65)</f>
        <v>-0.238208670795617</v>
      </c>
    </row>
    <row r="66" customFormat="false" ht="15" hidden="false" customHeight="false" outlineLevel="0" collapsed="false">
      <c r="A66" s="4" t="s">
        <v>221</v>
      </c>
      <c r="B66" s="4" t="s">
        <v>222</v>
      </c>
      <c r="C66" s="4" t="s">
        <v>23</v>
      </c>
      <c r="D66" s="4" t="s">
        <v>24</v>
      </c>
      <c r="E66" s="5" t="n">
        <v>99.95</v>
      </c>
      <c r="F66" s="5" t="n">
        <v>167.95</v>
      </c>
      <c r="G66" s="6" t="n">
        <v>0.404882405477821</v>
      </c>
      <c r="H66" s="5" t="n">
        <v>79.95</v>
      </c>
      <c r="I66" s="5" t="n">
        <v>134.95</v>
      </c>
      <c r="J66" s="5" t="n">
        <f aca="false">H66-E66</f>
        <v>-20</v>
      </c>
      <c r="K66" s="6" t="n">
        <f aca="false">IF(E66=0,0,J66/E66)</f>
        <v>-0.200100050025013</v>
      </c>
    </row>
    <row r="67" customFormat="false" ht="15" hidden="false" customHeight="false" outlineLevel="0" collapsed="false">
      <c r="A67" s="4" t="s">
        <v>223</v>
      </c>
      <c r="B67" s="4" t="s">
        <v>224</v>
      </c>
      <c r="C67" s="4" t="s">
        <v>23</v>
      </c>
      <c r="D67" s="4" t="s">
        <v>24</v>
      </c>
      <c r="E67" s="5" t="n">
        <v>89.95</v>
      </c>
      <c r="F67" s="5" t="n">
        <v>149.95</v>
      </c>
      <c r="G67" s="6" t="n">
        <v>0.400133377792597</v>
      </c>
      <c r="H67" s="5" t="n">
        <v>79.95</v>
      </c>
      <c r="I67" s="5" t="n">
        <v>133.95</v>
      </c>
      <c r="J67" s="5" t="n">
        <f aca="false">H67-E67</f>
        <v>-10</v>
      </c>
      <c r="K67" s="6" t="n">
        <f aca="false">IF(E67=0,0,J67/E67)</f>
        <v>-0.111172873818788</v>
      </c>
    </row>
    <row r="68" customFormat="false" ht="15" hidden="false" customHeight="false" outlineLevel="0" collapsed="false">
      <c r="A68" s="4" t="s">
        <v>225</v>
      </c>
      <c r="B68" s="4" t="s">
        <v>226</v>
      </c>
      <c r="C68" s="4" t="s">
        <v>23</v>
      </c>
      <c r="D68" s="4" t="s">
        <v>24</v>
      </c>
      <c r="E68" s="5" t="n">
        <v>104.95</v>
      </c>
      <c r="F68" s="5" t="n">
        <v>175.95</v>
      </c>
      <c r="G68" s="6" t="n">
        <v>0.403523728331912</v>
      </c>
      <c r="H68" s="5" t="n">
        <v>79.95</v>
      </c>
      <c r="I68" s="5" t="n">
        <v>134.95</v>
      </c>
      <c r="J68" s="5" t="n">
        <f aca="false">H68-E68</f>
        <v>-25</v>
      </c>
      <c r="K68" s="6" t="n">
        <f aca="false">IF(E68=0,0,J68/E68)</f>
        <v>-0.238208670795617</v>
      </c>
    </row>
    <row r="69" customFormat="false" ht="15" hidden="false" customHeight="false" outlineLevel="0" collapsed="false">
      <c r="A69" s="4" t="s">
        <v>227</v>
      </c>
      <c r="B69" s="4" t="s">
        <v>228</v>
      </c>
      <c r="C69" s="4" t="s">
        <v>23</v>
      </c>
      <c r="D69" s="4" t="s">
        <v>24</v>
      </c>
      <c r="E69" s="5" t="n">
        <v>89.95</v>
      </c>
      <c r="F69" s="5" t="n">
        <v>179.95</v>
      </c>
      <c r="G69" s="6" t="n">
        <v>0.500138927479855</v>
      </c>
      <c r="H69" s="5" t="n">
        <v>79.95</v>
      </c>
      <c r="I69" s="5" t="n">
        <v>159.95</v>
      </c>
      <c r="J69" s="5" t="n">
        <f aca="false">H69-E69</f>
        <v>-10</v>
      </c>
      <c r="K69" s="6" t="n">
        <f aca="false">IF(E69=0,0,J69/E69)</f>
        <v>-0.111172873818788</v>
      </c>
    </row>
    <row r="70" customFormat="false" ht="15" hidden="false" customHeight="false" outlineLevel="0" collapsed="false">
      <c r="A70" s="4" t="s">
        <v>229</v>
      </c>
      <c r="B70" s="4" t="s">
        <v>230</v>
      </c>
      <c r="C70" s="4" t="s">
        <v>23</v>
      </c>
      <c r="D70" s="4" t="s">
        <v>24</v>
      </c>
      <c r="E70" s="5" t="n">
        <v>89.95</v>
      </c>
      <c r="F70" s="5" t="n">
        <v>164.95</v>
      </c>
      <c r="G70" s="6" t="n">
        <v>0.45468323734465</v>
      </c>
      <c r="H70" s="5" t="n">
        <v>79.95</v>
      </c>
      <c r="I70" s="5" t="n">
        <v>146.95</v>
      </c>
      <c r="J70" s="5" t="n">
        <f aca="false">H70-E70</f>
        <v>-10</v>
      </c>
      <c r="K70" s="6" t="n">
        <f aca="false">IF(E70=0,0,J70/E70)</f>
        <v>-0.111172873818788</v>
      </c>
    </row>
    <row r="71" customFormat="false" ht="15" hidden="false" customHeight="false" outlineLevel="0" collapsed="false">
      <c r="A71" s="4" t="s">
        <v>231</v>
      </c>
      <c r="B71" s="4" t="s">
        <v>232</v>
      </c>
      <c r="C71" s="4" t="s">
        <v>23</v>
      </c>
      <c r="D71" s="4" t="s">
        <v>24</v>
      </c>
      <c r="E71" s="5" t="n">
        <v>89.95</v>
      </c>
      <c r="F71" s="5" t="n">
        <v>179.95</v>
      </c>
      <c r="G71" s="6" t="n">
        <v>0.500138927479855</v>
      </c>
      <c r="H71" s="5" t="n">
        <v>79.95</v>
      </c>
      <c r="I71" s="5" t="n">
        <v>159.95</v>
      </c>
      <c r="J71" s="5" t="n">
        <f aca="false">H71-E71</f>
        <v>-10</v>
      </c>
      <c r="K71" s="6" t="n">
        <f aca="false">IF(E71=0,0,J71/E71)</f>
        <v>-0.111172873818788</v>
      </c>
    </row>
    <row r="72" customFormat="false" ht="15" hidden="false" customHeight="false" outlineLevel="0" collapsed="false">
      <c r="A72" s="4" t="s">
        <v>233</v>
      </c>
      <c r="B72" s="4" t="s">
        <v>234</v>
      </c>
      <c r="C72" s="4" t="s">
        <v>23</v>
      </c>
      <c r="D72" s="4" t="s">
        <v>24</v>
      </c>
      <c r="E72" s="5" t="n">
        <v>99.95</v>
      </c>
      <c r="F72" s="5" t="n">
        <v>167.95</v>
      </c>
      <c r="G72" s="6" t="n">
        <v>0.404882405477821</v>
      </c>
      <c r="H72" s="5" t="n">
        <v>79.95</v>
      </c>
      <c r="I72" s="5" t="n">
        <v>134.95</v>
      </c>
      <c r="J72" s="5" t="n">
        <f aca="false">H72-E72</f>
        <v>-20</v>
      </c>
      <c r="K72" s="6" t="n">
        <f aca="false">IF(E72=0,0,J72/E72)</f>
        <v>-0.200100050025013</v>
      </c>
    </row>
    <row r="73" customFormat="false" ht="15" hidden="false" customHeight="false" outlineLevel="0" collapsed="false">
      <c r="A73" s="4" t="s">
        <v>235</v>
      </c>
      <c r="B73" s="4" t="s">
        <v>236</v>
      </c>
      <c r="C73" s="4" t="s">
        <v>23</v>
      </c>
      <c r="D73" s="4" t="s">
        <v>24</v>
      </c>
      <c r="E73" s="5" t="n">
        <v>104.95</v>
      </c>
      <c r="F73" s="5" t="n">
        <v>191.95</v>
      </c>
      <c r="G73" s="6" t="n">
        <v>0.453243032039594</v>
      </c>
      <c r="H73" s="5" t="n">
        <v>79.95</v>
      </c>
      <c r="I73" s="5" t="n">
        <v>146.95</v>
      </c>
      <c r="J73" s="5" t="n">
        <f aca="false">H73-E73</f>
        <v>-25</v>
      </c>
      <c r="K73" s="6" t="n">
        <f aca="false">IF(E73=0,0,J73/E73)</f>
        <v>-0.238208670795617</v>
      </c>
    </row>
    <row r="74" customFormat="false" ht="15" hidden="false" customHeight="false" outlineLevel="0" collapsed="false">
      <c r="A74" s="4" t="s">
        <v>237</v>
      </c>
      <c r="B74" s="4" t="s">
        <v>238</v>
      </c>
      <c r="C74" s="4" t="s">
        <v>23</v>
      </c>
      <c r="D74" s="4" t="s">
        <v>24</v>
      </c>
      <c r="E74" s="5" t="n">
        <v>84.95</v>
      </c>
      <c r="F74" s="5" t="n">
        <v>169.95</v>
      </c>
      <c r="G74" s="6" t="n">
        <v>0.50014710208885</v>
      </c>
      <c r="H74" s="5" t="n">
        <v>79.95</v>
      </c>
      <c r="I74" s="5" t="n">
        <v>159.95</v>
      </c>
      <c r="J74" s="5" t="n">
        <f aca="false">H74-E74</f>
        <v>-5</v>
      </c>
      <c r="K74" s="6" t="n">
        <f aca="false">IF(E74=0,0,J74/E74)</f>
        <v>-0.0588581518540318</v>
      </c>
    </row>
    <row r="75" customFormat="false" ht="15" hidden="false" customHeight="false" outlineLevel="0" collapsed="false">
      <c r="A75" s="4" t="s">
        <v>239</v>
      </c>
      <c r="B75" s="4" t="s">
        <v>240</v>
      </c>
      <c r="C75" s="4" t="s">
        <v>23</v>
      </c>
      <c r="D75" s="4" t="s">
        <v>24</v>
      </c>
      <c r="E75" s="5" t="n">
        <v>84.95</v>
      </c>
      <c r="F75" s="5" t="n">
        <v>141.95</v>
      </c>
      <c r="G75" s="6" t="n">
        <v>0.401549841493484</v>
      </c>
      <c r="H75" s="5" t="n">
        <v>79.95</v>
      </c>
      <c r="I75" s="5" t="n">
        <v>133.95</v>
      </c>
      <c r="J75" s="5" t="n">
        <f aca="false">H75-E75</f>
        <v>-5</v>
      </c>
      <c r="K75" s="6" t="n">
        <f aca="false">IF(E75=0,0,J75/E75)</f>
        <v>-0.0588581518540318</v>
      </c>
    </row>
    <row r="76" customFormat="false" ht="15" hidden="false" customHeight="false" outlineLevel="0" collapsed="false">
      <c r="A76" s="4" t="s">
        <v>241</v>
      </c>
      <c r="B76" s="4" t="s">
        <v>242</v>
      </c>
      <c r="C76" s="4" t="s">
        <v>23</v>
      </c>
      <c r="D76" s="4" t="s">
        <v>24</v>
      </c>
      <c r="E76" s="5" t="n">
        <v>84.95</v>
      </c>
      <c r="F76" s="5" t="n">
        <v>154.95</v>
      </c>
      <c r="G76" s="6" t="n">
        <v>0.451758631816715</v>
      </c>
      <c r="H76" s="5" t="n">
        <v>79.95</v>
      </c>
      <c r="I76" s="5" t="n">
        <v>145.95</v>
      </c>
      <c r="J76" s="5" t="n">
        <f aca="false">H76-E76</f>
        <v>-5</v>
      </c>
      <c r="K76" s="6" t="n">
        <f aca="false">IF(E76=0,0,J76/E76)</f>
        <v>-0.0588581518540318</v>
      </c>
    </row>
    <row r="77" customFormat="false" ht="15" hidden="false" customHeight="false" outlineLevel="0" collapsed="false">
      <c r="A77" s="4" t="s">
        <v>243</v>
      </c>
      <c r="B77" s="4" t="s">
        <v>244</v>
      </c>
      <c r="C77" s="4" t="s">
        <v>23</v>
      </c>
      <c r="D77" s="4" t="s">
        <v>24</v>
      </c>
      <c r="E77" s="5" t="n">
        <v>104.95</v>
      </c>
      <c r="F77" s="5" t="n">
        <v>174.95</v>
      </c>
      <c r="G77" s="6" t="n">
        <v>0.400114318376679</v>
      </c>
      <c r="H77" s="5" t="n">
        <v>79.95</v>
      </c>
      <c r="I77" s="5" t="n">
        <v>133.95</v>
      </c>
      <c r="J77" s="5" t="n">
        <f aca="false">H77-E77</f>
        <v>-25</v>
      </c>
      <c r="K77" s="6" t="n">
        <f aca="false">IF(E77=0,0,J77/E77)</f>
        <v>-0.238208670795617</v>
      </c>
    </row>
    <row r="78" customFormat="false" ht="15" hidden="false" customHeight="false" outlineLevel="0" collapsed="false">
      <c r="A78" s="4" t="s">
        <v>245</v>
      </c>
      <c r="B78" s="4" t="s">
        <v>246</v>
      </c>
      <c r="C78" s="4" t="s">
        <v>23</v>
      </c>
      <c r="D78" s="4" t="s">
        <v>24</v>
      </c>
      <c r="E78" s="5" t="n">
        <v>99.95</v>
      </c>
      <c r="F78" s="5" t="n">
        <v>166.95</v>
      </c>
      <c r="G78" s="6" t="n">
        <v>0.401317759808326</v>
      </c>
      <c r="H78" s="5" t="n">
        <v>79.95</v>
      </c>
      <c r="I78" s="5" t="n">
        <v>133.95</v>
      </c>
      <c r="J78" s="5" t="n">
        <f aca="false">H78-E78</f>
        <v>-20</v>
      </c>
      <c r="K78" s="6" t="n">
        <f aca="false">IF(E78=0,0,J78/E78)</f>
        <v>-0.200100050025013</v>
      </c>
    </row>
    <row r="79" customFormat="false" ht="15" hidden="false" customHeight="false" outlineLevel="0" collapsed="false">
      <c r="A79" s="4" t="s">
        <v>247</v>
      </c>
      <c r="B79" s="4" t="s">
        <v>248</v>
      </c>
      <c r="C79" s="4" t="s">
        <v>23</v>
      </c>
      <c r="D79" s="4" t="s">
        <v>24</v>
      </c>
      <c r="E79" s="5" t="n">
        <v>89.95</v>
      </c>
      <c r="F79" s="5" t="n">
        <v>179.95</v>
      </c>
      <c r="G79" s="6" t="n">
        <v>0.500138927479855</v>
      </c>
      <c r="H79" s="5" t="n">
        <v>79.95</v>
      </c>
      <c r="I79" s="5" t="n">
        <v>159.95</v>
      </c>
      <c r="J79" s="5" t="n">
        <f aca="false">H79-E79</f>
        <v>-10</v>
      </c>
      <c r="K79" s="6" t="n">
        <f aca="false">IF(E79=0,0,J79/E79)</f>
        <v>-0.111172873818788</v>
      </c>
    </row>
    <row r="80" customFormat="false" ht="15" hidden="false" customHeight="false" outlineLevel="0" collapsed="false">
      <c r="A80" s="4" t="s">
        <v>249</v>
      </c>
      <c r="B80" s="4" t="s">
        <v>250</v>
      </c>
      <c r="C80" s="4" t="s">
        <v>23</v>
      </c>
      <c r="D80" s="4" t="s">
        <v>24</v>
      </c>
      <c r="E80" s="5" t="n">
        <v>84.95</v>
      </c>
      <c r="F80" s="5" t="n">
        <v>169.95</v>
      </c>
      <c r="G80" s="6" t="n">
        <v>0.50014710208885</v>
      </c>
      <c r="H80" s="5" t="n">
        <v>79.95</v>
      </c>
      <c r="I80" s="5" t="n">
        <v>159.95</v>
      </c>
      <c r="J80" s="5" t="n">
        <f aca="false">H80-E80</f>
        <v>-5</v>
      </c>
      <c r="K80" s="6" t="n">
        <f aca="false">IF(E80=0,0,J80/E80)</f>
        <v>-0.0588581518540318</v>
      </c>
    </row>
    <row r="81" customFormat="false" ht="15" hidden="false" customHeight="false" outlineLevel="0" collapsed="false">
      <c r="A81" s="4" t="s">
        <v>251</v>
      </c>
      <c r="B81" s="4" t="s">
        <v>252</v>
      </c>
      <c r="C81" s="4" t="s">
        <v>23</v>
      </c>
      <c r="D81" s="4" t="s">
        <v>24</v>
      </c>
      <c r="E81" s="5" t="n">
        <v>89.95</v>
      </c>
      <c r="F81" s="5" t="n">
        <v>163.95</v>
      </c>
      <c r="G81" s="6" t="n">
        <v>0.451357121073498</v>
      </c>
      <c r="H81" s="5" t="n">
        <v>79.95</v>
      </c>
      <c r="I81" s="5" t="n">
        <v>145.95</v>
      </c>
      <c r="J81" s="5" t="n">
        <f aca="false">H81-E81</f>
        <v>-10</v>
      </c>
      <c r="K81" s="6" t="n">
        <f aca="false">IF(E81=0,0,J81/E81)</f>
        <v>-0.111172873818788</v>
      </c>
    </row>
    <row r="82" customFormat="false" ht="15" hidden="false" customHeight="false" outlineLevel="0" collapsed="false">
      <c r="A82" s="4" t="s">
        <v>253</v>
      </c>
      <c r="B82" s="4" t="s">
        <v>254</v>
      </c>
      <c r="C82" s="4" t="s">
        <v>23</v>
      </c>
      <c r="D82" s="4" t="s">
        <v>24</v>
      </c>
      <c r="E82" s="5" t="n">
        <v>109.95</v>
      </c>
      <c r="F82" s="5" t="n">
        <v>183.95</v>
      </c>
      <c r="G82" s="6" t="n">
        <v>0.402283229138353</v>
      </c>
      <c r="H82" s="5" t="n">
        <v>84.95</v>
      </c>
      <c r="I82" s="5" t="n">
        <v>142.95</v>
      </c>
      <c r="J82" s="5" t="n">
        <f aca="false">H82-E82</f>
        <v>-25</v>
      </c>
      <c r="K82" s="6" t="n">
        <f aca="false">IF(E82=0,0,J82/E82)</f>
        <v>-0.22737608003638</v>
      </c>
    </row>
    <row r="83" customFormat="false" ht="15" hidden="false" customHeight="false" outlineLevel="0" collapsed="false">
      <c r="A83" s="4" t="s">
        <v>255</v>
      </c>
      <c r="B83" s="4" t="s">
        <v>256</v>
      </c>
      <c r="C83" s="4" t="s">
        <v>23</v>
      </c>
      <c r="D83" s="4" t="s">
        <v>24</v>
      </c>
      <c r="E83" s="5" t="n">
        <v>84.95</v>
      </c>
      <c r="F83" s="5" t="n">
        <v>154.95</v>
      </c>
      <c r="G83" s="6" t="n">
        <v>0.451758631816715</v>
      </c>
      <c r="H83" s="5" t="n">
        <v>79.95</v>
      </c>
      <c r="I83" s="5" t="n">
        <v>145.95</v>
      </c>
      <c r="J83" s="5" t="n">
        <f aca="false">H83-E83</f>
        <v>-5</v>
      </c>
      <c r="K83" s="6" t="n">
        <f aca="false">IF(E83=0,0,J83/E83)</f>
        <v>-0.0588581518540318</v>
      </c>
    </row>
    <row r="84" customFormat="false" ht="15" hidden="false" customHeight="false" outlineLevel="0" collapsed="false">
      <c r="A84" s="4" t="s">
        <v>257</v>
      </c>
      <c r="B84" s="4" t="s">
        <v>258</v>
      </c>
      <c r="C84" s="4" t="s">
        <v>23</v>
      </c>
      <c r="D84" s="4" t="s">
        <v>24</v>
      </c>
      <c r="E84" s="5" t="n">
        <v>84.95</v>
      </c>
      <c r="F84" s="5" t="n">
        <v>154.95</v>
      </c>
      <c r="G84" s="6" t="n">
        <v>0.451758631816715</v>
      </c>
      <c r="H84" s="5" t="n">
        <v>79.95</v>
      </c>
      <c r="I84" s="5" t="n">
        <v>145.95</v>
      </c>
      <c r="J84" s="5" t="n">
        <f aca="false">H84-E84</f>
        <v>-5</v>
      </c>
      <c r="K84" s="6" t="n">
        <f aca="false">IF(E84=0,0,J84/E84)</f>
        <v>-0.0588581518540318</v>
      </c>
    </row>
    <row r="85" customFormat="false" ht="15" hidden="false" customHeight="false" outlineLevel="0" collapsed="false">
      <c r="A85" s="4" t="s">
        <v>259</v>
      </c>
      <c r="B85" s="4" t="s">
        <v>260</v>
      </c>
      <c r="C85" s="4" t="s">
        <v>25</v>
      </c>
      <c r="D85" s="4" t="s">
        <v>24</v>
      </c>
      <c r="E85" s="5" t="n">
        <v>114.95</v>
      </c>
      <c r="F85" s="5" t="n">
        <v>191.95</v>
      </c>
      <c r="G85" s="6" t="n">
        <v>0.401146131805158</v>
      </c>
      <c r="H85" s="5" t="n">
        <v>84.95</v>
      </c>
      <c r="I85" s="5" t="n">
        <v>141.95</v>
      </c>
      <c r="J85" s="5" t="n">
        <f aca="false">H85-E85</f>
        <v>-30</v>
      </c>
      <c r="K85" s="6" t="n">
        <f aca="false">IF(E85=0,0,J85/E85)</f>
        <v>-0.260983036102653</v>
      </c>
    </row>
    <row r="86" customFormat="false" ht="15" hidden="false" customHeight="false" outlineLevel="0" collapsed="false">
      <c r="A86" s="4" t="s">
        <v>261</v>
      </c>
      <c r="B86" s="4" t="s">
        <v>262</v>
      </c>
      <c r="C86" s="4" t="s">
        <v>25</v>
      </c>
      <c r="D86" s="4" t="s">
        <v>24</v>
      </c>
      <c r="E86" s="5" t="n">
        <v>114.95</v>
      </c>
      <c r="F86" s="5" t="n">
        <v>209.95</v>
      </c>
      <c r="G86" s="6" t="n">
        <v>0.452488687782805</v>
      </c>
      <c r="H86" s="5" t="n">
        <v>84.95</v>
      </c>
      <c r="I86" s="5" t="n">
        <v>155.95</v>
      </c>
      <c r="J86" s="5" t="n">
        <f aca="false">H86-E86</f>
        <v>-30</v>
      </c>
      <c r="K86" s="6" t="n">
        <f aca="false">IF(E86=0,0,J86/E86)</f>
        <v>-0.260983036102653</v>
      </c>
    </row>
    <row r="87" customFormat="false" ht="15" hidden="false" customHeight="false" outlineLevel="0" collapsed="false">
      <c r="A87" s="4" t="s">
        <v>263</v>
      </c>
      <c r="B87" s="4" t="s">
        <v>264</v>
      </c>
      <c r="C87" s="4" t="s">
        <v>25</v>
      </c>
      <c r="D87" s="4" t="s">
        <v>24</v>
      </c>
      <c r="E87" s="5" t="n">
        <v>114.95</v>
      </c>
      <c r="F87" s="5" t="n">
        <v>209.95</v>
      </c>
      <c r="G87" s="6" t="n">
        <v>0.452488687782805</v>
      </c>
      <c r="H87" s="5" t="n">
        <v>84.95</v>
      </c>
      <c r="I87" s="5" t="n">
        <v>155.95</v>
      </c>
      <c r="J87" s="5" t="n">
        <f aca="false">H87-E87</f>
        <v>-30</v>
      </c>
      <c r="K87" s="6" t="n">
        <f aca="false">IF(E87=0,0,J87/E87)</f>
        <v>-0.260983036102653</v>
      </c>
    </row>
    <row r="88" customFormat="false" ht="15" hidden="false" customHeight="false" outlineLevel="0" collapsed="false">
      <c r="A88" s="4" t="s">
        <v>265</v>
      </c>
      <c r="B88" s="4" t="s">
        <v>266</v>
      </c>
      <c r="C88" s="4" t="s">
        <v>25</v>
      </c>
      <c r="D88" s="4" t="s">
        <v>24</v>
      </c>
      <c r="E88" s="5" t="n">
        <v>89.95</v>
      </c>
      <c r="F88" s="5" t="n">
        <v>164.95</v>
      </c>
      <c r="G88" s="6" t="n">
        <v>0.45468323734465</v>
      </c>
      <c r="H88" s="5" t="n">
        <v>79.95</v>
      </c>
      <c r="I88" s="5" t="n">
        <v>146.95</v>
      </c>
      <c r="J88" s="5" t="n">
        <f aca="false">H88-E88</f>
        <v>-10</v>
      </c>
      <c r="K88" s="6" t="n">
        <f aca="false">IF(E88=0,0,J88/E88)</f>
        <v>-0.111172873818788</v>
      </c>
    </row>
    <row r="89" customFormat="false" ht="15" hidden="false" customHeight="false" outlineLevel="0" collapsed="false">
      <c r="A89" s="4" t="s">
        <v>267</v>
      </c>
      <c r="B89" s="4" t="s">
        <v>268</v>
      </c>
      <c r="C89" s="4" t="s">
        <v>25</v>
      </c>
      <c r="D89" s="4" t="s">
        <v>24</v>
      </c>
      <c r="E89" s="5" t="n">
        <v>99.95</v>
      </c>
      <c r="F89" s="5" t="n">
        <v>199.95</v>
      </c>
      <c r="G89" s="6" t="n">
        <v>0.500125031257814</v>
      </c>
      <c r="H89" s="5" t="n">
        <v>79.95</v>
      </c>
      <c r="I89" s="5" t="n">
        <v>159.95</v>
      </c>
      <c r="J89" s="5" t="n">
        <f aca="false">H89-E89</f>
        <v>-20</v>
      </c>
      <c r="K89" s="6" t="n">
        <f aca="false">IF(E89=0,0,J89/E89)</f>
        <v>-0.200100050025013</v>
      </c>
    </row>
    <row r="90" customFormat="false" ht="15" hidden="false" customHeight="false" outlineLevel="0" collapsed="false">
      <c r="A90" s="4" t="s">
        <v>269</v>
      </c>
      <c r="B90" s="4" t="s">
        <v>270</v>
      </c>
      <c r="C90" s="4" t="s">
        <v>25</v>
      </c>
      <c r="D90" s="4" t="s">
        <v>24</v>
      </c>
      <c r="E90" s="5" t="n">
        <v>104.95</v>
      </c>
      <c r="F90" s="5" t="n">
        <v>174.95</v>
      </c>
      <c r="G90" s="6" t="n">
        <v>0.400114318376679</v>
      </c>
      <c r="H90" s="5" t="n">
        <v>79.95</v>
      </c>
      <c r="I90" s="5" t="n">
        <v>133.95</v>
      </c>
      <c r="J90" s="5" t="n">
        <f aca="false">H90-E90</f>
        <v>-25</v>
      </c>
      <c r="K90" s="6" t="n">
        <f aca="false">IF(E90=0,0,J90/E90)</f>
        <v>-0.238208670795617</v>
      </c>
    </row>
    <row r="91" customFormat="false" ht="15" hidden="false" customHeight="false" outlineLevel="0" collapsed="false">
      <c r="A91" s="4" t="s">
        <v>271</v>
      </c>
      <c r="B91" s="4" t="s">
        <v>272</v>
      </c>
      <c r="C91" s="4" t="s">
        <v>25</v>
      </c>
      <c r="D91" s="4" t="s">
        <v>24</v>
      </c>
      <c r="E91" s="5" t="n">
        <v>114.95</v>
      </c>
      <c r="F91" s="5" t="n">
        <v>229.95</v>
      </c>
      <c r="G91" s="6" t="n">
        <v>0.500108719286802</v>
      </c>
      <c r="H91" s="5" t="n">
        <v>84.95</v>
      </c>
      <c r="I91" s="5" t="n">
        <v>169.95</v>
      </c>
      <c r="J91" s="5" t="n">
        <f aca="false">H91-E91</f>
        <v>-30</v>
      </c>
      <c r="K91" s="6" t="n">
        <f aca="false">IF(E91=0,0,J91/E91)</f>
        <v>-0.260983036102653</v>
      </c>
    </row>
    <row r="92" customFormat="false" ht="15" hidden="false" customHeight="false" outlineLevel="0" collapsed="false">
      <c r="A92" s="4" t="s">
        <v>273</v>
      </c>
      <c r="B92" s="4" t="s">
        <v>274</v>
      </c>
      <c r="C92" s="4" t="s">
        <v>26</v>
      </c>
      <c r="D92" s="4" t="s">
        <v>27</v>
      </c>
      <c r="E92" s="5" t="n">
        <v>104.95</v>
      </c>
      <c r="F92" s="5" t="n">
        <v>209.95</v>
      </c>
      <c r="G92" s="6" t="n">
        <v>0.500119075970469</v>
      </c>
      <c r="H92" s="5" t="n">
        <v>79.95</v>
      </c>
      <c r="I92" s="5" t="n">
        <v>159.95</v>
      </c>
      <c r="J92" s="5" t="n">
        <f aca="false">H92-E92</f>
        <v>-25</v>
      </c>
      <c r="K92" s="6" t="n">
        <f aca="false">IF(E92=0,0,J92/E92)</f>
        <v>-0.238208670795617</v>
      </c>
    </row>
    <row r="93" customFormat="false" ht="15" hidden="false" customHeight="false" outlineLevel="0" collapsed="false">
      <c r="A93" s="4" t="s">
        <v>275</v>
      </c>
      <c r="B93" s="4" t="s">
        <v>276</v>
      </c>
      <c r="C93" s="4" t="s">
        <v>28</v>
      </c>
      <c r="D93" s="4" t="s">
        <v>29</v>
      </c>
      <c r="E93" s="5" t="n">
        <v>64.95</v>
      </c>
      <c r="F93" s="5" t="n">
        <v>129.95</v>
      </c>
      <c r="G93" s="6" t="n">
        <v>0.500192381685264</v>
      </c>
      <c r="H93" s="5" t="n">
        <v>64.95</v>
      </c>
      <c r="I93" s="5" t="n">
        <v>129.95</v>
      </c>
      <c r="J93" s="5" t="n">
        <f aca="false">H93-E93</f>
        <v>0</v>
      </c>
      <c r="K93" s="6" t="n">
        <f aca="false">IF(E93=0,0,J93/E93)</f>
        <v>0</v>
      </c>
    </row>
    <row r="94" customFormat="false" ht="15" hidden="false" customHeight="false" outlineLevel="0" collapsed="false">
      <c r="A94" s="4" t="s">
        <v>277</v>
      </c>
      <c r="B94" s="4" t="s">
        <v>278</v>
      </c>
      <c r="C94" s="4" t="s">
        <v>28</v>
      </c>
      <c r="D94" s="4" t="s">
        <v>29</v>
      </c>
      <c r="E94" s="5" t="n">
        <v>64.95</v>
      </c>
      <c r="F94" s="5" t="n">
        <v>108.95</v>
      </c>
      <c r="G94" s="6" t="n">
        <v>0.403854979348325</v>
      </c>
      <c r="H94" s="5" t="n">
        <v>64.95</v>
      </c>
      <c r="I94" s="5" t="n">
        <v>108.95</v>
      </c>
      <c r="J94" s="5" t="n">
        <f aca="false">H94-E94</f>
        <v>0</v>
      </c>
      <c r="K94" s="6" t="n">
        <f aca="false">IF(E94=0,0,J94/E94)</f>
        <v>0</v>
      </c>
    </row>
    <row r="95" customFormat="false" ht="15" hidden="false" customHeight="false" outlineLevel="0" collapsed="false">
      <c r="A95" s="4" t="s">
        <v>279</v>
      </c>
      <c r="B95" s="4" t="s">
        <v>280</v>
      </c>
      <c r="C95" s="4" t="s">
        <v>28</v>
      </c>
      <c r="D95" s="4" t="s">
        <v>29</v>
      </c>
      <c r="E95" s="5" t="n">
        <v>64.95</v>
      </c>
      <c r="F95" s="5" t="n">
        <v>108.95</v>
      </c>
      <c r="G95" s="6" t="n">
        <v>0.403854979348325</v>
      </c>
      <c r="H95" s="5" t="n">
        <v>64.95</v>
      </c>
      <c r="I95" s="5" t="n">
        <v>108.95</v>
      </c>
      <c r="J95" s="5" t="n">
        <f aca="false">H95-E95</f>
        <v>0</v>
      </c>
      <c r="K95" s="6" t="n">
        <f aca="false">IF(E95=0,0,J95/E95)</f>
        <v>0</v>
      </c>
    </row>
    <row r="96" customFormat="false" ht="15" hidden="false" customHeight="false" outlineLevel="0" collapsed="false">
      <c r="A96" s="4" t="s">
        <v>281</v>
      </c>
      <c r="B96" s="4" t="s">
        <v>282</v>
      </c>
      <c r="C96" s="4" t="s">
        <v>31</v>
      </c>
      <c r="D96" s="4" t="s">
        <v>32</v>
      </c>
      <c r="E96" s="5" t="n">
        <v>89.95</v>
      </c>
      <c r="F96" s="5" t="n">
        <v>149.95</v>
      </c>
      <c r="G96" s="6" t="n">
        <v>0.400133377792597</v>
      </c>
      <c r="H96" s="5" t="n">
        <v>84.95</v>
      </c>
      <c r="I96" s="5" t="n">
        <v>141.95</v>
      </c>
      <c r="J96" s="5" t="n">
        <f aca="false">H96-E96</f>
        <v>-5</v>
      </c>
      <c r="K96" s="6" t="n">
        <f aca="false">IF(E96=0,0,J96/E96)</f>
        <v>-0.0555864369093941</v>
      </c>
    </row>
    <row r="97" customFormat="false" ht="15" hidden="false" customHeight="false" outlineLevel="0" collapsed="false">
      <c r="A97" s="4" t="s">
        <v>283</v>
      </c>
      <c r="B97" s="4" t="s">
        <v>284</v>
      </c>
      <c r="C97" s="4" t="s">
        <v>31</v>
      </c>
      <c r="D97" s="4" t="s">
        <v>32</v>
      </c>
      <c r="E97" s="5" t="n">
        <v>109.95</v>
      </c>
      <c r="F97" s="5" t="n">
        <v>183.95</v>
      </c>
      <c r="G97" s="6" t="n">
        <v>0.402283229138353</v>
      </c>
      <c r="H97" s="5" t="n">
        <v>89.95</v>
      </c>
      <c r="I97" s="5" t="n">
        <v>150.95</v>
      </c>
      <c r="J97" s="5" t="n">
        <f aca="false">H97-E97</f>
        <v>-20</v>
      </c>
      <c r="K97" s="6" t="n">
        <f aca="false">IF(E97=0,0,J97/E97)</f>
        <v>-0.181900864029104</v>
      </c>
    </row>
    <row r="98" customFormat="false" ht="15" hidden="false" customHeight="false" outlineLevel="0" collapsed="false">
      <c r="A98" s="4" t="s">
        <v>285</v>
      </c>
      <c r="B98" s="4" t="s">
        <v>286</v>
      </c>
      <c r="C98" s="4" t="s">
        <v>31</v>
      </c>
      <c r="D98" s="4" t="s">
        <v>32</v>
      </c>
      <c r="E98" s="5" t="n">
        <v>104.95</v>
      </c>
      <c r="F98" s="5" t="n">
        <v>209.95</v>
      </c>
      <c r="G98" s="6" t="n">
        <v>0.500119075970469</v>
      </c>
      <c r="H98" s="5" t="n">
        <v>84.95</v>
      </c>
      <c r="I98" s="5" t="n">
        <v>169.95</v>
      </c>
      <c r="J98" s="5" t="n">
        <f aca="false">H98-E98</f>
        <v>-20</v>
      </c>
      <c r="K98" s="6" t="n">
        <f aca="false">IF(E98=0,0,J98/E98)</f>
        <v>-0.190566936636494</v>
      </c>
    </row>
    <row r="99" customFormat="false" ht="15" hidden="false" customHeight="false" outlineLevel="0" collapsed="false">
      <c r="A99" s="4" t="s">
        <v>287</v>
      </c>
      <c r="B99" s="4" t="s">
        <v>288</v>
      </c>
      <c r="C99" s="4" t="s">
        <v>31</v>
      </c>
      <c r="D99" s="4" t="s">
        <v>32</v>
      </c>
      <c r="E99" s="5" t="n">
        <v>109.95</v>
      </c>
      <c r="F99" s="5" t="n">
        <v>183.95</v>
      </c>
      <c r="G99" s="6" t="n">
        <v>0.402283229138353</v>
      </c>
      <c r="H99" s="5" t="n">
        <v>89.95</v>
      </c>
      <c r="I99" s="5" t="n">
        <v>150.95</v>
      </c>
      <c r="J99" s="5" t="n">
        <f aca="false">H99-E99</f>
        <v>-20</v>
      </c>
      <c r="K99" s="6" t="n">
        <f aca="false">IF(E99=0,0,J99/E99)</f>
        <v>-0.181900864029104</v>
      </c>
    </row>
    <row r="100" customFormat="false" ht="15" hidden="false" customHeight="false" outlineLevel="0" collapsed="false">
      <c r="A100" s="4" t="s">
        <v>289</v>
      </c>
      <c r="B100" s="4" t="s">
        <v>290</v>
      </c>
      <c r="C100" s="4" t="s">
        <v>31</v>
      </c>
      <c r="D100" s="4" t="s">
        <v>32</v>
      </c>
      <c r="E100" s="5" t="n">
        <v>109.95</v>
      </c>
      <c r="F100" s="5" t="n">
        <v>219.95</v>
      </c>
      <c r="G100" s="6" t="n">
        <v>0.500113662195954</v>
      </c>
      <c r="H100" s="5" t="n">
        <v>89.95</v>
      </c>
      <c r="I100" s="5" t="n">
        <v>179.95</v>
      </c>
      <c r="J100" s="5" t="n">
        <f aca="false">H100-E100</f>
        <v>-20</v>
      </c>
      <c r="K100" s="6" t="n">
        <f aca="false">IF(E100=0,0,J100/E100)</f>
        <v>-0.181900864029104</v>
      </c>
    </row>
    <row r="101" customFormat="false" ht="15" hidden="false" customHeight="false" outlineLevel="0" collapsed="false">
      <c r="A101" s="4" t="s">
        <v>291</v>
      </c>
      <c r="B101" s="4" t="s">
        <v>292</v>
      </c>
      <c r="C101" s="4" t="s">
        <v>31</v>
      </c>
      <c r="D101" s="4" t="s">
        <v>32</v>
      </c>
      <c r="E101" s="5" t="n">
        <v>79.95</v>
      </c>
      <c r="F101" s="5" t="n">
        <v>182.95</v>
      </c>
      <c r="G101" s="6" t="n">
        <v>0.562995353921837</v>
      </c>
      <c r="H101" s="5" t="n">
        <v>79.95</v>
      </c>
      <c r="I101" s="5" t="n">
        <v>182.95</v>
      </c>
      <c r="J101" s="5" t="n">
        <f aca="false">H101-E101</f>
        <v>0</v>
      </c>
      <c r="K101" s="6" t="n">
        <f aca="false">IF(E101=0,0,J101/E101)</f>
        <v>0</v>
      </c>
    </row>
    <row r="102" customFormat="false" ht="15" hidden="false" customHeight="false" outlineLevel="0" collapsed="false">
      <c r="A102" s="4" t="s">
        <v>293</v>
      </c>
      <c r="B102" s="4" t="s">
        <v>294</v>
      </c>
      <c r="C102" s="4" t="s">
        <v>33</v>
      </c>
      <c r="D102" s="4" t="s">
        <v>34</v>
      </c>
      <c r="E102" s="5" t="n">
        <v>84.95</v>
      </c>
      <c r="F102" s="5" t="n">
        <v>169.95</v>
      </c>
      <c r="G102" s="6" t="n">
        <v>0.50014710208885</v>
      </c>
      <c r="H102" s="5" t="n">
        <v>84.95</v>
      </c>
      <c r="I102" s="5" t="n">
        <v>169.95</v>
      </c>
      <c r="J102" s="5" t="n">
        <f aca="false">H102-E102</f>
        <v>0</v>
      </c>
      <c r="K102" s="6" t="n">
        <f aca="false">IF(E102=0,0,J102/E102)</f>
        <v>0</v>
      </c>
    </row>
    <row r="103" customFormat="false" ht="15" hidden="false" customHeight="false" outlineLevel="0" collapsed="false">
      <c r="A103" s="4" t="s">
        <v>295</v>
      </c>
      <c r="B103" s="4" t="s">
        <v>296</v>
      </c>
      <c r="C103" s="4" t="s">
        <v>33</v>
      </c>
      <c r="D103" s="4" t="s">
        <v>34</v>
      </c>
      <c r="E103" s="5" t="n">
        <v>104.95</v>
      </c>
      <c r="F103" s="5" t="n">
        <v>174.95</v>
      </c>
      <c r="G103" s="6" t="n">
        <v>0.400114318376679</v>
      </c>
      <c r="H103" s="5" t="n">
        <v>89.95</v>
      </c>
      <c r="I103" s="5" t="n">
        <v>149.95</v>
      </c>
      <c r="J103" s="5" t="n">
        <f aca="false">H103-E103</f>
        <v>-15</v>
      </c>
      <c r="K103" s="6" t="n">
        <f aca="false">IF(E103=0,0,J103/E103)</f>
        <v>-0.14292520247737</v>
      </c>
    </row>
    <row r="104" customFormat="false" ht="15" hidden="false" customHeight="false" outlineLevel="0" collapsed="false">
      <c r="A104" s="4" t="s">
        <v>297</v>
      </c>
      <c r="B104" s="4" t="s">
        <v>298</v>
      </c>
      <c r="C104" s="4" t="s">
        <v>33</v>
      </c>
      <c r="D104" s="4" t="s">
        <v>34</v>
      </c>
      <c r="E104" s="5" t="n">
        <v>109.95</v>
      </c>
      <c r="F104" s="5" t="n">
        <v>219.95</v>
      </c>
      <c r="G104" s="6" t="n">
        <v>0.500113662195954</v>
      </c>
      <c r="H104" s="5" t="n">
        <v>89.95</v>
      </c>
      <c r="I104" s="5" t="n">
        <v>179.95</v>
      </c>
      <c r="J104" s="5" t="n">
        <f aca="false">H104-E104</f>
        <v>-20</v>
      </c>
      <c r="K104" s="6" t="n">
        <f aca="false">IF(E104=0,0,J104/E104)</f>
        <v>-0.181900864029104</v>
      </c>
    </row>
    <row r="105" customFormat="false" ht="15" hidden="false" customHeight="false" outlineLevel="0" collapsed="false">
      <c r="A105" s="4" t="s">
        <v>299</v>
      </c>
      <c r="B105" s="4" t="s">
        <v>300</v>
      </c>
      <c r="C105" s="4" t="s">
        <v>33</v>
      </c>
      <c r="D105" s="4" t="s">
        <v>34</v>
      </c>
      <c r="E105" s="5" t="n">
        <v>84.95</v>
      </c>
      <c r="F105" s="5" t="n">
        <v>169.95</v>
      </c>
      <c r="G105" s="6" t="n">
        <v>0.50014710208885</v>
      </c>
      <c r="H105" s="5" t="n">
        <v>84.95</v>
      </c>
      <c r="I105" s="5" t="n">
        <v>169.95</v>
      </c>
      <c r="J105" s="5" t="n">
        <f aca="false">H105-E105</f>
        <v>0</v>
      </c>
      <c r="K105" s="6" t="n">
        <f aca="false">IF(E105=0,0,J105/E105)</f>
        <v>0</v>
      </c>
    </row>
    <row r="106" customFormat="false" ht="15" hidden="false" customHeight="false" outlineLevel="0" collapsed="false">
      <c r="A106" s="4" t="s">
        <v>301</v>
      </c>
      <c r="B106" s="4" t="s">
        <v>302</v>
      </c>
      <c r="C106" s="4" t="s">
        <v>35</v>
      </c>
      <c r="D106" s="4" t="s">
        <v>36</v>
      </c>
      <c r="E106" s="5" t="n">
        <v>84.95</v>
      </c>
      <c r="F106" s="5" t="n">
        <v>142.95</v>
      </c>
      <c r="G106" s="6" t="n">
        <v>0.405736271423575</v>
      </c>
      <c r="H106" s="5" t="n">
        <v>59.95</v>
      </c>
      <c r="I106" s="5" t="n">
        <v>100.95</v>
      </c>
      <c r="J106" s="5" t="n">
        <f aca="false">H106-E106</f>
        <v>-25</v>
      </c>
      <c r="K106" s="6" t="n">
        <f aca="false">IF(E106=0,0,J106/E106)</f>
        <v>-0.294290759270159</v>
      </c>
    </row>
    <row r="107" customFormat="false" ht="15" hidden="false" customHeight="false" outlineLevel="0" collapsed="false">
      <c r="A107" s="4" t="s">
        <v>303</v>
      </c>
      <c r="B107" s="4" t="s">
        <v>304</v>
      </c>
      <c r="C107" s="4" t="s">
        <v>37</v>
      </c>
      <c r="D107" s="4" t="s">
        <v>38</v>
      </c>
      <c r="E107" s="5" t="n">
        <v>114.95</v>
      </c>
      <c r="F107" s="5" t="n">
        <v>209.95</v>
      </c>
      <c r="G107" s="6" t="n">
        <v>0.452488687782805</v>
      </c>
      <c r="H107" s="5" t="n">
        <v>89.95</v>
      </c>
      <c r="I107" s="5" t="n">
        <v>164.95</v>
      </c>
      <c r="J107" s="5" t="n">
        <f aca="false">H107-E107</f>
        <v>-25</v>
      </c>
      <c r="K107" s="6" t="n">
        <f aca="false">IF(E107=0,0,J107/E107)</f>
        <v>-0.217485863418878</v>
      </c>
    </row>
    <row r="108" customFormat="false" ht="15" hidden="false" customHeight="false" outlineLevel="0" collapsed="false">
      <c r="A108" s="4" t="s">
        <v>305</v>
      </c>
      <c r="B108" s="4" t="s">
        <v>306</v>
      </c>
      <c r="C108" s="4" t="s">
        <v>37</v>
      </c>
      <c r="D108" s="4" t="s">
        <v>38</v>
      </c>
      <c r="E108" s="5" t="n">
        <v>99.95</v>
      </c>
      <c r="F108" s="5" t="n">
        <v>199.95</v>
      </c>
      <c r="G108" s="6" t="n">
        <v>0.500125031257814</v>
      </c>
      <c r="H108" s="5" t="n">
        <v>84.95</v>
      </c>
      <c r="I108" s="5" t="n">
        <v>169.95</v>
      </c>
      <c r="J108" s="5" t="n">
        <f aca="false">H108-E108</f>
        <v>-15</v>
      </c>
      <c r="K108" s="6" t="n">
        <f aca="false">IF(E108=0,0,J108/E108)</f>
        <v>-0.150075037518759</v>
      </c>
    </row>
    <row r="109" customFormat="false" ht="15" hidden="false" customHeight="false" outlineLevel="0" collapsed="false">
      <c r="A109" s="4" t="s">
        <v>307</v>
      </c>
      <c r="B109" s="4" t="s">
        <v>308</v>
      </c>
      <c r="C109" s="4" t="s">
        <v>39</v>
      </c>
      <c r="D109" s="4" t="s">
        <v>40</v>
      </c>
      <c r="E109" s="5" t="n">
        <v>84.95</v>
      </c>
      <c r="F109" s="5" t="n">
        <v>169.95</v>
      </c>
      <c r="G109" s="6" t="n">
        <v>0.50014710208885</v>
      </c>
      <c r="H109" s="5" t="n">
        <v>74.95</v>
      </c>
      <c r="I109" s="5" t="n">
        <v>149.95</v>
      </c>
      <c r="J109" s="5" t="n">
        <f aca="false">H109-E109</f>
        <v>-10</v>
      </c>
      <c r="K109" s="6" t="n">
        <f aca="false">IF(E109=0,0,J109/E109)</f>
        <v>-0.117716303708064</v>
      </c>
    </row>
    <row r="110" customFormat="false" ht="15" hidden="false" customHeight="false" outlineLevel="0" collapsed="false">
      <c r="A110" s="4" t="s">
        <v>309</v>
      </c>
      <c r="B110" s="4" t="s">
        <v>310</v>
      </c>
      <c r="C110" s="4" t="s">
        <v>39</v>
      </c>
      <c r="D110" s="4" t="s">
        <v>40</v>
      </c>
      <c r="E110" s="5" t="n">
        <v>79.95</v>
      </c>
      <c r="F110" s="5" t="n">
        <v>146.95</v>
      </c>
      <c r="G110" s="6" t="n">
        <v>0.455937393671317</v>
      </c>
      <c r="H110" s="5" t="n">
        <v>74.95</v>
      </c>
      <c r="I110" s="5" t="n">
        <v>137.95</v>
      </c>
      <c r="J110" s="5" t="n">
        <f aca="false">H110-E110</f>
        <v>-5</v>
      </c>
      <c r="K110" s="6" t="n">
        <f aca="false">IF(E110=0,0,J110/E110)</f>
        <v>-0.0625390869293308</v>
      </c>
    </row>
    <row r="111" customFormat="false" ht="15" hidden="false" customHeight="false" outlineLevel="0" collapsed="false">
      <c r="A111" s="4" t="s">
        <v>311</v>
      </c>
      <c r="B111" s="4" t="s">
        <v>312</v>
      </c>
      <c r="C111" s="4" t="s">
        <v>39</v>
      </c>
      <c r="D111" s="4" t="s">
        <v>40</v>
      </c>
      <c r="E111" s="5" t="n">
        <v>89.95</v>
      </c>
      <c r="F111" s="5" t="n">
        <v>164.95</v>
      </c>
      <c r="G111" s="6" t="n">
        <v>0.45468323734465</v>
      </c>
      <c r="H111" s="5" t="n">
        <v>74.95</v>
      </c>
      <c r="I111" s="5" t="n">
        <v>137.95</v>
      </c>
      <c r="J111" s="5" t="n">
        <f aca="false">H111-E111</f>
        <v>-15</v>
      </c>
      <c r="K111" s="6" t="n">
        <f aca="false">IF(E111=0,0,J111/E111)</f>
        <v>-0.166759310728182</v>
      </c>
    </row>
    <row r="112" customFormat="false" ht="15" hidden="false" customHeight="false" outlineLevel="0" collapsed="false">
      <c r="A112" s="4" t="s">
        <v>313</v>
      </c>
      <c r="B112" s="4" t="s">
        <v>314</v>
      </c>
      <c r="C112" s="4" t="s">
        <v>39</v>
      </c>
      <c r="D112" s="4" t="s">
        <v>40</v>
      </c>
      <c r="E112" s="5" t="n">
        <v>99.95</v>
      </c>
      <c r="F112" s="5" t="n">
        <v>182.95</v>
      </c>
      <c r="G112" s="6" t="n">
        <v>0.453675867723422</v>
      </c>
      <c r="H112" s="5" t="n">
        <v>79.95</v>
      </c>
      <c r="I112" s="5" t="n">
        <v>146.95</v>
      </c>
      <c r="J112" s="5" t="n">
        <f aca="false">H112-E112</f>
        <v>-20</v>
      </c>
      <c r="K112" s="6" t="n">
        <f aca="false">IF(E112=0,0,J112/E112)</f>
        <v>-0.200100050025013</v>
      </c>
    </row>
    <row r="113" customFormat="false" ht="15" hidden="false" customHeight="false" outlineLevel="0" collapsed="false">
      <c r="A113" s="4" t="s">
        <v>315</v>
      </c>
      <c r="B113" s="4" t="s">
        <v>316</v>
      </c>
      <c r="C113" s="4" t="s">
        <v>39</v>
      </c>
      <c r="D113" s="4" t="s">
        <v>40</v>
      </c>
      <c r="E113" s="5" t="n">
        <v>99.95</v>
      </c>
      <c r="F113" s="5" t="n">
        <v>182.95</v>
      </c>
      <c r="G113" s="6" t="n">
        <v>0.453675867723422</v>
      </c>
      <c r="H113" s="5" t="n">
        <v>79.95</v>
      </c>
      <c r="I113" s="5" t="n">
        <v>146.95</v>
      </c>
      <c r="J113" s="5" t="n">
        <f aca="false">H113-E113</f>
        <v>-20</v>
      </c>
      <c r="K113" s="6" t="n">
        <f aca="false">IF(E113=0,0,J113/E113)</f>
        <v>-0.200100050025013</v>
      </c>
    </row>
    <row r="114" customFormat="false" ht="15" hidden="false" customHeight="false" outlineLevel="0" collapsed="false">
      <c r="A114" s="4" t="s">
        <v>317</v>
      </c>
      <c r="B114" s="4" t="s">
        <v>318</v>
      </c>
      <c r="C114" s="4" t="s">
        <v>39</v>
      </c>
      <c r="D114" s="4" t="s">
        <v>40</v>
      </c>
      <c r="E114" s="5" t="n">
        <v>99.95</v>
      </c>
      <c r="F114" s="5" t="n">
        <v>167.95</v>
      </c>
      <c r="G114" s="6" t="n">
        <v>0.404882405477821</v>
      </c>
      <c r="H114" s="5" t="n">
        <v>79.95</v>
      </c>
      <c r="I114" s="5" t="n">
        <v>134.95</v>
      </c>
      <c r="J114" s="5" t="n">
        <f aca="false">H114-E114</f>
        <v>-20</v>
      </c>
      <c r="K114" s="6" t="n">
        <f aca="false">IF(E114=0,0,J114/E114)</f>
        <v>-0.200100050025013</v>
      </c>
    </row>
    <row r="115" customFormat="false" ht="15" hidden="false" customHeight="false" outlineLevel="0" collapsed="false">
      <c r="A115" s="4" t="s">
        <v>319</v>
      </c>
      <c r="B115" s="4" t="s">
        <v>320</v>
      </c>
      <c r="C115" s="4" t="s">
        <v>39</v>
      </c>
      <c r="D115" s="4" t="s">
        <v>40</v>
      </c>
      <c r="E115" s="5" t="n">
        <v>99.95</v>
      </c>
      <c r="F115" s="5" t="n">
        <v>167.95</v>
      </c>
      <c r="G115" s="6" t="n">
        <v>0.404882405477821</v>
      </c>
      <c r="H115" s="5" t="n">
        <v>79.95</v>
      </c>
      <c r="I115" s="5" t="n">
        <v>134.95</v>
      </c>
      <c r="J115" s="5" t="n">
        <f aca="false">H115-E115</f>
        <v>-20</v>
      </c>
      <c r="K115" s="6" t="n">
        <f aca="false">IF(E115=0,0,J115/E115)</f>
        <v>-0.200100050025013</v>
      </c>
    </row>
    <row r="116" customFormat="false" ht="15" hidden="false" customHeight="false" outlineLevel="0" collapsed="false">
      <c r="A116" s="4" t="s">
        <v>321</v>
      </c>
      <c r="B116" s="4" t="s">
        <v>322</v>
      </c>
      <c r="C116" s="4" t="s">
        <v>39</v>
      </c>
      <c r="D116" s="4" t="s">
        <v>40</v>
      </c>
      <c r="E116" s="5" t="n">
        <v>89.95</v>
      </c>
      <c r="F116" s="5" t="n">
        <v>179.95</v>
      </c>
      <c r="G116" s="6" t="n">
        <v>0.500138927479855</v>
      </c>
      <c r="H116" s="5" t="n">
        <v>74.95</v>
      </c>
      <c r="I116" s="5" t="n">
        <v>149.95</v>
      </c>
      <c r="J116" s="5" t="n">
        <f aca="false">H116-E116</f>
        <v>-15</v>
      </c>
      <c r="K116" s="6" t="n">
        <f aca="false">IF(E116=0,0,J116/E116)</f>
        <v>-0.166759310728182</v>
      </c>
    </row>
    <row r="117" customFormat="false" ht="15" hidden="false" customHeight="false" outlineLevel="0" collapsed="false">
      <c r="A117" s="4" t="s">
        <v>323</v>
      </c>
      <c r="B117" s="4" t="s">
        <v>324</v>
      </c>
      <c r="C117" s="4" t="s">
        <v>39</v>
      </c>
      <c r="D117" s="4" t="s">
        <v>40</v>
      </c>
      <c r="E117" s="5" t="n">
        <v>89.95</v>
      </c>
      <c r="F117" s="5" t="n">
        <v>149.95</v>
      </c>
      <c r="G117" s="6" t="n">
        <v>0.400133377792597</v>
      </c>
      <c r="H117" s="5" t="n">
        <v>74.95</v>
      </c>
      <c r="I117" s="5" t="n">
        <v>124.95</v>
      </c>
      <c r="J117" s="5" t="n">
        <f aca="false">H117-E117</f>
        <v>-15</v>
      </c>
      <c r="K117" s="6" t="n">
        <f aca="false">IF(E117=0,0,J117/E117)</f>
        <v>-0.166759310728182</v>
      </c>
    </row>
    <row r="118" customFormat="false" ht="15" hidden="false" customHeight="false" outlineLevel="0" collapsed="false">
      <c r="A118" s="4" t="s">
        <v>325</v>
      </c>
      <c r="B118" s="4" t="s">
        <v>326</v>
      </c>
      <c r="C118" s="4" t="s">
        <v>39</v>
      </c>
      <c r="D118" s="4" t="s">
        <v>40</v>
      </c>
      <c r="E118" s="5" t="n">
        <v>79.95</v>
      </c>
      <c r="F118" s="5" t="n">
        <v>134.95</v>
      </c>
      <c r="G118" s="6" t="n">
        <v>0.407558354946276</v>
      </c>
      <c r="H118" s="5" t="n">
        <v>74.95</v>
      </c>
      <c r="I118" s="5" t="n">
        <v>126.95</v>
      </c>
      <c r="J118" s="5" t="n">
        <f aca="false">H118-E118</f>
        <v>-5</v>
      </c>
      <c r="K118" s="6" t="n">
        <f aca="false">IF(E118=0,0,J118/E118)</f>
        <v>-0.0625390869293308</v>
      </c>
    </row>
    <row r="119" customFormat="false" ht="15" hidden="false" customHeight="false" outlineLevel="0" collapsed="false">
      <c r="A119" s="4" t="s">
        <v>327</v>
      </c>
      <c r="B119" s="4" t="s">
        <v>328</v>
      </c>
      <c r="C119" s="4" t="s">
        <v>39</v>
      </c>
      <c r="D119" s="4" t="s">
        <v>40</v>
      </c>
      <c r="E119" s="5" t="n">
        <v>79.95</v>
      </c>
      <c r="F119" s="5" t="n">
        <v>134.95</v>
      </c>
      <c r="G119" s="6" t="n">
        <v>0.407558354946276</v>
      </c>
      <c r="H119" s="5" t="n">
        <v>74.95</v>
      </c>
      <c r="I119" s="5" t="n">
        <v>126.95</v>
      </c>
      <c r="J119" s="5" t="n">
        <f aca="false">H119-E119</f>
        <v>-5</v>
      </c>
      <c r="K119" s="6" t="n">
        <f aca="false">IF(E119=0,0,J119/E119)</f>
        <v>-0.0625390869293308</v>
      </c>
    </row>
    <row r="120" customFormat="false" ht="15" hidden="false" customHeight="false" outlineLevel="0" collapsed="false">
      <c r="A120" s="4" t="s">
        <v>329</v>
      </c>
      <c r="B120" s="4" t="s">
        <v>330</v>
      </c>
      <c r="C120" s="4" t="s">
        <v>39</v>
      </c>
      <c r="D120" s="4" t="s">
        <v>40</v>
      </c>
      <c r="E120" s="5" t="n">
        <v>79.95</v>
      </c>
      <c r="F120" s="5" t="n">
        <v>146.95</v>
      </c>
      <c r="G120" s="6" t="n">
        <v>0.455937393671317</v>
      </c>
      <c r="H120" s="5" t="n">
        <v>74.95</v>
      </c>
      <c r="I120" s="5" t="n">
        <v>137.95</v>
      </c>
      <c r="J120" s="5" t="n">
        <f aca="false">H120-E120</f>
        <v>-5</v>
      </c>
      <c r="K120" s="6" t="n">
        <f aca="false">IF(E120=0,0,J120/E120)</f>
        <v>-0.0625390869293308</v>
      </c>
    </row>
    <row r="121" customFormat="false" ht="15" hidden="false" customHeight="false" outlineLevel="0" collapsed="false">
      <c r="A121" s="4" t="s">
        <v>331</v>
      </c>
      <c r="B121" s="4" t="s">
        <v>332</v>
      </c>
      <c r="C121" s="4" t="s">
        <v>39</v>
      </c>
      <c r="D121" s="4" t="s">
        <v>40</v>
      </c>
      <c r="E121" s="5" t="n">
        <v>99.95</v>
      </c>
      <c r="F121" s="5" t="n">
        <v>167.95</v>
      </c>
      <c r="G121" s="6" t="n">
        <v>0.404882405477821</v>
      </c>
      <c r="H121" s="5" t="n">
        <v>79.95</v>
      </c>
      <c r="I121" s="5" t="n">
        <v>134.95</v>
      </c>
      <c r="J121" s="5" t="n">
        <f aca="false">H121-E121</f>
        <v>-20</v>
      </c>
      <c r="K121" s="6" t="n">
        <f aca="false">IF(E121=0,0,J121/E121)</f>
        <v>-0.200100050025013</v>
      </c>
    </row>
    <row r="122" customFormat="false" ht="15" hidden="false" customHeight="false" outlineLevel="0" collapsed="false">
      <c r="A122" s="4" t="s">
        <v>333</v>
      </c>
      <c r="B122" s="4" t="s">
        <v>334</v>
      </c>
      <c r="C122" s="4" t="s">
        <v>39</v>
      </c>
      <c r="D122" s="4" t="s">
        <v>40</v>
      </c>
      <c r="E122" s="5" t="n">
        <v>99.95</v>
      </c>
      <c r="F122" s="5" t="n">
        <v>199.95</v>
      </c>
      <c r="G122" s="6" t="n">
        <v>0.500125031257814</v>
      </c>
      <c r="H122" s="5" t="n">
        <v>79.95</v>
      </c>
      <c r="I122" s="5" t="n">
        <v>159.95</v>
      </c>
      <c r="J122" s="5" t="n">
        <f aca="false">H122-E122</f>
        <v>-20</v>
      </c>
      <c r="K122" s="6" t="n">
        <f aca="false">IF(E122=0,0,J122/E122)</f>
        <v>-0.200100050025013</v>
      </c>
    </row>
    <row r="123" customFormat="false" ht="15" hidden="false" customHeight="false" outlineLevel="0" collapsed="false">
      <c r="A123" s="4" t="s">
        <v>335</v>
      </c>
      <c r="B123" s="4" t="s">
        <v>336</v>
      </c>
      <c r="C123" s="4" t="s">
        <v>39</v>
      </c>
      <c r="D123" s="4" t="s">
        <v>40</v>
      </c>
      <c r="E123" s="5" t="n">
        <v>99.95</v>
      </c>
      <c r="F123" s="5" t="n">
        <v>182.95</v>
      </c>
      <c r="G123" s="6" t="n">
        <v>0.453675867723422</v>
      </c>
      <c r="H123" s="5" t="n">
        <v>79.95</v>
      </c>
      <c r="I123" s="5" t="n">
        <v>146.95</v>
      </c>
      <c r="J123" s="5" t="n">
        <f aca="false">H123-E123</f>
        <v>-20</v>
      </c>
      <c r="K123" s="6" t="n">
        <f aca="false">IF(E123=0,0,J123/E123)</f>
        <v>-0.200100050025013</v>
      </c>
    </row>
    <row r="124" customFormat="false" ht="15" hidden="false" customHeight="false" outlineLevel="0" collapsed="false">
      <c r="A124" s="4" t="s">
        <v>337</v>
      </c>
      <c r="B124" s="4" t="s">
        <v>338</v>
      </c>
      <c r="C124" s="4" t="s">
        <v>39</v>
      </c>
      <c r="D124" s="4" t="s">
        <v>40</v>
      </c>
      <c r="E124" s="5" t="n">
        <v>84.95</v>
      </c>
      <c r="F124" s="5" t="n">
        <v>169.95</v>
      </c>
      <c r="G124" s="6" t="n">
        <v>0.50014710208885</v>
      </c>
      <c r="H124" s="5" t="n">
        <v>74.95</v>
      </c>
      <c r="I124" s="5" t="n">
        <v>149.95</v>
      </c>
      <c r="J124" s="5" t="n">
        <f aca="false">H124-E124</f>
        <v>-10</v>
      </c>
      <c r="K124" s="6" t="n">
        <f aca="false">IF(E124=0,0,J124/E124)</f>
        <v>-0.117716303708064</v>
      </c>
    </row>
    <row r="125" customFormat="false" ht="15" hidden="false" customHeight="false" outlineLevel="0" collapsed="false">
      <c r="A125" s="4" t="s">
        <v>339</v>
      </c>
      <c r="B125" s="4" t="s">
        <v>340</v>
      </c>
      <c r="C125" s="4" t="s">
        <v>39</v>
      </c>
      <c r="D125" s="4" t="s">
        <v>40</v>
      </c>
      <c r="E125" s="5" t="n">
        <v>99.95</v>
      </c>
      <c r="F125" s="5" t="n">
        <v>182.95</v>
      </c>
      <c r="G125" s="6" t="n">
        <v>0.453675867723422</v>
      </c>
      <c r="H125" s="5" t="n">
        <v>79.95</v>
      </c>
      <c r="I125" s="5" t="n">
        <v>146.95</v>
      </c>
      <c r="J125" s="5" t="n">
        <f aca="false">H125-E125</f>
        <v>-20</v>
      </c>
      <c r="K125" s="6" t="n">
        <f aca="false">IF(E125=0,0,J125/E125)</f>
        <v>-0.200100050025013</v>
      </c>
    </row>
    <row r="126" customFormat="false" ht="15" hidden="false" customHeight="false" outlineLevel="0" collapsed="false">
      <c r="A126" s="4" t="s">
        <v>341</v>
      </c>
      <c r="B126" s="4" t="s">
        <v>342</v>
      </c>
      <c r="C126" s="4" t="s">
        <v>39</v>
      </c>
      <c r="D126" s="4" t="s">
        <v>40</v>
      </c>
      <c r="E126" s="5" t="n">
        <v>99.95</v>
      </c>
      <c r="F126" s="5" t="n">
        <v>182.95</v>
      </c>
      <c r="G126" s="6" t="n">
        <v>0.453675867723422</v>
      </c>
      <c r="H126" s="5" t="n">
        <v>79.95</v>
      </c>
      <c r="I126" s="5" t="n">
        <v>146.95</v>
      </c>
      <c r="J126" s="5" t="n">
        <f aca="false">H126-E126</f>
        <v>-20</v>
      </c>
      <c r="K126" s="6" t="n">
        <f aca="false">IF(E126=0,0,J126/E126)</f>
        <v>-0.200100050025013</v>
      </c>
    </row>
    <row r="127" customFormat="false" ht="15" hidden="false" customHeight="false" outlineLevel="0" collapsed="false">
      <c r="A127" s="4" t="s">
        <v>343</v>
      </c>
      <c r="B127" s="4" t="s">
        <v>344</v>
      </c>
      <c r="C127" s="4" t="s">
        <v>39</v>
      </c>
      <c r="D127" s="4" t="s">
        <v>40</v>
      </c>
      <c r="E127" s="5" t="n">
        <v>99.95</v>
      </c>
      <c r="F127" s="5" t="n">
        <v>182.95</v>
      </c>
      <c r="G127" s="6" t="n">
        <v>0.453675867723422</v>
      </c>
      <c r="H127" s="5" t="n">
        <v>79.95</v>
      </c>
      <c r="I127" s="5" t="n">
        <v>146.95</v>
      </c>
      <c r="J127" s="5" t="n">
        <f aca="false">H127-E127</f>
        <v>-20</v>
      </c>
      <c r="K127" s="6" t="n">
        <f aca="false">IF(E127=0,0,J127/E127)</f>
        <v>-0.200100050025013</v>
      </c>
    </row>
    <row r="128" customFormat="false" ht="15" hidden="false" customHeight="false" outlineLevel="0" collapsed="false">
      <c r="A128" s="4" t="s">
        <v>345</v>
      </c>
      <c r="B128" s="4" t="s">
        <v>346</v>
      </c>
      <c r="C128" s="4" t="s">
        <v>39</v>
      </c>
      <c r="D128" s="4" t="s">
        <v>40</v>
      </c>
      <c r="E128" s="5" t="n">
        <v>84.95</v>
      </c>
      <c r="F128" s="5" t="n">
        <v>169.95</v>
      </c>
      <c r="G128" s="6" t="n">
        <v>0.50014710208885</v>
      </c>
      <c r="H128" s="5" t="n">
        <v>74.95</v>
      </c>
      <c r="I128" s="5" t="n">
        <v>149.95</v>
      </c>
      <c r="J128" s="5" t="n">
        <f aca="false">H128-E128</f>
        <v>-10</v>
      </c>
      <c r="K128" s="6" t="n">
        <f aca="false">IF(E128=0,0,J128/E128)</f>
        <v>-0.117716303708064</v>
      </c>
    </row>
    <row r="129" customFormat="false" ht="15" hidden="false" customHeight="false" outlineLevel="0" collapsed="false">
      <c r="A129" s="4" t="s">
        <v>347</v>
      </c>
      <c r="B129" s="4" t="s">
        <v>348</v>
      </c>
      <c r="C129" s="4" t="s">
        <v>39</v>
      </c>
      <c r="D129" s="4" t="s">
        <v>40</v>
      </c>
      <c r="E129" s="5" t="n">
        <v>89.95</v>
      </c>
      <c r="F129" s="5" t="n">
        <v>164.95</v>
      </c>
      <c r="G129" s="6" t="n">
        <v>0.45468323734465</v>
      </c>
      <c r="H129" s="5" t="n">
        <v>74.95</v>
      </c>
      <c r="I129" s="5" t="n">
        <v>137.95</v>
      </c>
      <c r="J129" s="5" t="n">
        <f aca="false">H129-E129</f>
        <v>-15</v>
      </c>
      <c r="K129" s="6" t="n">
        <f aca="false">IF(E129=0,0,J129/E129)</f>
        <v>-0.166759310728182</v>
      </c>
    </row>
    <row r="130" customFormat="false" ht="15" hidden="false" customHeight="false" outlineLevel="0" collapsed="false">
      <c r="A130" s="4" t="s">
        <v>349</v>
      </c>
      <c r="B130" s="4" t="s">
        <v>350</v>
      </c>
      <c r="C130" s="4" t="s">
        <v>39</v>
      </c>
      <c r="D130" s="4" t="s">
        <v>40</v>
      </c>
      <c r="E130" s="5" t="n">
        <v>99.95</v>
      </c>
      <c r="F130" s="5" t="n">
        <v>182.95</v>
      </c>
      <c r="G130" s="6" t="n">
        <v>0.453675867723422</v>
      </c>
      <c r="H130" s="5" t="n">
        <v>79.95</v>
      </c>
      <c r="I130" s="5" t="n">
        <v>146.95</v>
      </c>
      <c r="J130" s="5" t="n">
        <f aca="false">H130-E130</f>
        <v>-20</v>
      </c>
      <c r="K130" s="6" t="n">
        <f aca="false">IF(E130=0,0,J130/E130)</f>
        <v>-0.200100050025013</v>
      </c>
    </row>
    <row r="131" customFormat="false" ht="15" hidden="false" customHeight="false" outlineLevel="0" collapsed="false">
      <c r="A131" s="4" t="s">
        <v>351</v>
      </c>
      <c r="B131" s="4" t="s">
        <v>352</v>
      </c>
      <c r="C131" s="4" t="s">
        <v>39</v>
      </c>
      <c r="D131" s="4" t="s">
        <v>40</v>
      </c>
      <c r="E131" s="5" t="n">
        <v>99.95</v>
      </c>
      <c r="F131" s="5" t="n">
        <v>167.95</v>
      </c>
      <c r="G131" s="6" t="n">
        <v>0.404882405477821</v>
      </c>
      <c r="H131" s="5" t="n">
        <v>79.95</v>
      </c>
      <c r="I131" s="5" t="n">
        <v>134.95</v>
      </c>
      <c r="J131" s="5" t="n">
        <f aca="false">H131-E131</f>
        <v>-20</v>
      </c>
      <c r="K131" s="6" t="n">
        <f aca="false">IF(E131=0,0,J131/E131)</f>
        <v>-0.200100050025013</v>
      </c>
    </row>
    <row r="132" customFormat="false" ht="15" hidden="false" customHeight="false" outlineLevel="0" collapsed="false">
      <c r="A132" s="4" t="s">
        <v>353</v>
      </c>
      <c r="B132" s="4" t="s">
        <v>354</v>
      </c>
      <c r="C132" s="4" t="s">
        <v>39</v>
      </c>
      <c r="D132" s="4" t="s">
        <v>40</v>
      </c>
      <c r="E132" s="5" t="n">
        <v>79.95</v>
      </c>
      <c r="F132" s="5" t="n">
        <v>159.95</v>
      </c>
      <c r="G132" s="6" t="n">
        <v>0.500156298843389</v>
      </c>
      <c r="H132" s="5" t="n">
        <v>74.95</v>
      </c>
      <c r="I132" s="5" t="n">
        <v>149.95</v>
      </c>
      <c r="J132" s="5" t="n">
        <f aca="false">H132-E132</f>
        <v>-5</v>
      </c>
      <c r="K132" s="6" t="n">
        <f aca="false">IF(E132=0,0,J132/E132)</f>
        <v>-0.0625390869293308</v>
      </c>
    </row>
    <row r="133" customFormat="false" ht="15" hidden="false" customHeight="false" outlineLevel="0" collapsed="false">
      <c r="A133" s="4" t="s">
        <v>355</v>
      </c>
      <c r="B133" s="4" t="s">
        <v>356</v>
      </c>
      <c r="C133" s="4" t="s">
        <v>41</v>
      </c>
      <c r="D133" s="4" t="s">
        <v>42</v>
      </c>
      <c r="E133" s="5" t="n">
        <v>79.95</v>
      </c>
      <c r="F133" s="5" t="n">
        <v>159.95</v>
      </c>
      <c r="G133" s="6" t="n">
        <v>0.500156298843389</v>
      </c>
      <c r="H133" s="5" t="n">
        <v>69.95</v>
      </c>
      <c r="I133" s="5" t="n">
        <v>139.95</v>
      </c>
      <c r="J133" s="5" t="n">
        <f aca="false">H133-E133</f>
        <v>-10</v>
      </c>
      <c r="K133" s="6" t="n">
        <f aca="false">IF(E133=0,0,J133/E133)</f>
        <v>-0.125078173858662</v>
      </c>
    </row>
    <row r="134" customFormat="false" ht="15" hidden="false" customHeight="false" outlineLevel="0" collapsed="false">
      <c r="A134" s="4" t="s">
        <v>357</v>
      </c>
      <c r="B134" s="4" t="s">
        <v>358</v>
      </c>
      <c r="C134" s="4" t="s">
        <v>41</v>
      </c>
      <c r="D134" s="4" t="s">
        <v>42</v>
      </c>
      <c r="E134" s="5" t="n">
        <v>84.95</v>
      </c>
      <c r="F134" s="5" t="n">
        <v>155.95</v>
      </c>
      <c r="G134" s="6" t="n">
        <v>0.455274126322539</v>
      </c>
      <c r="H134" s="5" t="n">
        <v>69.95</v>
      </c>
      <c r="I134" s="5" t="n">
        <v>128.95</v>
      </c>
      <c r="J134" s="5" t="n">
        <f aca="false">H134-E134</f>
        <v>-15</v>
      </c>
      <c r="K134" s="6" t="n">
        <f aca="false">IF(E134=0,0,J134/E134)</f>
        <v>-0.176574455562095</v>
      </c>
    </row>
    <row r="135" customFormat="false" ht="15" hidden="false" customHeight="false" outlineLevel="0" collapsed="false">
      <c r="A135" s="4" t="s">
        <v>359</v>
      </c>
      <c r="B135" s="4" t="s">
        <v>360</v>
      </c>
      <c r="C135" s="4" t="s">
        <v>41</v>
      </c>
      <c r="D135" s="4" t="s">
        <v>42</v>
      </c>
      <c r="E135" s="5" t="n">
        <v>79.95</v>
      </c>
      <c r="F135" s="5" t="n">
        <v>159.95</v>
      </c>
      <c r="G135" s="6" t="n">
        <v>0.500156298843389</v>
      </c>
      <c r="H135" s="5" t="n">
        <v>69.95</v>
      </c>
      <c r="I135" s="5" t="n">
        <v>139.95</v>
      </c>
      <c r="J135" s="5" t="n">
        <f aca="false">H135-E135</f>
        <v>-10</v>
      </c>
      <c r="K135" s="6" t="n">
        <f aca="false">IF(E135=0,0,J135/E135)</f>
        <v>-0.125078173858662</v>
      </c>
    </row>
    <row r="136" customFormat="false" ht="15" hidden="false" customHeight="false" outlineLevel="0" collapsed="false">
      <c r="A136" s="4" t="s">
        <v>361</v>
      </c>
      <c r="B136" s="4" t="s">
        <v>362</v>
      </c>
      <c r="C136" s="4" t="s">
        <v>41</v>
      </c>
      <c r="D136" s="4" t="s">
        <v>42</v>
      </c>
      <c r="E136" s="5" t="n">
        <v>84.95</v>
      </c>
      <c r="F136" s="5" t="n">
        <v>169.95</v>
      </c>
      <c r="G136" s="6" t="n">
        <v>0.50014710208885</v>
      </c>
      <c r="H136" s="5" t="n">
        <v>69.95</v>
      </c>
      <c r="I136" s="5" t="n">
        <v>139.95</v>
      </c>
      <c r="J136" s="5" t="n">
        <f aca="false">H136-E136</f>
        <v>-15</v>
      </c>
      <c r="K136" s="6" t="n">
        <f aca="false">IF(E136=0,0,J136/E136)</f>
        <v>-0.176574455562095</v>
      </c>
    </row>
    <row r="137" customFormat="false" ht="15" hidden="false" customHeight="false" outlineLevel="0" collapsed="false">
      <c r="A137" s="4" t="s">
        <v>363</v>
      </c>
      <c r="B137" s="4" t="s">
        <v>364</v>
      </c>
      <c r="C137" s="4" t="s">
        <v>41</v>
      </c>
      <c r="D137" s="4" t="s">
        <v>42</v>
      </c>
      <c r="E137" s="5" t="n">
        <v>84.95</v>
      </c>
      <c r="F137" s="5" t="n">
        <v>142.95</v>
      </c>
      <c r="G137" s="6" t="n">
        <v>0.405736271423575</v>
      </c>
      <c r="H137" s="5" t="n">
        <v>69.95</v>
      </c>
      <c r="I137" s="5" t="n">
        <v>117.95</v>
      </c>
      <c r="J137" s="5" t="n">
        <f aca="false">H137-E137</f>
        <v>-15</v>
      </c>
      <c r="K137" s="6" t="n">
        <f aca="false">IF(E137=0,0,J137/E137)</f>
        <v>-0.176574455562095</v>
      </c>
    </row>
    <row r="138" customFormat="false" ht="15" hidden="false" customHeight="false" outlineLevel="0" collapsed="false">
      <c r="A138" s="4" t="s">
        <v>365</v>
      </c>
      <c r="B138" s="4" t="s">
        <v>366</v>
      </c>
      <c r="C138" s="4" t="s">
        <v>41</v>
      </c>
      <c r="D138" s="4" t="s">
        <v>42</v>
      </c>
      <c r="E138" s="5" t="n">
        <v>84.95</v>
      </c>
      <c r="F138" s="5" t="n">
        <v>155.95</v>
      </c>
      <c r="G138" s="6" t="n">
        <v>0.455274126322539</v>
      </c>
      <c r="H138" s="5" t="n">
        <v>69.95</v>
      </c>
      <c r="I138" s="5" t="n">
        <v>128.95</v>
      </c>
      <c r="J138" s="5" t="n">
        <f aca="false">H138-E138</f>
        <v>-15</v>
      </c>
      <c r="K138" s="6" t="n">
        <f aca="false">IF(E138=0,0,J138/E138)</f>
        <v>-0.176574455562095</v>
      </c>
    </row>
    <row r="139" customFormat="false" ht="15" hidden="false" customHeight="false" outlineLevel="0" collapsed="false">
      <c r="A139" s="4" t="s">
        <v>367</v>
      </c>
      <c r="B139" s="4" t="s">
        <v>368</v>
      </c>
      <c r="C139" s="4" t="s">
        <v>41</v>
      </c>
      <c r="D139" s="4" t="s">
        <v>42</v>
      </c>
      <c r="E139" s="5" t="n">
        <v>84.95</v>
      </c>
      <c r="F139" s="5" t="n">
        <v>142.95</v>
      </c>
      <c r="G139" s="6" t="n">
        <v>0.405736271423575</v>
      </c>
      <c r="H139" s="5" t="n">
        <v>69.95</v>
      </c>
      <c r="I139" s="5" t="n">
        <v>117.95</v>
      </c>
      <c r="J139" s="5" t="n">
        <f aca="false">H139-E139</f>
        <v>-15</v>
      </c>
      <c r="K139" s="6" t="n">
        <f aca="false">IF(E139=0,0,J139/E139)</f>
        <v>-0.176574455562095</v>
      </c>
    </row>
    <row r="140" customFormat="false" ht="15" hidden="false" customHeight="false" outlineLevel="0" collapsed="false">
      <c r="A140" s="4" t="s">
        <v>369</v>
      </c>
      <c r="B140" s="4" t="s">
        <v>370</v>
      </c>
      <c r="C140" s="4" t="s">
        <v>41</v>
      </c>
      <c r="D140" s="4" t="s">
        <v>42</v>
      </c>
      <c r="E140" s="5" t="n">
        <v>84.95</v>
      </c>
      <c r="F140" s="5" t="n">
        <v>142.95</v>
      </c>
      <c r="G140" s="6" t="n">
        <v>0.405736271423575</v>
      </c>
      <c r="H140" s="5" t="n">
        <v>69.95</v>
      </c>
      <c r="I140" s="5" t="n">
        <v>117.95</v>
      </c>
      <c r="J140" s="5" t="n">
        <f aca="false">H140-E140</f>
        <v>-15</v>
      </c>
      <c r="K140" s="6" t="n">
        <f aca="false">IF(E140=0,0,J140/E140)</f>
        <v>-0.176574455562095</v>
      </c>
    </row>
    <row r="141" customFormat="false" ht="15" hidden="false" customHeight="false" outlineLevel="0" collapsed="false">
      <c r="A141" s="4" t="s">
        <v>371</v>
      </c>
      <c r="B141" s="4" t="s">
        <v>372</v>
      </c>
      <c r="C141" s="4" t="s">
        <v>41</v>
      </c>
      <c r="D141" s="4" t="s">
        <v>42</v>
      </c>
      <c r="E141" s="5" t="n">
        <v>84.95</v>
      </c>
      <c r="F141" s="5" t="n">
        <v>169.95</v>
      </c>
      <c r="G141" s="6" t="n">
        <v>0.50014710208885</v>
      </c>
      <c r="H141" s="5" t="n">
        <v>69.95</v>
      </c>
      <c r="I141" s="5" t="n">
        <v>139.95</v>
      </c>
      <c r="J141" s="5" t="n">
        <f aca="false">H141-E141</f>
        <v>-15</v>
      </c>
      <c r="K141" s="6" t="n">
        <f aca="false">IF(E141=0,0,J141/E141)</f>
        <v>-0.176574455562095</v>
      </c>
    </row>
    <row r="142" customFormat="false" ht="15" hidden="false" customHeight="false" outlineLevel="0" collapsed="false">
      <c r="A142" s="4" t="s">
        <v>373</v>
      </c>
      <c r="B142" s="4" t="s">
        <v>374</v>
      </c>
      <c r="C142" s="4" t="s">
        <v>41</v>
      </c>
      <c r="D142" s="4" t="s">
        <v>42</v>
      </c>
      <c r="E142" s="5" t="n">
        <v>79.95</v>
      </c>
      <c r="F142" s="5" t="n">
        <v>159.95</v>
      </c>
      <c r="G142" s="6" t="n">
        <v>0.500156298843389</v>
      </c>
      <c r="H142" s="5" t="n">
        <v>69.95</v>
      </c>
      <c r="I142" s="5" t="n">
        <v>139.95</v>
      </c>
      <c r="J142" s="5" t="n">
        <f aca="false">H142-E142</f>
        <v>-10</v>
      </c>
      <c r="K142" s="6" t="n">
        <f aca="false">IF(E142=0,0,J142/E142)</f>
        <v>-0.125078173858662</v>
      </c>
    </row>
    <row r="143" customFormat="false" ht="15" hidden="false" customHeight="false" outlineLevel="0" collapsed="false">
      <c r="A143" s="4" t="s">
        <v>375</v>
      </c>
      <c r="B143" s="4" t="s">
        <v>376</v>
      </c>
      <c r="C143" s="4" t="s">
        <v>41</v>
      </c>
      <c r="D143" s="4" t="s">
        <v>42</v>
      </c>
      <c r="E143" s="5" t="n">
        <v>79.95</v>
      </c>
      <c r="F143" s="5" t="n">
        <v>159.95</v>
      </c>
      <c r="G143" s="6" t="n">
        <v>0.500156298843389</v>
      </c>
      <c r="H143" s="5" t="n">
        <v>69.95</v>
      </c>
      <c r="I143" s="5" t="n">
        <v>139.95</v>
      </c>
      <c r="J143" s="5" t="n">
        <f aca="false">H143-E143</f>
        <v>-10</v>
      </c>
      <c r="K143" s="6" t="n">
        <f aca="false">IF(E143=0,0,J143/E143)</f>
        <v>-0.125078173858662</v>
      </c>
    </row>
    <row r="144" customFormat="false" ht="15" hidden="false" customHeight="false" outlineLevel="0" collapsed="false">
      <c r="A144" s="4" t="s">
        <v>377</v>
      </c>
      <c r="B144" s="4" t="s">
        <v>378</v>
      </c>
      <c r="C144" s="4" t="s">
        <v>41</v>
      </c>
      <c r="D144" s="4" t="s">
        <v>42</v>
      </c>
      <c r="E144" s="5" t="n">
        <v>84.95</v>
      </c>
      <c r="F144" s="5" t="n">
        <v>155.95</v>
      </c>
      <c r="G144" s="6" t="n">
        <v>0.455274126322539</v>
      </c>
      <c r="H144" s="5" t="n">
        <v>69.95</v>
      </c>
      <c r="I144" s="5" t="n">
        <v>128.95</v>
      </c>
      <c r="J144" s="5" t="n">
        <f aca="false">H144-E144</f>
        <v>-15</v>
      </c>
      <c r="K144" s="6" t="n">
        <f aca="false">IF(E144=0,0,J144/E144)</f>
        <v>-0.176574455562095</v>
      </c>
    </row>
    <row r="145" customFormat="false" ht="15" hidden="false" customHeight="false" outlineLevel="0" collapsed="false">
      <c r="A145" s="4" t="s">
        <v>379</v>
      </c>
      <c r="B145" s="4" t="s">
        <v>380</v>
      </c>
      <c r="C145" s="4" t="s">
        <v>41</v>
      </c>
      <c r="D145" s="4" t="s">
        <v>42</v>
      </c>
      <c r="E145" s="5" t="n">
        <v>84.95</v>
      </c>
      <c r="F145" s="5" t="n">
        <v>142.95</v>
      </c>
      <c r="G145" s="6" t="n">
        <v>0.405736271423575</v>
      </c>
      <c r="H145" s="5" t="n">
        <v>69.95</v>
      </c>
      <c r="I145" s="5" t="n">
        <v>117.95</v>
      </c>
      <c r="J145" s="5" t="n">
        <f aca="false">H145-E145</f>
        <v>-15</v>
      </c>
      <c r="K145" s="6" t="n">
        <f aca="false">IF(E145=0,0,J145/E145)</f>
        <v>-0.176574455562095</v>
      </c>
    </row>
    <row r="146" customFormat="false" ht="15" hidden="false" customHeight="false" outlineLevel="0" collapsed="false">
      <c r="A146" s="4" t="s">
        <v>381</v>
      </c>
      <c r="B146" s="4" t="s">
        <v>382</v>
      </c>
      <c r="C146" s="4" t="s">
        <v>41</v>
      </c>
      <c r="D146" s="4" t="s">
        <v>42</v>
      </c>
      <c r="E146" s="5" t="n">
        <v>79.95</v>
      </c>
      <c r="F146" s="5" t="n">
        <v>159.95</v>
      </c>
      <c r="G146" s="6" t="n">
        <v>0.500156298843389</v>
      </c>
      <c r="H146" s="5" t="n">
        <v>69.95</v>
      </c>
      <c r="I146" s="5" t="n">
        <v>139.95</v>
      </c>
      <c r="J146" s="5" t="n">
        <f aca="false">H146-E146</f>
        <v>-10</v>
      </c>
      <c r="K146" s="6" t="n">
        <f aca="false">IF(E146=0,0,J146/E146)</f>
        <v>-0.125078173858662</v>
      </c>
    </row>
    <row r="147" customFormat="false" ht="15" hidden="false" customHeight="false" outlineLevel="0" collapsed="false">
      <c r="A147" s="4" t="s">
        <v>383</v>
      </c>
      <c r="B147" s="4" t="s">
        <v>384</v>
      </c>
      <c r="C147" s="4" t="s">
        <v>41</v>
      </c>
      <c r="D147" s="4" t="s">
        <v>42</v>
      </c>
      <c r="E147" s="5" t="n">
        <v>84.95</v>
      </c>
      <c r="F147" s="5" t="n">
        <v>142.95</v>
      </c>
      <c r="G147" s="6" t="n">
        <v>0.405736271423575</v>
      </c>
      <c r="H147" s="5" t="n">
        <v>69.95</v>
      </c>
      <c r="I147" s="5" t="n">
        <v>117.95</v>
      </c>
      <c r="J147" s="5" t="n">
        <f aca="false">H147-E147</f>
        <v>-15</v>
      </c>
      <c r="K147" s="6" t="n">
        <f aca="false">IF(E147=0,0,J147/E147)</f>
        <v>-0.176574455562095</v>
      </c>
    </row>
    <row r="148" customFormat="false" ht="15" hidden="false" customHeight="false" outlineLevel="0" collapsed="false">
      <c r="A148" s="4" t="s">
        <v>385</v>
      </c>
      <c r="B148" s="4" t="s">
        <v>386</v>
      </c>
      <c r="C148" s="4" t="s">
        <v>41</v>
      </c>
      <c r="D148" s="4" t="s">
        <v>42</v>
      </c>
      <c r="E148" s="5" t="n">
        <v>84.95</v>
      </c>
      <c r="F148" s="5" t="n">
        <v>155.95</v>
      </c>
      <c r="G148" s="6" t="n">
        <v>0.455274126322539</v>
      </c>
      <c r="H148" s="5" t="n">
        <v>69.95</v>
      </c>
      <c r="I148" s="5" t="n">
        <v>128.95</v>
      </c>
      <c r="J148" s="5" t="n">
        <f aca="false">H148-E148</f>
        <v>-15</v>
      </c>
      <c r="K148" s="6" t="n">
        <f aca="false">IF(E148=0,0,J148/E148)</f>
        <v>-0.176574455562095</v>
      </c>
    </row>
    <row r="149" customFormat="false" ht="15" hidden="false" customHeight="false" outlineLevel="0" collapsed="false">
      <c r="A149" s="4" t="s">
        <v>387</v>
      </c>
      <c r="B149" s="4" t="s">
        <v>388</v>
      </c>
      <c r="C149" s="4" t="s">
        <v>41</v>
      </c>
      <c r="D149" s="4" t="s">
        <v>42</v>
      </c>
      <c r="E149" s="5" t="n">
        <v>79.95</v>
      </c>
      <c r="F149" s="5" t="n">
        <v>134.95</v>
      </c>
      <c r="G149" s="6" t="n">
        <v>0.407558354946276</v>
      </c>
      <c r="H149" s="5" t="n">
        <v>69.95</v>
      </c>
      <c r="I149" s="5" t="n">
        <v>118.95</v>
      </c>
      <c r="J149" s="5" t="n">
        <f aca="false">H149-E149</f>
        <v>-10</v>
      </c>
      <c r="K149" s="6" t="n">
        <f aca="false">IF(E149=0,0,J149/E149)</f>
        <v>-0.125078173858662</v>
      </c>
    </row>
    <row r="150" customFormat="false" ht="15" hidden="false" customHeight="false" outlineLevel="0" collapsed="false">
      <c r="A150" s="4" t="s">
        <v>389</v>
      </c>
      <c r="B150" s="4" t="s">
        <v>390</v>
      </c>
      <c r="C150" s="4" t="s">
        <v>43</v>
      </c>
      <c r="D150" s="4" t="s">
        <v>44</v>
      </c>
      <c r="E150" s="5" t="n">
        <v>99.95</v>
      </c>
      <c r="F150" s="5" t="n">
        <v>199.95</v>
      </c>
      <c r="G150" s="6" t="n">
        <v>0.500125031257814</v>
      </c>
      <c r="H150" s="5" t="n">
        <v>74.95</v>
      </c>
      <c r="I150" s="5" t="n">
        <v>149.95</v>
      </c>
      <c r="J150" s="5" t="n">
        <f aca="false">H150-E150</f>
        <v>-25</v>
      </c>
      <c r="K150" s="6" t="n">
        <f aca="false">IF(E150=0,0,J150/E150)</f>
        <v>-0.250125062531266</v>
      </c>
    </row>
    <row r="151" customFormat="false" ht="15" hidden="false" customHeight="false" outlineLevel="0" collapsed="false">
      <c r="A151" s="4" t="s">
        <v>391</v>
      </c>
      <c r="B151" s="4" t="s">
        <v>392</v>
      </c>
      <c r="C151" s="4" t="s">
        <v>43</v>
      </c>
      <c r="D151" s="4" t="s">
        <v>44</v>
      </c>
      <c r="E151" s="5" t="n">
        <v>99.95</v>
      </c>
      <c r="F151" s="5" t="n">
        <v>182.95</v>
      </c>
      <c r="G151" s="6" t="n">
        <v>0.453675867723422</v>
      </c>
      <c r="H151" s="5" t="n">
        <v>74.95</v>
      </c>
      <c r="I151" s="5" t="n">
        <v>137.95</v>
      </c>
      <c r="J151" s="5" t="n">
        <f aca="false">H151-E151</f>
        <v>-25</v>
      </c>
      <c r="K151" s="6" t="n">
        <f aca="false">IF(E151=0,0,J151/E151)</f>
        <v>-0.250125062531266</v>
      </c>
    </row>
    <row r="152" customFormat="false" ht="15" hidden="false" customHeight="false" outlineLevel="0" collapsed="false">
      <c r="A152" s="4" t="s">
        <v>393</v>
      </c>
      <c r="B152" s="4" t="s">
        <v>394</v>
      </c>
      <c r="C152" s="4" t="s">
        <v>43</v>
      </c>
      <c r="D152" s="4" t="s">
        <v>44</v>
      </c>
      <c r="E152" s="5" t="n">
        <v>79.95</v>
      </c>
      <c r="F152" s="5" t="n">
        <v>146.95</v>
      </c>
      <c r="G152" s="6" t="n">
        <v>0.455937393671317</v>
      </c>
      <c r="H152" s="5" t="n">
        <v>74.95</v>
      </c>
      <c r="I152" s="5" t="n">
        <v>137.95</v>
      </c>
      <c r="J152" s="5" t="n">
        <f aca="false">H152-E152</f>
        <v>-5</v>
      </c>
      <c r="K152" s="6" t="n">
        <f aca="false">IF(E152=0,0,J152/E152)</f>
        <v>-0.0625390869293308</v>
      </c>
    </row>
    <row r="153" customFormat="false" ht="15" hidden="false" customHeight="false" outlineLevel="0" collapsed="false">
      <c r="A153" s="4" t="s">
        <v>395</v>
      </c>
      <c r="B153" s="4" t="s">
        <v>396</v>
      </c>
      <c r="C153" s="4" t="s">
        <v>43</v>
      </c>
      <c r="D153" s="4" t="s">
        <v>44</v>
      </c>
      <c r="E153" s="5" t="n">
        <v>99.95</v>
      </c>
      <c r="F153" s="5" t="n">
        <v>199.95</v>
      </c>
      <c r="G153" s="6" t="n">
        <v>0.500125031257814</v>
      </c>
      <c r="H153" s="5" t="n">
        <v>74.95</v>
      </c>
      <c r="I153" s="5" t="n">
        <v>149.95</v>
      </c>
      <c r="J153" s="5" t="n">
        <f aca="false">H153-E153</f>
        <v>-25</v>
      </c>
      <c r="K153" s="6" t="n">
        <f aca="false">IF(E153=0,0,J153/E153)</f>
        <v>-0.250125062531266</v>
      </c>
    </row>
    <row r="154" customFormat="false" ht="15" hidden="false" customHeight="false" outlineLevel="0" collapsed="false">
      <c r="A154" s="4" t="s">
        <v>397</v>
      </c>
      <c r="B154" s="4" t="s">
        <v>398</v>
      </c>
      <c r="C154" s="4" t="s">
        <v>43</v>
      </c>
      <c r="D154" s="4" t="s">
        <v>44</v>
      </c>
      <c r="E154" s="5" t="n">
        <v>99.95</v>
      </c>
      <c r="F154" s="5" t="n">
        <v>182.95</v>
      </c>
      <c r="G154" s="6" t="n">
        <v>0.453675867723422</v>
      </c>
      <c r="H154" s="5" t="n">
        <v>74.95</v>
      </c>
      <c r="I154" s="5" t="n">
        <v>137.95</v>
      </c>
      <c r="J154" s="5" t="n">
        <f aca="false">H154-E154</f>
        <v>-25</v>
      </c>
      <c r="K154" s="6" t="n">
        <f aca="false">IF(E154=0,0,J154/E154)</f>
        <v>-0.250125062531266</v>
      </c>
    </row>
    <row r="155" customFormat="false" ht="15" hidden="false" customHeight="false" outlineLevel="0" collapsed="false">
      <c r="A155" s="4" t="s">
        <v>399</v>
      </c>
      <c r="B155" s="4" t="s">
        <v>400</v>
      </c>
      <c r="C155" s="4" t="s">
        <v>43</v>
      </c>
      <c r="D155" s="4" t="s">
        <v>44</v>
      </c>
      <c r="E155" s="5" t="n">
        <v>89.95</v>
      </c>
      <c r="F155" s="5" t="n">
        <v>164.95</v>
      </c>
      <c r="G155" s="6" t="n">
        <v>0.45468323734465</v>
      </c>
      <c r="H155" s="5" t="n">
        <v>74.95</v>
      </c>
      <c r="I155" s="5" t="n">
        <v>137.95</v>
      </c>
      <c r="J155" s="5" t="n">
        <f aca="false">H155-E155</f>
        <v>-15</v>
      </c>
      <c r="K155" s="6" t="n">
        <f aca="false">IF(E155=0,0,J155/E155)</f>
        <v>-0.166759310728182</v>
      </c>
    </row>
    <row r="156" customFormat="false" ht="15" hidden="false" customHeight="false" outlineLevel="0" collapsed="false">
      <c r="A156" s="4" t="s">
        <v>401</v>
      </c>
      <c r="B156" s="4" t="s">
        <v>402</v>
      </c>
      <c r="C156" s="4" t="s">
        <v>43</v>
      </c>
      <c r="D156" s="4" t="s">
        <v>44</v>
      </c>
      <c r="E156" s="5" t="n">
        <v>89.95</v>
      </c>
      <c r="F156" s="5" t="n">
        <v>164.95</v>
      </c>
      <c r="G156" s="6" t="n">
        <v>0.45468323734465</v>
      </c>
      <c r="H156" s="5" t="n">
        <v>74.95</v>
      </c>
      <c r="I156" s="5" t="n">
        <v>137.95</v>
      </c>
      <c r="J156" s="5" t="n">
        <f aca="false">H156-E156</f>
        <v>-15</v>
      </c>
      <c r="K156" s="6" t="n">
        <f aca="false">IF(E156=0,0,J156/E156)</f>
        <v>-0.166759310728182</v>
      </c>
    </row>
    <row r="157" customFormat="false" ht="15" hidden="false" customHeight="false" outlineLevel="0" collapsed="false">
      <c r="A157" s="4" t="s">
        <v>403</v>
      </c>
      <c r="B157" s="4" t="s">
        <v>404</v>
      </c>
      <c r="C157" s="4" t="s">
        <v>43</v>
      </c>
      <c r="D157" s="4" t="s">
        <v>44</v>
      </c>
      <c r="E157" s="5" t="n">
        <v>99.95</v>
      </c>
      <c r="F157" s="5" t="n">
        <v>167.95</v>
      </c>
      <c r="G157" s="6" t="n">
        <v>0.404882405477821</v>
      </c>
      <c r="H157" s="5" t="n">
        <v>74.95</v>
      </c>
      <c r="I157" s="5" t="n">
        <v>125.95</v>
      </c>
      <c r="J157" s="5" t="n">
        <f aca="false">H157-E157</f>
        <v>-25</v>
      </c>
      <c r="K157" s="6" t="n">
        <f aca="false">IF(E157=0,0,J157/E157)</f>
        <v>-0.250125062531266</v>
      </c>
    </row>
    <row r="158" customFormat="false" ht="15" hidden="false" customHeight="false" outlineLevel="0" collapsed="false">
      <c r="A158" s="4" t="s">
        <v>405</v>
      </c>
      <c r="B158" s="4" t="s">
        <v>406</v>
      </c>
      <c r="C158" s="4" t="s">
        <v>43</v>
      </c>
      <c r="D158" s="4" t="s">
        <v>44</v>
      </c>
      <c r="E158" s="5" t="n">
        <v>99.95</v>
      </c>
      <c r="F158" s="5" t="n">
        <v>199.95</v>
      </c>
      <c r="G158" s="6" t="n">
        <v>0.500125031257814</v>
      </c>
      <c r="H158" s="5" t="n">
        <v>74.95</v>
      </c>
      <c r="I158" s="5" t="n">
        <v>149.95</v>
      </c>
      <c r="J158" s="5" t="n">
        <f aca="false">H158-E158</f>
        <v>-25</v>
      </c>
      <c r="K158" s="6" t="n">
        <f aca="false">IF(E158=0,0,J158/E158)</f>
        <v>-0.250125062531266</v>
      </c>
    </row>
    <row r="159" customFormat="false" ht="15" hidden="false" customHeight="false" outlineLevel="0" collapsed="false">
      <c r="A159" s="4" t="s">
        <v>407</v>
      </c>
      <c r="B159" s="4" t="s">
        <v>408</v>
      </c>
      <c r="C159" s="4" t="s">
        <v>43</v>
      </c>
      <c r="D159" s="4" t="s">
        <v>44</v>
      </c>
      <c r="E159" s="5" t="n">
        <v>99.95</v>
      </c>
      <c r="F159" s="5" t="n">
        <v>199.95</v>
      </c>
      <c r="G159" s="6" t="n">
        <v>0.500125031257814</v>
      </c>
      <c r="H159" s="5" t="n">
        <v>74.95</v>
      </c>
      <c r="I159" s="5" t="n">
        <v>149.95</v>
      </c>
      <c r="J159" s="5" t="n">
        <f aca="false">H159-E159</f>
        <v>-25</v>
      </c>
      <c r="K159" s="6" t="n">
        <f aca="false">IF(E159=0,0,J159/E159)</f>
        <v>-0.250125062531266</v>
      </c>
    </row>
    <row r="160" customFormat="false" ht="15" hidden="false" customHeight="false" outlineLevel="0" collapsed="false">
      <c r="A160" s="4" t="s">
        <v>409</v>
      </c>
      <c r="B160" s="4" t="s">
        <v>410</v>
      </c>
      <c r="C160" s="4" t="s">
        <v>43</v>
      </c>
      <c r="D160" s="4" t="s">
        <v>44</v>
      </c>
      <c r="E160" s="5" t="n">
        <v>79.95</v>
      </c>
      <c r="F160" s="5" t="n">
        <v>159.95</v>
      </c>
      <c r="G160" s="6" t="n">
        <v>0.500156298843389</v>
      </c>
      <c r="H160" s="5" t="n">
        <v>74.95</v>
      </c>
      <c r="I160" s="5" t="n">
        <v>149.95</v>
      </c>
      <c r="J160" s="5" t="n">
        <f aca="false">H160-E160</f>
        <v>-5</v>
      </c>
      <c r="K160" s="6" t="n">
        <f aca="false">IF(E160=0,0,J160/E160)</f>
        <v>-0.0625390869293308</v>
      </c>
    </row>
    <row r="161" customFormat="false" ht="15" hidden="false" customHeight="false" outlineLevel="0" collapsed="false">
      <c r="A161" s="4" t="s">
        <v>411</v>
      </c>
      <c r="B161" s="4" t="s">
        <v>412</v>
      </c>
      <c r="C161" s="4" t="s">
        <v>43</v>
      </c>
      <c r="D161" s="4" t="s">
        <v>44</v>
      </c>
      <c r="E161" s="5" t="n">
        <v>99.95</v>
      </c>
      <c r="F161" s="5" t="n">
        <v>199.95</v>
      </c>
      <c r="G161" s="6" t="n">
        <v>0.500125031257814</v>
      </c>
      <c r="H161" s="5" t="n">
        <v>74.95</v>
      </c>
      <c r="I161" s="5" t="n">
        <v>149.95</v>
      </c>
      <c r="J161" s="5" t="n">
        <f aca="false">H161-E161</f>
        <v>-25</v>
      </c>
      <c r="K161" s="6" t="n">
        <f aca="false">IF(E161=0,0,J161/E161)</f>
        <v>-0.250125062531266</v>
      </c>
    </row>
    <row r="162" customFormat="false" ht="15" hidden="false" customHeight="false" outlineLevel="0" collapsed="false">
      <c r="A162" s="4" t="s">
        <v>413</v>
      </c>
      <c r="B162" s="4" t="s">
        <v>414</v>
      </c>
      <c r="C162" s="4" t="s">
        <v>43</v>
      </c>
      <c r="D162" s="4" t="s">
        <v>44</v>
      </c>
      <c r="E162" s="5" t="n">
        <v>99.95</v>
      </c>
      <c r="F162" s="5" t="n">
        <v>199.95</v>
      </c>
      <c r="G162" s="6" t="n">
        <v>0.500125031257814</v>
      </c>
      <c r="H162" s="5" t="n">
        <v>74.95</v>
      </c>
      <c r="I162" s="5" t="n">
        <v>149.95</v>
      </c>
      <c r="J162" s="5" t="n">
        <f aca="false">H162-E162</f>
        <v>-25</v>
      </c>
      <c r="K162" s="6" t="n">
        <f aca="false">IF(E162=0,0,J162/E162)</f>
        <v>-0.250125062531266</v>
      </c>
    </row>
    <row r="163" customFormat="false" ht="15" hidden="false" customHeight="false" outlineLevel="0" collapsed="false">
      <c r="A163" s="4" t="s">
        <v>415</v>
      </c>
      <c r="B163" s="4" t="s">
        <v>416</v>
      </c>
      <c r="C163" s="4" t="s">
        <v>45</v>
      </c>
      <c r="D163" s="4" t="s">
        <v>46</v>
      </c>
      <c r="E163" s="5" t="n">
        <v>84.95</v>
      </c>
      <c r="F163" s="5" t="n">
        <v>169.95</v>
      </c>
      <c r="G163" s="6" t="n">
        <v>0.50014710208885</v>
      </c>
      <c r="H163" s="5" t="n">
        <v>84.95</v>
      </c>
      <c r="I163" s="5" t="n">
        <v>169.95</v>
      </c>
      <c r="J163" s="5" t="n">
        <f aca="false">H163-E163</f>
        <v>0</v>
      </c>
      <c r="K163" s="6" t="n">
        <f aca="false">IF(E163=0,0,J163/E163)</f>
        <v>0</v>
      </c>
    </row>
    <row r="164" customFormat="false" ht="15" hidden="false" customHeight="false" outlineLevel="0" collapsed="false">
      <c r="A164" s="4" t="s">
        <v>417</v>
      </c>
      <c r="B164" s="4" t="s">
        <v>418</v>
      </c>
      <c r="C164" s="4" t="s">
        <v>45</v>
      </c>
      <c r="D164" s="4" t="s">
        <v>46</v>
      </c>
      <c r="E164" s="5" t="n">
        <v>84.95</v>
      </c>
      <c r="F164" s="5" t="n">
        <v>142.95</v>
      </c>
      <c r="G164" s="6" t="n">
        <v>0.405736271423575</v>
      </c>
      <c r="H164" s="5" t="n">
        <v>84.95</v>
      </c>
      <c r="I164" s="5" t="n">
        <v>142.95</v>
      </c>
      <c r="J164" s="5" t="n">
        <f aca="false">H164-E164</f>
        <v>0</v>
      </c>
      <c r="K164" s="6" t="n">
        <f aca="false">IF(E164=0,0,J164/E164)</f>
        <v>0</v>
      </c>
    </row>
    <row r="165" customFormat="false" ht="15" hidden="false" customHeight="false" outlineLevel="0" collapsed="false">
      <c r="A165" s="4" t="s">
        <v>419</v>
      </c>
      <c r="B165" s="4" t="s">
        <v>420</v>
      </c>
      <c r="C165" s="4" t="s">
        <v>45</v>
      </c>
      <c r="D165" s="4" t="s">
        <v>46</v>
      </c>
      <c r="E165" s="5" t="n">
        <v>99.95</v>
      </c>
      <c r="F165" s="5" t="n">
        <v>182.95</v>
      </c>
      <c r="G165" s="6" t="n">
        <v>0.453675867723422</v>
      </c>
      <c r="H165" s="5" t="n">
        <v>84.95</v>
      </c>
      <c r="I165" s="5" t="n">
        <v>155.95</v>
      </c>
      <c r="J165" s="5" t="n">
        <f aca="false">H165-E165</f>
        <v>-15</v>
      </c>
      <c r="K165" s="6" t="n">
        <f aca="false">IF(E165=0,0,J165/E165)</f>
        <v>-0.150075037518759</v>
      </c>
    </row>
    <row r="166" customFormat="false" ht="15" hidden="false" customHeight="false" outlineLevel="0" collapsed="false">
      <c r="A166" s="4" t="s">
        <v>421</v>
      </c>
      <c r="B166" s="4" t="s">
        <v>422</v>
      </c>
      <c r="C166" s="4" t="s">
        <v>45</v>
      </c>
      <c r="D166" s="4" t="s">
        <v>46</v>
      </c>
      <c r="E166" s="5" t="n">
        <v>104.95</v>
      </c>
      <c r="F166" s="5" t="n">
        <v>209.95</v>
      </c>
      <c r="G166" s="6" t="n">
        <v>0.500119075970469</v>
      </c>
      <c r="H166" s="5" t="n">
        <v>89.95</v>
      </c>
      <c r="I166" s="5" t="n">
        <v>179.95</v>
      </c>
      <c r="J166" s="5" t="n">
        <f aca="false">H166-E166</f>
        <v>-15</v>
      </c>
      <c r="K166" s="6" t="n">
        <f aca="false">IF(E166=0,0,J166/E166)</f>
        <v>-0.14292520247737</v>
      </c>
    </row>
    <row r="167" customFormat="false" ht="15" hidden="false" customHeight="false" outlineLevel="0" collapsed="false">
      <c r="A167" s="4" t="s">
        <v>423</v>
      </c>
      <c r="B167" s="4" t="s">
        <v>424</v>
      </c>
      <c r="C167" s="4" t="s">
        <v>45</v>
      </c>
      <c r="D167" s="4" t="s">
        <v>46</v>
      </c>
      <c r="E167" s="5" t="n">
        <v>84.95</v>
      </c>
      <c r="F167" s="5" t="n">
        <v>155.95</v>
      </c>
      <c r="G167" s="6" t="n">
        <v>0.455274126322539</v>
      </c>
      <c r="H167" s="5" t="n">
        <v>84.95</v>
      </c>
      <c r="I167" s="5" t="n">
        <v>155.95</v>
      </c>
      <c r="J167" s="5" t="n">
        <f aca="false">H167-E167</f>
        <v>0</v>
      </c>
      <c r="K167" s="6" t="n">
        <f aca="false">IF(E167=0,0,J167/E167)</f>
        <v>0</v>
      </c>
    </row>
    <row r="168" customFormat="false" ht="15" hidden="false" customHeight="false" outlineLevel="0" collapsed="false">
      <c r="A168" s="4" t="s">
        <v>425</v>
      </c>
      <c r="B168" s="4" t="s">
        <v>426</v>
      </c>
      <c r="C168" s="4" t="s">
        <v>45</v>
      </c>
      <c r="D168" s="4" t="s">
        <v>46</v>
      </c>
      <c r="E168" s="5" t="n">
        <v>99.95</v>
      </c>
      <c r="F168" s="5" t="n">
        <v>182.95</v>
      </c>
      <c r="G168" s="6" t="n">
        <v>0.453675867723422</v>
      </c>
      <c r="H168" s="5" t="n">
        <v>84.95</v>
      </c>
      <c r="I168" s="5" t="n">
        <v>155.95</v>
      </c>
      <c r="J168" s="5" t="n">
        <f aca="false">H168-E168</f>
        <v>-15</v>
      </c>
      <c r="K168" s="6" t="n">
        <f aca="false">IF(E168=0,0,J168/E168)</f>
        <v>-0.150075037518759</v>
      </c>
    </row>
    <row r="169" customFormat="false" ht="15" hidden="false" customHeight="false" outlineLevel="0" collapsed="false">
      <c r="A169" s="4" t="s">
        <v>427</v>
      </c>
      <c r="B169" s="4" t="s">
        <v>428</v>
      </c>
      <c r="C169" s="4" t="s">
        <v>45</v>
      </c>
      <c r="D169" s="4" t="s">
        <v>46</v>
      </c>
      <c r="E169" s="5" t="n">
        <v>99.95</v>
      </c>
      <c r="F169" s="5" t="n">
        <v>167.95</v>
      </c>
      <c r="G169" s="6" t="n">
        <v>0.404882405477821</v>
      </c>
      <c r="H169" s="5" t="n">
        <v>84.95</v>
      </c>
      <c r="I169" s="5" t="n">
        <v>142.95</v>
      </c>
      <c r="J169" s="5" t="n">
        <f aca="false">H169-E169</f>
        <v>-15</v>
      </c>
      <c r="K169" s="6" t="n">
        <f aca="false">IF(E169=0,0,J169/E169)</f>
        <v>-0.150075037518759</v>
      </c>
    </row>
    <row r="170" customFormat="false" ht="15" hidden="false" customHeight="false" outlineLevel="0" collapsed="false">
      <c r="A170" s="4" t="s">
        <v>429</v>
      </c>
      <c r="B170" s="4" t="s">
        <v>430</v>
      </c>
      <c r="C170" s="4" t="s">
        <v>45</v>
      </c>
      <c r="D170" s="4" t="s">
        <v>46</v>
      </c>
      <c r="E170" s="5" t="n">
        <v>109.95</v>
      </c>
      <c r="F170" s="5" t="n">
        <v>199.95</v>
      </c>
      <c r="G170" s="6" t="n">
        <v>0.450112528132033</v>
      </c>
      <c r="H170" s="5" t="n">
        <v>89.95</v>
      </c>
      <c r="I170" s="5" t="n">
        <v>163.95</v>
      </c>
      <c r="J170" s="5" t="n">
        <f aca="false">H170-E170</f>
        <v>-20</v>
      </c>
      <c r="K170" s="6" t="n">
        <f aca="false">IF(E170=0,0,J170/E170)</f>
        <v>-0.181900864029104</v>
      </c>
    </row>
    <row r="171" customFormat="false" ht="15" hidden="false" customHeight="false" outlineLevel="0" collapsed="false">
      <c r="A171" s="4" t="s">
        <v>431</v>
      </c>
      <c r="B171" s="4" t="s">
        <v>432</v>
      </c>
      <c r="C171" s="4" t="s">
        <v>45</v>
      </c>
      <c r="D171" s="4" t="s">
        <v>46</v>
      </c>
      <c r="E171" s="5" t="n">
        <v>109.95</v>
      </c>
      <c r="F171" s="5" t="n">
        <v>199.95</v>
      </c>
      <c r="G171" s="6" t="n">
        <v>0.450112528132033</v>
      </c>
      <c r="H171" s="5" t="n">
        <v>89.95</v>
      </c>
      <c r="I171" s="5" t="n">
        <v>163.95</v>
      </c>
      <c r="J171" s="5" t="n">
        <f aca="false">H171-E171</f>
        <v>-20</v>
      </c>
      <c r="K171" s="6" t="n">
        <f aca="false">IF(E171=0,0,J171/E171)</f>
        <v>-0.181900864029104</v>
      </c>
    </row>
    <row r="172" customFormat="false" ht="15" hidden="false" customHeight="false" outlineLevel="0" collapsed="false">
      <c r="A172" s="4" t="s">
        <v>433</v>
      </c>
      <c r="B172" s="4" t="s">
        <v>434</v>
      </c>
      <c r="C172" s="4" t="s">
        <v>45</v>
      </c>
      <c r="D172" s="4" t="s">
        <v>46</v>
      </c>
      <c r="E172" s="5" t="n">
        <v>84.95</v>
      </c>
      <c r="F172" s="5" t="n">
        <v>142.95</v>
      </c>
      <c r="G172" s="6" t="n">
        <v>0.405736271423575</v>
      </c>
      <c r="H172" s="5" t="n">
        <v>84.95</v>
      </c>
      <c r="I172" s="5" t="n">
        <v>142.95</v>
      </c>
      <c r="J172" s="5" t="n">
        <f aca="false">H172-E172</f>
        <v>0</v>
      </c>
      <c r="K172" s="6" t="n">
        <f aca="false">IF(E172=0,0,J172/E172)</f>
        <v>0</v>
      </c>
    </row>
    <row r="173" customFormat="false" ht="15" hidden="false" customHeight="false" outlineLevel="0" collapsed="false">
      <c r="A173" s="4" t="s">
        <v>435</v>
      </c>
      <c r="B173" s="4" t="s">
        <v>436</v>
      </c>
      <c r="C173" s="4" t="s">
        <v>47</v>
      </c>
      <c r="D173" s="4" t="s">
        <v>48</v>
      </c>
      <c r="E173" s="5" t="n">
        <v>79.95</v>
      </c>
      <c r="F173" s="5" t="n">
        <v>134.95</v>
      </c>
      <c r="G173" s="6" t="n">
        <v>0.407558354946276</v>
      </c>
      <c r="H173" s="5" t="n">
        <v>64.95</v>
      </c>
      <c r="I173" s="5" t="n">
        <v>109.95</v>
      </c>
      <c r="J173" s="5" t="n">
        <f aca="false">H173-E173</f>
        <v>-15</v>
      </c>
      <c r="K173" s="6" t="n">
        <f aca="false">IF(E173=0,0,J173/E173)</f>
        <v>-0.187617260787992</v>
      </c>
    </row>
    <row r="174" customFormat="false" ht="15" hidden="false" customHeight="false" outlineLevel="0" collapsed="false">
      <c r="A174" s="4" t="s">
        <v>437</v>
      </c>
      <c r="B174" s="4" t="s">
        <v>438</v>
      </c>
      <c r="C174" s="4" t="s">
        <v>47</v>
      </c>
      <c r="D174" s="4" t="s">
        <v>48</v>
      </c>
      <c r="E174" s="5" t="n">
        <v>84.95</v>
      </c>
      <c r="F174" s="5" t="n">
        <v>155.95</v>
      </c>
      <c r="G174" s="6" t="n">
        <v>0.455274126322539</v>
      </c>
      <c r="H174" s="5" t="n">
        <v>64.95</v>
      </c>
      <c r="I174" s="5" t="n">
        <v>119.95</v>
      </c>
      <c r="J174" s="5" t="n">
        <f aca="false">H174-E174</f>
        <v>-20</v>
      </c>
      <c r="K174" s="6" t="n">
        <f aca="false">IF(E174=0,0,J174/E174)</f>
        <v>-0.235432607416127</v>
      </c>
    </row>
    <row r="175" customFormat="false" ht="15" hidden="false" customHeight="false" outlineLevel="0" collapsed="false">
      <c r="A175" s="4" t="s">
        <v>439</v>
      </c>
      <c r="B175" s="4" t="s">
        <v>440</v>
      </c>
      <c r="C175" s="4" t="s">
        <v>49</v>
      </c>
      <c r="D175" s="4" t="s">
        <v>50</v>
      </c>
      <c r="E175" s="5" t="n">
        <v>79.95</v>
      </c>
      <c r="F175" s="5" t="n">
        <v>146.95</v>
      </c>
      <c r="G175" s="6" t="n">
        <v>0.455937393671317</v>
      </c>
      <c r="H175" s="5" t="n">
        <v>64.95</v>
      </c>
      <c r="I175" s="5" t="n">
        <v>119.95</v>
      </c>
      <c r="J175" s="5" t="n">
        <f aca="false">H175-E175</f>
        <v>-15</v>
      </c>
      <c r="K175" s="6" t="n">
        <f aca="false">IF(E175=0,0,J175/E175)</f>
        <v>-0.187617260787992</v>
      </c>
    </row>
    <row r="176" customFormat="false" ht="15" hidden="false" customHeight="false" outlineLevel="0" collapsed="false">
      <c r="A176" s="4" t="s">
        <v>441</v>
      </c>
      <c r="B176" s="4" t="s">
        <v>442</v>
      </c>
      <c r="C176" s="4" t="s">
        <v>49</v>
      </c>
      <c r="D176" s="4" t="s">
        <v>50</v>
      </c>
      <c r="E176" s="5" t="n">
        <v>79.95</v>
      </c>
      <c r="F176" s="5" t="n">
        <v>134.95</v>
      </c>
      <c r="G176" s="6" t="n">
        <v>0.407558354946276</v>
      </c>
      <c r="H176" s="5" t="n">
        <v>64.95</v>
      </c>
      <c r="I176" s="5" t="n">
        <v>109.95</v>
      </c>
      <c r="J176" s="5" t="n">
        <f aca="false">H176-E176</f>
        <v>-15</v>
      </c>
      <c r="K176" s="6" t="n">
        <f aca="false">IF(E176=0,0,J176/E176)</f>
        <v>-0.187617260787992</v>
      </c>
    </row>
    <row r="177" customFormat="false" ht="15" hidden="false" customHeight="false" outlineLevel="0" collapsed="false">
      <c r="A177" s="4" t="s">
        <v>443</v>
      </c>
      <c r="B177" s="4" t="s">
        <v>444</v>
      </c>
      <c r="C177" s="4" t="s">
        <v>49</v>
      </c>
      <c r="D177" s="4" t="s">
        <v>50</v>
      </c>
      <c r="E177" s="5" t="n">
        <v>89.95</v>
      </c>
      <c r="F177" s="5" t="n">
        <v>179.95</v>
      </c>
      <c r="G177" s="6" t="n">
        <v>0.500138927479855</v>
      </c>
      <c r="H177" s="5" t="n">
        <v>69.95</v>
      </c>
      <c r="I177" s="5" t="n">
        <v>139.95</v>
      </c>
      <c r="J177" s="5" t="n">
        <f aca="false">H177-E177</f>
        <v>-20</v>
      </c>
      <c r="K177" s="6" t="n">
        <f aca="false">IF(E177=0,0,J177/E177)</f>
        <v>-0.222345747637576</v>
      </c>
    </row>
    <row r="178" customFormat="false" ht="15" hidden="false" customHeight="false" outlineLevel="0" collapsed="false">
      <c r="A178" s="4" t="s">
        <v>445</v>
      </c>
      <c r="B178" s="4" t="s">
        <v>446</v>
      </c>
      <c r="C178" s="4" t="s">
        <v>49</v>
      </c>
      <c r="D178" s="4" t="s">
        <v>50</v>
      </c>
      <c r="E178" s="5" t="n">
        <v>79.95</v>
      </c>
      <c r="F178" s="5" t="n">
        <v>134.95</v>
      </c>
      <c r="G178" s="6" t="n">
        <v>0.407558354946276</v>
      </c>
      <c r="H178" s="5" t="n">
        <v>64.95</v>
      </c>
      <c r="I178" s="5" t="n">
        <v>109.95</v>
      </c>
      <c r="J178" s="5" t="n">
        <f aca="false">H178-E178</f>
        <v>-15</v>
      </c>
      <c r="K178" s="6" t="n">
        <f aca="false">IF(E178=0,0,J178/E178)</f>
        <v>-0.187617260787992</v>
      </c>
    </row>
    <row r="179" customFormat="false" ht="15" hidden="false" customHeight="false" outlineLevel="0" collapsed="false">
      <c r="A179" s="4" t="s">
        <v>447</v>
      </c>
      <c r="B179" s="4" t="s">
        <v>448</v>
      </c>
      <c r="C179" s="4" t="s">
        <v>49</v>
      </c>
      <c r="D179" s="4" t="s">
        <v>50</v>
      </c>
      <c r="E179" s="5" t="n">
        <v>79.95</v>
      </c>
      <c r="F179" s="5" t="n">
        <v>134.95</v>
      </c>
      <c r="G179" s="6" t="n">
        <v>0.407558354946276</v>
      </c>
      <c r="H179" s="5" t="n">
        <v>64.95</v>
      </c>
      <c r="I179" s="5" t="n">
        <v>109.95</v>
      </c>
      <c r="J179" s="5" t="n">
        <f aca="false">H179-E179</f>
        <v>-15</v>
      </c>
      <c r="K179" s="6" t="n">
        <f aca="false">IF(E179=0,0,J179/E179)</f>
        <v>-0.187617260787992</v>
      </c>
    </row>
    <row r="180" customFormat="false" ht="15" hidden="false" customHeight="false" outlineLevel="0" collapsed="false">
      <c r="A180" s="4" t="s">
        <v>449</v>
      </c>
      <c r="B180" s="4" t="s">
        <v>450</v>
      </c>
      <c r="C180" s="4" t="s">
        <v>49</v>
      </c>
      <c r="D180" s="4" t="s">
        <v>50</v>
      </c>
      <c r="E180" s="5" t="n">
        <v>79.95</v>
      </c>
      <c r="F180" s="5" t="n">
        <v>134.95</v>
      </c>
      <c r="G180" s="6" t="n">
        <v>0.407558354946276</v>
      </c>
      <c r="H180" s="5" t="n">
        <v>64.95</v>
      </c>
      <c r="I180" s="5" t="n">
        <v>109.95</v>
      </c>
      <c r="J180" s="5" t="n">
        <f aca="false">H180-E180</f>
        <v>-15</v>
      </c>
      <c r="K180" s="6" t="n">
        <f aca="false">IF(E180=0,0,J180/E180)</f>
        <v>-0.187617260787992</v>
      </c>
    </row>
    <row r="181" customFormat="false" ht="15" hidden="false" customHeight="false" outlineLevel="0" collapsed="false">
      <c r="A181" s="4" t="s">
        <v>451</v>
      </c>
      <c r="B181" s="4" t="s">
        <v>452</v>
      </c>
      <c r="C181" s="4" t="s">
        <v>49</v>
      </c>
      <c r="D181" s="4" t="s">
        <v>50</v>
      </c>
      <c r="E181" s="5" t="n">
        <v>84.95</v>
      </c>
      <c r="F181" s="5" t="n">
        <v>142.95</v>
      </c>
      <c r="G181" s="6" t="n">
        <v>0.405736271423575</v>
      </c>
      <c r="H181" s="5" t="n">
        <v>64.95</v>
      </c>
      <c r="I181" s="5" t="n">
        <v>109.95</v>
      </c>
      <c r="J181" s="5" t="n">
        <f aca="false">H181-E181</f>
        <v>-20</v>
      </c>
      <c r="K181" s="6" t="n">
        <f aca="false">IF(E181=0,0,J181/E181)</f>
        <v>-0.235432607416127</v>
      </c>
    </row>
    <row r="182" customFormat="false" ht="15" hidden="false" customHeight="false" outlineLevel="0" collapsed="false">
      <c r="A182" s="4" t="s">
        <v>453</v>
      </c>
      <c r="B182" s="4" t="s">
        <v>454</v>
      </c>
      <c r="C182" s="4" t="s">
        <v>49</v>
      </c>
      <c r="D182" s="4" t="s">
        <v>50</v>
      </c>
      <c r="E182" s="5" t="n">
        <v>84.95</v>
      </c>
      <c r="F182" s="5" t="n">
        <v>169.95</v>
      </c>
      <c r="G182" s="6" t="n">
        <v>0.50014710208885</v>
      </c>
      <c r="H182" s="5" t="n">
        <v>64.95</v>
      </c>
      <c r="I182" s="5" t="n">
        <v>129.95</v>
      </c>
      <c r="J182" s="5" t="n">
        <f aca="false">H182-E182</f>
        <v>-20</v>
      </c>
      <c r="K182" s="6" t="n">
        <f aca="false">IF(E182=0,0,J182/E182)</f>
        <v>-0.235432607416127</v>
      </c>
    </row>
    <row r="183" customFormat="false" ht="15" hidden="false" customHeight="false" outlineLevel="0" collapsed="false">
      <c r="A183" s="4" t="s">
        <v>455</v>
      </c>
      <c r="B183" s="4" t="s">
        <v>456</v>
      </c>
      <c r="C183" s="4" t="s">
        <v>49</v>
      </c>
      <c r="D183" s="4" t="s">
        <v>50</v>
      </c>
      <c r="E183" s="5" t="n">
        <v>59.95</v>
      </c>
      <c r="F183" s="5" t="n">
        <v>159.95</v>
      </c>
      <c r="G183" s="6" t="n">
        <v>0.625195373554236</v>
      </c>
      <c r="H183" s="5" t="n">
        <v>59.95</v>
      </c>
      <c r="I183" s="5" t="n">
        <v>159.95</v>
      </c>
      <c r="J183" s="5" t="n">
        <f aca="false">H183-E183</f>
        <v>0</v>
      </c>
      <c r="K183" s="6" t="n">
        <f aca="false">IF(E183=0,0,J183/E183)</f>
        <v>0</v>
      </c>
    </row>
    <row r="184" customFormat="false" ht="15" hidden="false" customHeight="false" outlineLevel="0" collapsed="false">
      <c r="A184" s="4" t="s">
        <v>457</v>
      </c>
      <c r="B184" s="4" t="s">
        <v>458</v>
      </c>
      <c r="C184" s="4" t="s">
        <v>49</v>
      </c>
      <c r="D184" s="4" t="s">
        <v>50</v>
      </c>
      <c r="E184" s="5" t="n">
        <v>84.95</v>
      </c>
      <c r="F184" s="5" t="n">
        <v>142.95</v>
      </c>
      <c r="G184" s="6" t="n">
        <v>0.405736271423575</v>
      </c>
      <c r="H184" s="5" t="n">
        <v>64.95</v>
      </c>
      <c r="I184" s="5" t="n">
        <v>109.95</v>
      </c>
      <c r="J184" s="5" t="n">
        <f aca="false">H184-E184</f>
        <v>-20</v>
      </c>
      <c r="K184" s="6" t="n">
        <f aca="false">IF(E184=0,0,J184/E184)</f>
        <v>-0.235432607416127</v>
      </c>
    </row>
    <row r="185" customFormat="false" ht="15" hidden="false" customHeight="false" outlineLevel="0" collapsed="false">
      <c r="A185" s="4" t="s">
        <v>459</v>
      </c>
      <c r="B185" s="4" t="s">
        <v>460</v>
      </c>
      <c r="C185" s="4" t="s">
        <v>49</v>
      </c>
      <c r="D185" s="4" t="s">
        <v>50</v>
      </c>
      <c r="E185" s="5" t="n">
        <v>79.95</v>
      </c>
      <c r="F185" s="5" t="n">
        <v>146.95</v>
      </c>
      <c r="G185" s="6" t="n">
        <v>0.455937393671317</v>
      </c>
      <c r="H185" s="5" t="n">
        <v>64.95</v>
      </c>
      <c r="I185" s="5" t="n">
        <v>119.95</v>
      </c>
      <c r="J185" s="5" t="n">
        <f aca="false">H185-E185</f>
        <v>-15</v>
      </c>
      <c r="K185" s="6" t="n">
        <f aca="false">IF(E185=0,0,J185/E185)</f>
        <v>-0.187617260787992</v>
      </c>
    </row>
    <row r="186" customFormat="false" ht="15" hidden="false" customHeight="false" outlineLevel="0" collapsed="false">
      <c r="A186" s="4" t="s">
        <v>461</v>
      </c>
      <c r="B186" s="4" t="s">
        <v>462</v>
      </c>
      <c r="C186" s="4" t="s">
        <v>49</v>
      </c>
      <c r="D186" s="4" t="s">
        <v>50</v>
      </c>
      <c r="E186" s="5" t="n">
        <v>79.95</v>
      </c>
      <c r="F186" s="5" t="n">
        <v>134.95</v>
      </c>
      <c r="G186" s="6" t="n">
        <v>0.407558354946276</v>
      </c>
      <c r="H186" s="5" t="n">
        <v>64.95</v>
      </c>
      <c r="I186" s="5" t="n">
        <v>109.95</v>
      </c>
      <c r="J186" s="5" t="n">
        <f aca="false">H186-E186</f>
        <v>-15</v>
      </c>
      <c r="K186" s="6" t="n">
        <f aca="false">IF(E186=0,0,J186/E186)</f>
        <v>-0.187617260787992</v>
      </c>
    </row>
    <row r="187" customFormat="false" ht="15" hidden="false" customHeight="false" outlineLevel="0" collapsed="false">
      <c r="A187" s="4" t="s">
        <v>463</v>
      </c>
      <c r="B187" s="4" t="s">
        <v>464</v>
      </c>
      <c r="C187" s="4" t="s">
        <v>49</v>
      </c>
      <c r="D187" s="4" t="s">
        <v>50</v>
      </c>
      <c r="E187" s="5" t="n">
        <v>79.95</v>
      </c>
      <c r="F187" s="5" t="n">
        <v>159.95</v>
      </c>
      <c r="G187" s="6" t="n">
        <v>0.500156298843389</v>
      </c>
      <c r="H187" s="5" t="n">
        <v>64.95</v>
      </c>
      <c r="I187" s="5" t="n">
        <v>129.95</v>
      </c>
      <c r="J187" s="5" t="n">
        <f aca="false">H187-E187</f>
        <v>-15</v>
      </c>
      <c r="K187" s="6" t="n">
        <f aca="false">IF(E187=0,0,J187/E187)</f>
        <v>-0.187617260787992</v>
      </c>
    </row>
    <row r="188" customFormat="false" ht="15" hidden="false" customHeight="false" outlineLevel="0" collapsed="false">
      <c r="A188" s="4" t="s">
        <v>465</v>
      </c>
      <c r="B188" s="4" t="s">
        <v>466</v>
      </c>
      <c r="C188" s="4" t="s">
        <v>49</v>
      </c>
      <c r="D188" s="4" t="s">
        <v>50</v>
      </c>
      <c r="E188" s="5" t="n">
        <v>79.95</v>
      </c>
      <c r="F188" s="5" t="n">
        <v>146.95</v>
      </c>
      <c r="G188" s="6" t="n">
        <v>0.455937393671317</v>
      </c>
      <c r="H188" s="5" t="n">
        <v>64.95</v>
      </c>
      <c r="I188" s="5" t="n">
        <v>119.95</v>
      </c>
      <c r="J188" s="5" t="n">
        <f aca="false">H188-E188</f>
        <v>-15</v>
      </c>
      <c r="K188" s="6" t="n">
        <f aca="false">IF(E188=0,0,J188/E188)</f>
        <v>-0.187617260787992</v>
      </c>
    </row>
    <row r="189" customFormat="false" ht="15" hidden="false" customHeight="false" outlineLevel="0" collapsed="false">
      <c r="A189" s="4" t="s">
        <v>467</v>
      </c>
      <c r="B189" s="4" t="s">
        <v>468</v>
      </c>
      <c r="C189" s="4" t="s">
        <v>49</v>
      </c>
      <c r="D189" s="4" t="s">
        <v>50</v>
      </c>
      <c r="E189" s="5" t="n">
        <v>89.95</v>
      </c>
      <c r="F189" s="5" t="n">
        <v>164.95</v>
      </c>
      <c r="G189" s="6" t="n">
        <v>0.45468323734465</v>
      </c>
      <c r="H189" s="5" t="n">
        <v>69.95</v>
      </c>
      <c r="I189" s="5" t="n">
        <v>128.95</v>
      </c>
      <c r="J189" s="5" t="n">
        <f aca="false">H189-E189</f>
        <v>-20</v>
      </c>
      <c r="K189" s="6" t="n">
        <f aca="false">IF(E189=0,0,J189/E189)</f>
        <v>-0.222345747637576</v>
      </c>
    </row>
    <row r="190" customFormat="false" ht="15" hidden="false" customHeight="false" outlineLevel="0" collapsed="false">
      <c r="A190" s="4" t="s">
        <v>469</v>
      </c>
      <c r="B190" s="4" t="s">
        <v>470</v>
      </c>
      <c r="C190" s="4" t="s">
        <v>49</v>
      </c>
      <c r="D190" s="4" t="s">
        <v>50</v>
      </c>
      <c r="E190" s="5" t="n">
        <v>84.95</v>
      </c>
      <c r="F190" s="5" t="n">
        <v>142.95</v>
      </c>
      <c r="G190" s="6" t="n">
        <v>0.405736271423575</v>
      </c>
      <c r="H190" s="5" t="n">
        <v>64.95</v>
      </c>
      <c r="I190" s="5" t="n">
        <v>109.95</v>
      </c>
      <c r="J190" s="5" t="n">
        <f aca="false">H190-E190</f>
        <v>-20</v>
      </c>
      <c r="K190" s="6" t="n">
        <f aca="false">IF(E190=0,0,J190/E190)</f>
        <v>-0.235432607416127</v>
      </c>
    </row>
    <row r="191" customFormat="false" ht="15" hidden="false" customHeight="false" outlineLevel="0" collapsed="false">
      <c r="A191" s="4" t="s">
        <v>471</v>
      </c>
      <c r="B191" s="4" t="s">
        <v>472</v>
      </c>
      <c r="C191" s="4" t="s">
        <v>49</v>
      </c>
      <c r="D191" s="4" t="s">
        <v>50</v>
      </c>
      <c r="E191" s="5" t="n">
        <v>84.95</v>
      </c>
      <c r="F191" s="5" t="n">
        <v>169.95</v>
      </c>
      <c r="G191" s="6" t="n">
        <v>0.50014710208885</v>
      </c>
      <c r="H191" s="5" t="n">
        <v>64.95</v>
      </c>
      <c r="I191" s="5" t="n">
        <v>129.95</v>
      </c>
      <c r="J191" s="5" t="n">
        <f aca="false">H191-E191</f>
        <v>-20</v>
      </c>
      <c r="K191" s="6" t="n">
        <f aca="false">IF(E191=0,0,J191/E191)</f>
        <v>-0.235432607416127</v>
      </c>
    </row>
    <row r="192" customFormat="false" ht="15" hidden="false" customHeight="false" outlineLevel="0" collapsed="false">
      <c r="A192" s="4" t="s">
        <v>473</v>
      </c>
      <c r="B192" s="4" t="s">
        <v>474</v>
      </c>
      <c r="C192" s="4" t="s">
        <v>49</v>
      </c>
      <c r="D192" s="4" t="s">
        <v>50</v>
      </c>
      <c r="E192" s="5" t="n">
        <v>94.95</v>
      </c>
      <c r="F192" s="5" t="n">
        <v>173.95</v>
      </c>
      <c r="G192" s="6" t="n">
        <v>0.454153492382869</v>
      </c>
      <c r="H192" s="5" t="n">
        <v>69.95</v>
      </c>
      <c r="I192" s="5" t="n">
        <v>128.95</v>
      </c>
      <c r="J192" s="5" t="n">
        <f aca="false">H192-E192</f>
        <v>-25</v>
      </c>
      <c r="K192" s="6" t="n">
        <f aca="false">IF(E192=0,0,J192/E192)</f>
        <v>-0.263296471827278</v>
      </c>
    </row>
    <row r="193" customFormat="false" ht="15" hidden="false" customHeight="false" outlineLevel="0" collapsed="false">
      <c r="A193" s="4" t="s">
        <v>475</v>
      </c>
      <c r="B193" s="4" t="s">
        <v>476</v>
      </c>
      <c r="C193" s="4" t="s">
        <v>49</v>
      </c>
      <c r="D193" s="4" t="s">
        <v>50</v>
      </c>
      <c r="E193" s="5" t="n">
        <v>99.95</v>
      </c>
      <c r="F193" s="5" t="n">
        <v>182.95</v>
      </c>
      <c r="G193" s="6" t="n">
        <v>0.453675867723422</v>
      </c>
      <c r="H193" s="5" t="n">
        <v>69.95</v>
      </c>
      <c r="I193" s="5" t="n">
        <v>128.95</v>
      </c>
      <c r="J193" s="5" t="n">
        <f aca="false">H193-E193</f>
        <v>-30</v>
      </c>
      <c r="K193" s="6" t="n">
        <f aca="false">IF(E193=0,0,J193/E193)</f>
        <v>-0.300150075037519</v>
      </c>
    </row>
    <row r="194" customFormat="false" ht="15" hidden="false" customHeight="false" outlineLevel="0" collapsed="false">
      <c r="A194" s="4" t="s">
        <v>477</v>
      </c>
      <c r="B194" s="4" t="s">
        <v>478</v>
      </c>
      <c r="C194" s="4" t="s">
        <v>49</v>
      </c>
      <c r="D194" s="4" t="s">
        <v>50</v>
      </c>
      <c r="E194" s="5" t="n">
        <v>89.95</v>
      </c>
      <c r="F194" s="5" t="n">
        <v>149.95</v>
      </c>
      <c r="G194" s="6" t="n">
        <v>0.400133377792597</v>
      </c>
      <c r="H194" s="5" t="n">
        <v>69.95</v>
      </c>
      <c r="I194" s="5" t="n">
        <v>116.95</v>
      </c>
      <c r="J194" s="5" t="n">
        <f aca="false">H194-E194</f>
        <v>-20</v>
      </c>
      <c r="K194" s="6" t="n">
        <f aca="false">IF(E194=0,0,J194/E194)</f>
        <v>-0.222345747637576</v>
      </c>
    </row>
    <row r="195" customFormat="false" ht="15" hidden="false" customHeight="false" outlineLevel="0" collapsed="false">
      <c r="A195" s="4" t="s">
        <v>479</v>
      </c>
      <c r="B195" s="4" t="s">
        <v>480</v>
      </c>
      <c r="C195" s="4" t="s">
        <v>49</v>
      </c>
      <c r="D195" s="4" t="s">
        <v>50</v>
      </c>
      <c r="E195" s="5" t="n">
        <v>104.95</v>
      </c>
      <c r="F195" s="5" t="n">
        <v>209.95</v>
      </c>
      <c r="G195" s="6" t="n">
        <v>0.500119075970469</v>
      </c>
      <c r="H195" s="5" t="n">
        <v>69.95</v>
      </c>
      <c r="I195" s="5" t="n">
        <v>139.95</v>
      </c>
      <c r="J195" s="5" t="n">
        <f aca="false">H195-E195</f>
        <v>-35</v>
      </c>
      <c r="K195" s="6" t="n">
        <f aca="false">IF(E195=0,0,J195/E195)</f>
        <v>-0.333492139113864</v>
      </c>
    </row>
    <row r="196" customFormat="false" ht="15" hidden="false" customHeight="false" outlineLevel="0" collapsed="false">
      <c r="A196" s="4" t="s">
        <v>481</v>
      </c>
      <c r="B196" s="4" t="s">
        <v>482</v>
      </c>
      <c r="C196" s="4" t="s">
        <v>51</v>
      </c>
      <c r="D196" s="4" t="s">
        <v>52</v>
      </c>
      <c r="E196" s="5" t="n">
        <v>79.95</v>
      </c>
      <c r="F196" s="5" t="n">
        <v>159.95</v>
      </c>
      <c r="G196" s="6" t="n">
        <v>0.500156298843389</v>
      </c>
      <c r="H196" s="5" t="n">
        <v>64.95</v>
      </c>
      <c r="I196" s="5" t="n">
        <v>129.95</v>
      </c>
      <c r="J196" s="5" t="n">
        <f aca="false">H196-E196</f>
        <v>-15</v>
      </c>
      <c r="K196" s="6" t="n">
        <f aca="false">IF(E196=0,0,J196/E196)</f>
        <v>-0.187617260787992</v>
      </c>
    </row>
    <row r="197" customFormat="false" ht="15" hidden="false" customHeight="false" outlineLevel="0" collapsed="false">
      <c r="A197" s="4" t="s">
        <v>483</v>
      </c>
      <c r="B197" s="4" t="s">
        <v>484</v>
      </c>
      <c r="C197" s="4" t="s">
        <v>51</v>
      </c>
      <c r="D197" s="4" t="s">
        <v>52</v>
      </c>
      <c r="E197" s="5" t="n">
        <v>79.95</v>
      </c>
      <c r="F197" s="5" t="n">
        <v>134.95</v>
      </c>
      <c r="G197" s="6" t="n">
        <v>0.407558354946276</v>
      </c>
      <c r="H197" s="5" t="n">
        <v>64.95</v>
      </c>
      <c r="I197" s="5" t="n">
        <v>109.95</v>
      </c>
      <c r="J197" s="5" t="n">
        <f aca="false">H197-E197</f>
        <v>-15</v>
      </c>
      <c r="K197" s="6" t="n">
        <f aca="false">IF(E197=0,0,J197/E197)</f>
        <v>-0.187617260787992</v>
      </c>
    </row>
    <row r="198" customFormat="false" ht="15" hidden="false" customHeight="false" outlineLevel="0" collapsed="false">
      <c r="A198" s="4" t="s">
        <v>485</v>
      </c>
      <c r="B198" s="4" t="s">
        <v>486</v>
      </c>
      <c r="C198" s="4" t="s">
        <v>51</v>
      </c>
      <c r="D198" s="4" t="s">
        <v>52</v>
      </c>
      <c r="E198" s="5" t="n">
        <v>79.95</v>
      </c>
      <c r="F198" s="5" t="n">
        <v>134.95</v>
      </c>
      <c r="G198" s="6" t="n">
        <v>0.407558354946276</v>
      </c>
      <c r="H198" s="5" t="n">
        <v>64.95</v>
      </c>
      <c r="I198" s="5" t="n">
        <v>109.95</v>
      </c>
      <c r="J198" s="5" t="n">
        <f aca="false">H198-E198</f>
        <v>-15</v>
      </c>
      <c r="K198" s="6" t="n">
        <f aca="false">IF(E198=0,0,J198/E198)</f>
        <v>-0.187617260787992</v>
      </c>
    </row>
    <row r="199" customFormat="false" ht="15" hidden="false" customHeight="false" outlineLevel="0" collapsed="false">
      <c r="A199" s="4" t="s">
        <v>487</v>
      </c>
      <c r="B199" s="4" t="s">
        <v>488</v>
      </c>
      <c r="C199" s="4" t="s">
        <v>53</v>
      </c>
      <c r="D199" s="4" t="s">
        <v>54</v>
      </c>
      <c r="E199" s="5" t="n">
        <v>89.95</v>
      </c>
      <c r="F199" s="5" t="n">
        <v>149.95</v>
      </c>
      <c r="G199" s="6" t="n">
        <v>0.400133377792597</v>
      </c>
      <c r="H199" s="5" t="n">
        <v>69.95</v>
      </c>
      <c r="I199" s="5" t="n">
        <v>116.95</v>
      </c>
      <c r="J199" s="5" t="n">
        <f aca="false">H199-E199</f>
        <v>-20</v>
      </c>
      <c r="K199" s="6" t="n">
        <f aca="false">IF(E199=0,0,J199/E199)</f>
        <v>-0.222345747637576</v>
      </c>
    </row>
    <row r="200" customFormat="false" ht="15" hidden="false" customHeight="false" outlineLevel="0" collapsed="false">
      <c r="A200" s="4" t="s">
        <v>489</v>
      </c>
      <c r="B200" s="4" t="s">
        <v>490</v>
      </c>
      <c r="C200" s="4" t="s">
        <v>53</v>
      </c>
      <c r="D200" s="4" t="s">
        <v>54</v>
      </c>
      <c r="E200" s="5" t="n">
        <v>79.95</v>
      </c>
      <c r="F200" s="5" t="n">
        <v>134.95</v>
      </c>
      <c r="G200" s="6" t="n">
        <v>0.407558354946276</v>
      </c>
      <c r="H200" s="5" t="n">
        <v>64.95</v>
      </c>
      <c r="I200" s="5" t="n">
        <v>109.95</v>
      </c>
      <c r="J200" s="5" t="n">
        <f aca="false">H200-E200</f>
        <v>-15</v>
      </c>
      <c r="K200" s="6" t="n">
        <f aca="false">IF(E200=0,0,J200/E200)</f>
        <v>-0.187617260787992</v>
      </c>
    </row>
    <row r="201" customFormat="false" ht="15" hidden="false" customHeight="false" outlineLevel="0" collapsed="false">
      <c r="A201" s="4" t="s">
        <v>491</v>
      </c>
      <c r="B201" s="4" t="s">
        <v>492</v>
      </c>
      <c r="C201" s="4" t="s">
        <v>53</v>
      </c>
      <c r="D201" s="4" t="s">
        <v>54</v>
      </c>
      <c r="E201" s="5" t="n">
        <v>84.95</v>
      </c>
      <c r="F201" s="5" t="n">
        <v>155.95</v>
      </c>
      <c r="G201" s="6" t="n">
        <v>0.455274126322539</v>
      </c>
      <c r="H201" s="5" t="n">
        <v>64.95</v>
      </c>
      <c r="I201" s="5" t="n">
        <v>119.95</v>
      </c>
      <c r="J201" s="5" t="n">
        <f aca="false">H201-E201</f>
        <v>-20</v>
      </c>
      <c r="K201" s="6" t="n">
        <f aca="false">IF(E201=0,0,J201/E201)</f>
        <v>-0.235432607416127</v>
      </c>
    </row>
    <row r="202" customFormat="false" ht="15" hidden="false" customHeight="false" outlineLevel="0" collapsed="false">
      <c r="A202" s="4" t="s">
        <v>493</v>
      </c>
      <c r="B202" s="4" t="s">
        <v>494</v>
      </c>
      <c r="C202" s="4" t="s">
        <v>53</v>
      </c>
      <c r="D202" s="4" t="s">
        <v>54</v>
      </c>
      <c r="E202" s="5" t="n">
        <v>84.95</v>
      </c>
      <c r="F202" s="5" t="n">
        <v>142.95</v>
      </c>
      <c r="G202" s="6" t="n">
        <v>0.405736271423575</v>
      </c>
      <c r="H202" s="5" t="n">
        <v>64.95</v>
      </c>
      <c r="I202" s="5" t="n">
        <v>109.95</v>
      </c>
      <c r="J202" s="5" t="n">
        <f aca="false">H202-E202</f>
        <v>-20</v>
      </c>
      <c r="K202" s="6" t="n">
        <f aca="false">IF(E202=0,0,J202/E202)</f>
        <v>-0.235432607416127</v>
      </c>
    </row>
    <row r="203" customFormat="false" ht="15" hidden="false" customHeight="false" outlineLevel="0" collapsed="false">
      <c r="A203" s="4" t="s">
        <v>495</v>
      </c>
      <c r="B203" s="4" t="s">
        <v>496</v>
      </c>
      <c r="C203" s="4" t="s">
        <v>53</v>
      </c>
      <c r="D203" s="4" t="s">
        <v>54</v>
      </c>
      <c r="E203" s="5" t="n">
        <v>84.95</v>
      </c>
      <c r="F203" s="5" t="n">
        <v>142.95</v>
      </c>
      <c r="G203" s="6" t="n">
        <v>0.405736271423575</v>
      </c>
      <c r="H203" s="5" t="n">
        <v>64.95</v>
      </c>
      <c r="I203" s="5" t="n">
        <v>109.95</v>
      </c>
      <c r="J203" s="5" t="n">
        <f aca="false">H203-E203</f>
        <v>-20</v>
      </c>
      <c r="K203" s="6" t="n">
        <f aca="false">IF(E203=0,0,J203/E203)</f>
        <v>-0.235432607416127</v>
      </c>
    </row>
    <row r="204" customFormat="false" ht="15" hidden="false" customHeight="false" outlineLevel="0" collapsed="false">
      <c r="A204" s="4" t="s">
        <v>497</v>
      </c>
      <c r="B204" s="4" t="s">
        <v>498</v>
      </c>
      <c r="C204" s="4" t="s">
        <v>53</v>
      </c>
      <c r="D204" s="4" t="s">
        <v>54</v>
      </c>
      <c r="E204" s="5" t="n">
        <v>84.95</v>
      </c>
      <c r="F204" s="5" t="n">
        <v>142.95</v>
      </c>
      <c r="G204" s="6" t="n">
        <v>0.405736271423575</v>
      </c>
      <c r="H204" s="5" t="n">
        <v>64.95</v>
      </c>
      <c r="I204" s="5" t="n">
        <v>109.95</v>
      </c>
      <c r="J204" s="5" t="n">
        <f aca="false">H204-E204</f>
        <v>-20</v>
      </c>
      <c r="K204" s="6" t="n">
        <f aca="false">IF(E204=0,0,J204/E204)</f>
        <v>-0.235432607416127</v>
      </c>
    </row>
    <row r="205" customFormat="false" ht="15" hidden="false" customHeight="false" outlineLevel="0" collapsed="false">
      <c r="A205" s="4" t="s">
        <v>499</v>
      </c>
      <c r="B205" s="4" t="s">
        <v>500</v>
      </c>
      <c r="C205" s="4" t="s">
        <v>53</v>
      </c>
      <c r="D205" s="4" t="s">
        <v>54</v>
      </c>
      <c r="E205" s="5" t="n">
        <v>84.95</v>
      </c>
      <c r="F205" s="5" t="n">
        <v>155.95</v>
      </c>
      <c r="G205" s="6" t="n">
        <v>0.455274126322539</v>
      </c>
      <c r="H205" s="5" t="n">
        <v>64.95</v>
      </c>
      <c r="I205" s="5" t="n">
        <v>119.95</v>
      </c>
      <c r="J205" s="5" t="n">
        <f aca="false">H205-E205</f>
        <v>-20</v>
      </c>
      <c r="K205" s="6" t="n">
        <f aca="false">IF(E205=0,0,J205/E205)</f>
        <v>-0.235432607416127</v>
      </c>
    </row>
    <row r="206" customFormat="false" ht="15" hidden="false" customHeight="false" outlineLevel="0" collapsed="false">
      <c r="A206" s="4" t="s">
        <v>501</v>
      </c>
      <c r="B206" s="4" t="s">
        <v>502</v>
      </c>
      <c r="C206" s="4" t="s">
        <v>53</v>
      </c>
      <c r="D206" s="4" t="s">
        <v>54</v>
      </c>
      <c r="E206" s="5" t="n">
        <v>79.95</v>
      </c>
      <c r="F206" s="5" t="n">
        <v>146.95</v>
      </c>
      <c r="G206" s="6" t="n">
        <v>0.455937393671317</v>
      </c>
      <c r="H206" s="5" t="n">
        <v>64.95</v>
      </c>
      <c r="I206" s="5" t="n">
        <v>119.95</v>
      </c>
      <c r="J206" s="5" t="n">
        <f aca="false">H206-E206</f>
        <v>-15</v>
      </c>
      <c r="K206" s="6" t="n">
        <f aca="false">IF(E206=0,0,J206/E206)</f>
        <v>-0.187617260787992</v>
      </c>
    </row>
    <row r="207" customFormat="false" ht="15" hidden="false" customHeight="false" outlineLevel="0" collapsed="false">
      <c r="A207" s="4" t="s">
        <v>503</v>
      </c>
      <c r="B207" s="4" t="s">
        <v>504</v>
      </c>
      <c r="C207" s="4" t="s">
        <v>53</v>
      </c>
      <c r="D207" s="4" t="s">
        <v>54</v>
      </c>
      <c r="E207" s="5" t="n">
        <v>79.95</v>
      </c>
      <c r="F207" s="5" t="n">
        <v>146.95</v>
      </c>
      <c r="G207" s="6" t="n">
        <v>0.455937393671317</v>
      </c>
      <c r="H207" s="5" t="n">
        <v>64.95</v>
      </c>
      <c r="I207" s="5" t="n">
        <v>119.95</v>
      </c>
      <c r="J207" s="5" t="n">
        <f aca="false">H207-E207</f>
        <v>-15</v>
      </c>
      <c r="K207" s="6" t="n">
        <f aca="false">IF(E207=0,0,J207/E207)</f>
        <v>-0.187617260787992</v>
      </c>
    </row>
    <row r="208" customFormat="false" ht="15" hidden="false" customHeight="false" outlineLevel="0" collapsed="false">
      <c r="A208" s="4" t="s">
        <v>505</v>
      </c>
      <c r="B208" s="4" t="s">
        <v>506</v>
      </c>
      <c r="C208" s="4" t="s">
        <v>53</v>
      </c>
      <c r="D208" s="4" t="s">
        <v>54</v>
      </c>
      <c r="E208" s="5" t="n">
        <v>84.95</v>
      </c>
      <c r="F208" s="5" t="n">
        <v>169.95</v>
      </c>
      <c r="G208" s="6" t="n">
        <v>0.50014710208885</v>
      </c>
      <c r="H208" s="5" t="n">
        <v>64.95</v>
      </c>
      <c r="I208" s="5" t="n">
        <v>129.95</v>
      </c>
      <c r="J208" s="5" t="n">
        <f aca="false">H208-E208</f>
        <v>-20</v>
      </c>
      <c r="K208" s="6" t="n">
        <f aca="false">IF(E208=0,0,J208/E208)</f>
        <v>-0.235432607416127</v>
      </c>
    </row>
    <row r="209" customFormat="false" ht="15" hidden="false" customHeight="false" outlineLevel="0" collapsed="false">
      <c r="A209" s="4" t="s">
        <v>507</v>
      </c>
      <c r="B209" s="4" t="s">
        <v>508</v>
      </c>
      <c r="C209" s="4" t="s">
        <v>53</v>
      </c>
      <c r="D209" s="4" t="s">
        <v>54</v>
      </c>
      <c r="E209" s="5" t="n">
        <v>84.95</v>
      </c>
      <c r="F209" s="5" t="n">
        <v>142.95</v>
      </c>
      <c r="G209" s="6" t="n">
        <v>0.405736271423575</v>
      </c>
      <c r="H209" s="5" t="n">
        <v>64.95</v>
      </c>
      <c r="I209" s="5" t="n">
        <v>109.95</v>
      </c>
      <c r="J209" s="5" t="n">
        <f aca="false">H209-E209</f>
        <v>-20</v>
      </c>
      <c r="K209" s="6" t="n">
        <f aca="false">IF(E209=0,0,J209/E209)</f>
        <v>-0.235432607416127</v>
      </c>
    </row>
    <row r="210" customFormat="false" ht="15" hidden="false" customHeight="false" outlineLevel="0" collapsed="false">
      <c r="A210" s="4" t="s">
        <v>509</v>
      </c>
      <c r="B210" s="4" t="s">
        <v>510</v>
      </c>
      <c r="C210" s="4" t="s">
        <v>53</v>
      </c>
      <c r="D210" s="4" t="s">
        <v>54</v>
      </c>
      <c r="E210" s="5" t="n">
        <v>84.95</v>
      </c>
      <c r="F210" s="5" t="n">
        <v>142.95</v>
      </c>
      <c r="G210" s="6" t="n">
        <v>0.405736271423575</v>
      </c>
      <c r="H210" s="5" t="n">
        <v>64.95</v>
      </c>
      <c r="I210" s="5" t="n">
        <v>109.95</v>
      </c>
      <c r="J210" s="5" t="n">
        <f aca="false">H210-E210</f>
        <v>-20</v>
      </c>
      <c r="K210" s="6" t="n">
        <f aca="false">IF(E210=0,0,J210/E210)</f>
        <v>-0.235432607416127</v>
      </c>
    </row>
    <row r="211" customFormat="false" ht="15" hidden="false" customHeight="false" outlineLevel="0" collapsed="false">
      <c r="A211" s="4" t="s">
        <v>511</v>
      </c>
      <c r="B211" s="4" t="s">
        <v>512</v>
      </c>
      <c r="C211" s="4" t="s">
        <v>53</v>
      </c>
      <c r="D211" s="4" t="s">
        <v>54</v>
      </c>
      <c r="E211" s="5" t="n">
        <v>79.95</v>
      </c>
      <c r="F211" s="5" t="n">
        <v>146.95</v>
      </c>
      <c r="G211" s="6" t="n">
        <v>0.455937393671317</v>
      </c>
      <c r="H211" s="5" t="n">
        <v>64.95</v>
      </c>
      <c r="I211" s="5" t="n">
        <v>119.95</v>
      </c>
      <c r="J211" s="5" t="n">
        <f aca="false">H211-E211</f>
        <v>-15</v>
      </c>
      <c r="K211" s="6" t="n">
        <f aca="false">IF(E211=0,0,J211/E211)</f>
        <v>-0.187617260787992</v>
      </c>
    </row>
    <row r="212" customFormat="false" ht="15" hidden="false" customHeight="false" outlineLevel="0" collapsed="false">
      <c r="A212" s="4" t="s">
        <v>513</v>
      </c>
      <c r="B212" s="4" t="s">
        <v>514</v>
      </c>
      <c r="C212" s="4" t="s">
        <v>53</v>
      </c>
      <c r="D212" s="4" t="s">
        <v>54</v>
      </c>
      <c r="E212" s="5" t="n">
        <v>79.95</v>
      </c>
      <c r="F212" s="5" t="n">
        <v>146.95</v>
      </c>
      <c r="G212" s="6" t="n">
        <v>0.455937393671317</v>
      </c>
      <c r="H212" s="5" t="n">
        <v>64.95</v>
      </c>
      <c r="I212" s="5" t="n">
        <v>119.95</v>
      </c>
      <c r="J212" s="5" t="n">
        <f aca="false">H212-E212</f>
        <v>-15</v>
      </c>
      <c r="K212" s="6" t="n">
        <f aca="false">IF(E212=0,0,J212/E212)</f>
        <v>-0.187617260787992</v>
      </c>
    </row>
    <row r="213" customFormat="false" ht="15" hidden="false" customHeight="false" outlineLevel="0" collapsed="false">
      <c r="A213" s="4" t="s">
        <v>515</v>
      </c>
      <c r="B213" s="4" t="s">
        <v>516</v>
      </c>
      <c r="C213" s="4" t="s">
        <v>53</v>
      </c>
      <c r="D213" s="4" t="s">
        <v>54</v>
      </c>
      <c r="E213" s="5" t="n">
        <v>79.95</v>
      </c>
      <c r="F213" s="5" t="n">
        <v>146.95</v>
      </c>
      <c r="G213" s="6" t="n">
        <v>0.455937393671317</v>
      </c>
      <c r="H213" s="5" t="n">
        <v>64.95</v>
      </c>
      <c r="I213" s="5" t="n">
        <v>119.95</v>
      </c>
      <c r="J213" s="5" t="n">
        <f aca="false">H213-E213</f>
        <v>-15</v>
      </c>
      <c r="K213" s="6" t="n">
        <f aca="false">IF(E213=0,0,J213/E213)</f>
        <v>-0.187617260787992</v>
      </c>
    </row>
    <row r="214" customFormat="false" ht="15" hidden="false" customHeight="false" outlineLevel="0" collapsed="false">
      <c r="A214" s="4" t="s">
        <v>517</v>
      </c>
      <c r="B214" s="4" t="s">
        <v>518</v>
      </c>
      <c r="C214" s="4" t="s">
        <v>55</v>
      </c>
      <c r="D214" s="4" t="s">
        <v>54</v>
      </c>
      <c r="E214" s="5" t="n">
        <v>84.95</v>
      </c>
      <c r="F214" s="5" t="n">
        <v>169.95</v>
      </c>
      <c r="G214" s="6" t="n">
        <v>0.50014710208885</v>
      </c>
      <c r="H214" s="5" t="n">
        <v>64.95</v>
      </c>
      <c r="I214" s="5" t="n">
        <v>129.95</v>
      </c>
      <c r="J214" s="5" t="n">
        <f aca="false">H214-E214</f>
        <v>-20</v>
      </c>
      <c r="K214" s="6" t="n">
        <f aca="false">IF(E214=0,0,J214/E214)</f>
        <v>-0.235432607416127</v>
      </c>
    </row>
    <row r="215" customFormat="false" ht="15" hidden="false" customHeight="false" outlineLevel="0" collapsed="false">
      <c r="A215" s="4" t="s">
        <v>519</v>
      </c>
      <c r="B215" s="4" t="s">
        <v>520</v>
      </c>
      <c r="C215" s="4" t="s">
        <v>55</v>
      </c>
      <c r="D215" s="4" t="s">
        <v>54</v>
      </c>
      <c r="E215" s="5" t="n">
        <v>84.95</v>
      </c>
      <c r="F215" s="5" t="n">
        <v>169.95</v>
      </c>
      <c r="G215" s="6" t="n">
        <v>0.50014710208885</v>
      </c>
      <c r="H215" s="5" t="n">
        <v>64.95</v>
      </c>
      <c r="I215" s="5" t="n">
        <v>129.95</v>
      </c>
      <c r="J215" s="5" t="n">
        <f aca="false">H215-E215</f>
        <v>-20</v>
      </c>
      <c r="K215" s="6" t="n">
        <f aca="false">IF(E215=0,0,J215/E215)</f>
        <v>-0.235432607416127</v>
      </c>
    </row>
    <row r="216" customFormat="false" ht="15" hidden="false" customHeight="false" outlineLevel="0" collapsed="false">
      <c r="A216" s="4" t="s">
        <v>521</v>
      </c>
      <c r="B216" s="4" t="s">
        <v>522</v>
      </c>
      <c r="C216" s="4" t="s">
        <v>56</v>
      </c>
      <c r="D216" s="4" t="s">
        <v>57</v>
      </c>
      <c r="E216" s="5" t="n">
        <v>84.95</v>
      </c>
      <c r="F216" s="5" t="n">
        <v>155.95</v>
      </c>
      <c r="G216" s="6" t="n">
        <v>0.455274126322539</v>
      </c>
      <c r="H216" s="5" t="n">
        <v>79.95</v>
      </c>
      <c r="I216" s="5" t="n">
        <v>146.95</v>
      </c>
      <c r="J216" s="5" t="n">
        <f aca="false">H216-E216</f>
        <v>-5</v>
      </c>
      <c r="K216" s="6" t="n">
        <f aca="false">IF(E216=0,0,J216/E216)</f>
        <v>-0.0588581518540318</v>
      </c>
    </row>
    <row r="217" customFormat="false" ht="15" hidden="false" customHeight="false" outlineLevel="0" collapsed="false">
      <c r="A217" s="4" t="s">
        <v>523</v>
      </c>
      <c r="B217" s="4" t="s">
        <v>524</v>
      </c>
      <c r="C217" s="4" t="s">
        <v>58</v>
      </c>
      <c r="D217" s="4" t="s">
        <v>57</v>
      </c>
      <c r="E217" s="5" t="n">
        <v>84.95</v>
      </c>
      <c r="F217" s="5" t="n">
        <v>169.95</v>
      </c>
      <c r="G217" s="6" t="n">
        <v>0.50014710208885</v>
      </c>
      <c r="H217" s="5" t="n">
        <v>79.95</v>
      </c>
      <c r="I217" s="5" t="n">
        <v>159.95</v>
      </c>
      <c r="J217" s="5" t="n">
        <f aca="false">H217-E217</f>
        <v>-5</v>
      </c>
      <c r="K217" s="6" t="n">
        <f aca="false">IF(E217=0,0,J217/E217)</f>
        <v>-0.0588581518540318</v>
      </c>
    </row>
    <row r="218" customFormat="false" ht="15" hidden="false" customHeight="false" outlineLevel="0" collapsed="false">
      <c r="A218" s="4" t="s">
        <v>525</v>
      </c>
      <c r="B218" s="4" t="s">
        <v>526</v>
      </c>
      <c r="C218" s="4" t="s">
        <v>58</v>
      </c>
      <c r="D218" s="4" t="s">
        <v>57</v>
      </c>
      <c r="E218" s="5" t="n">
        <v>104.95</v>
      </c>
      <c r="F218" s="5" t="n">
        <v>174.95</v>
      </c>
      <c r="G218" s="6" t="n">
        <v>0.400114318376679</v>
      </c>
      <c r="H218" s="5" t="n">
        <v>84.95</v>
      </c>
      <c r="I218" s="5" t="n">
        <v>141.95</v>
      </c>
      <c r="J218" s="5" t="n">
        <f aca="false">H218-E218</f>
        <v>-20</v>
      </c>
      <c r="K218" s="6" t="n">
        <f aca="false">IF(E218=0,0,J218/E218)</f>
        <v>-0.190566936636494</v>
      </c>
    </row>
    <row r="219" customFormat="false" ht="15" hidden="false" customHeight="false" outlineLevel="0" collapsed="false">
      <c r="A219" s="4" t="s">
        <v>527</v>
      </c>
      <c r="B219" s="4" t="s">
        <v>528</v>
      </c>
      <c r="C219" s="4" t="s">
        <v>58</v>
      </c>
      <c r="D219" s="4" t="s">
        <v>57</v>
      </c>
      <c r="E219" s="5" t="n">
        <v>84.95</v>
      </c>
      <c r="F219" s="5" t="n">
        <v>155.95</v>
      </c>
      <c r="G219" s="6" t="n">
        <v>0.455274126322539</v>
      </c>
      <c r="H219" s="5" t="n">
        <v>79.95</v>
      </c>
      <c r="I219" s="5" t="n">
        <v>146.95</v>
      </c>
      <c r="J219" s="5" t="n">
        <f aca="false">H219-E219</f>
        <v>-5</v>
      </c>
      <c r="K219" s="6" t="n">
        <f aca="false">IF(E219=0,0,J219/E219)</f>
        <v>-0.0588581518540318</v>
      </c>
    </row>
    <row r="220" customFormat="false" ht="15" hidden="false" customHeight="false" outlineLevel="0" collapsed="false">
      <c r="A220" s="4" t="s">
        <v>529</v>
      </c>
      <c r="B220" s="4" t="s">
        <v>530</v>
      </c>
      <c r="C220" s="4" t="s">
        <v>58</v>
      </c>
      <c r="D220" s="4" t="s">
        <v>57</v>
      </c>
      <c r="E220" s="5" t="n">
        <v>104.95</v>
      </c>
      <c r="F220" s="5" t="n">
        <v>209.95</v>
      </c>
      <c r="G220" s="6" t="n">
        <v>0.500119075970469</v>
      </c>
      <c r="H220" s="5" t="n">
        <v>84.95</v>
      </c>
      <c r="I220" s="5" t="n">
        <v>169.95</v>
      </c>
      <c r="J220" s="5" t="n">
        <f aca="false">H220-E220</f>
        <v>-20</v>
      </c>
      <c r="K220" s="6" t="n">
        <f aca="false">IF(E220=0,0,J220/E220)</f>
        <v>-0.190566936636494</v>
      </c>
    </row>
    <row r="221" customFormat="false" ht="15" hidden="false" customHeight="false" outlineLevel="0" collapsed="false">
      <c r="A221" s="4" t="s">
        <v>531</v>
      </c>
      <c r="B221" s="4" t="s">
        <v>532</v>
      </c>
      <c r="C221" s="4" t="s">
        <v>59</v>
      </c>
      <c r="D221" s="4" t="s">
        <v>17</v>
      </c>
      <c r="E221" s="5" t="n">
        <v>104.95</v>
      </c>
      <c r="F221" s="5" t="n">
        <v>209.95</v>
      </c>
      <c r="G221" s="6" t="n">
        <v>0.500119075970469</v>
      </c>
      <c r="H221" s="5" t="n">
        <v>74.95</v>
      </c>
      <c r="I221" s="5" t="n">
        <v>149.95</v>
      </c>
      <c r="J221" s="5" t="n">
        <f aca="false">H221-E221</f>
        <v>-30</v>
      </c>
      <c r="K221" s="6" t="n">
        <f aca="false">IF(E221=0,0,J221/E221)</f>
        <v>-0.28585040495474</v>
      </c>
    </row>
    <row r="222" customFormat="false" ht="15" hidden="false" customHeight="false" outlineLevel="0" collapsed="false">
      <c r="A222" s="4" t="s">
        <v>533</v>
      </c>
      <c r="B222" s="4" t="s">
        <v>534</v>
      </c>
      <c r="C222" s="4" t="s">
        <v>59</v>
      </c>
      <c r="D222" s="4" t="s">
        <v>17</v>
      </c>
      <c r="E222" s="5" t="n">
        <v>104.95</v>
      </c>
      <c r="F222" s="5" t="n">
        <v>191.95</v>
      </c>
      <c r="G222" s="6" t="n">
        <v>0.453243032039594</v>
      </c>
      <c r="H222" s="5" t="n">
        <v>74.95</v>
      </c>
      <c r="I222" s="5" t="n">
        <v>137.95</v>
      </c>
      <c r="J222" s="5" t="n">
        <f aca="false">H222-E222</f>
        <v>-30</v>
      </c>
      <c r="K222" s="6" t="n">
        <f aca="false">IF(E222=0,0,J222/E222)</f>
        <v>-0.28585040495474</v>
      </c>
    </row>
    <row r="223" customFormat="false" ht="15" hidden="false" customHeight="false" outlineLevel="0" collapsed="false">
      <c r="A223" s="4" t="s">
        <v>535</v>
      </c>
      <c r="B223" s="4" t="s">
        <v>536</v>
      </c>
      <c r="C223" s="4" t="s">
        <v>59</v>
      </c>
      <c r="D223" s="4" t="s">
        <v>17</v>
      </c>
      <c r="E223" s="5" t="n">
        <v>104.95</v>
      </c>
      <c r="F223" s="5" t="n">
        <v>191.95</v>
      </c>
      <c r="G223" s="6" t="n">
        <v>0.453243032039594</v>
      </c>
      <c r="H223" s="5" t="n">
        <v>74.95</v>
      </c>
      <c r="I223" s="5" t="n">
        <v>137.95</v>
      </c>
      <c r="J223" s="5" t="n">
        <f aca="false">H223-E223</f>
        <v>-30</v>
      </c>
      <c r="K223" s="6" t="n">
        <f aca="false">IF(E223=0,0,J223/E223)</f>
        <v>-0.28585040495474</v>
      </c>
    </row>
    <row r="224" customFormat="false" ht="15" hidden="false" customHeight="false" outlineLevel="0" collapsed="false">
      <c r="A224" s="4" t="s">
        <v>537</v>
      </c>
      <c r="B224" s="4" t="s">
        <v>538</v>
      </c>
      <c r="C224" s="4" t="s">
        <v>59</v>
      </c>
      <c r="D224" s="4" t="s">
        <v>17</v>
      </c>
      <c r="E224" s="5" t="n">
        <v>104.95</v>
      </c>
      <c r="F224" s="5" t="n">
        <v>191.95</v>
      </c>
      <c r="G224" s="6" t="n">
        <v>0.453243032039594</v>
      </c>
      <c r="H224" s="5" t="n">
        <v>74.95</v>
      </c>
      <c r="I224" s="5" t="n">
        <v>137.95</v>
      </c>
      <c r="J224" s="5" t="n">
        <f aca="false">H224-E224</f>
        <v>-30</v>
      </c>
      <c r="K224" s="6" t="n">
        <f aca="false">IF(E224=0,0,J224/E224)</f>
        <v>-0.28585040495474</v>
      </c>
    </row>
    <row r="225" customFormat="false" ht="15" hidden="false" customHeight="false" outlineLevel="0" collapsed="false">
      <c r="A225" s="4" t="s">
        <v>539</v>
      </c>
      <c r="B225" s="4" t="s">
        <v>540</v>
      </c>
      <c r="C225" s="4" t="s">
        <v>59</v>
      </c>
      <c r="D225" s="4" t="s">
        <v>17</v>
      </c>
      <c r="E225" s="5" t="n">
        <v>79.95</v>
      </c>
      <c r="F225" s="5" t="n">
        <v>134.95</v>
      </c>
      <c r="G225" s="6" t="n">
        <v>0.407558354946276</v>
      </c>
      <c r="H225" s="5" t="n">
        <v>69.95</v>
      </c>
      <c r="I225" s="5" t="n">
        <v>118.95</v>
      </c>
      <c r="J225" s="5" t="n">
        <f aca="false">H225-E225</f>
        <v>-10</v>
      </c>
      <c r="K225" s="6" t="n">
        <f aca="false">IF(E225=0,0,J225/E225)</f>
        <v>-0.125078173858662</v>
      </c>
    </row>
    <row r="226" customFormat="false" ht="15" hidden="false" customHeight="false" outlineLevel="0" collapsed="false">
      <c r="A226" s="4" t="s">
        <v>541</v>
      </c>
      <c r="B226" s="4" t="s">
        <v>542</v>
      </c>
      <c r="C226" s="4" t="s">
        <v>59</v>
      </c>
      <c r="D226" s="4" t="s">
        <v>17</v>
      </c>
      <c r="E226" s="5" t="n">
        <v>49.95</v>
      </c>
      <c r="F226" s="5" t="n">
        <v>127.95</v>
      </c>
      <c r="G226" s="6" t="n">
        <v>0.609613130128957</v>
      </c>
      <c r="H226" s="5" t="n">
        <v>49.95</v>
      </c>
      <c r="I226" s="5" t="n">
        <v>127.95</v>
      </c>
      <c r="J226" s="5" t="n">
        <f aca="false">H226-E226</f>
        <v>0</v>
      </c>
      <c r="K226" s="6" t="n">
        <f aca="false">IF(E226=0,0,J226/E226)</f>
        <v>0</v>
      </c>
    </row>
    <row r="227" customFormat="false" ht="15" hidden="false" customHeight="false" outlineLevel="0" collapsed="false">
      <c r="A227" s="4" t="s">
        <v>543</v>
      </c>
      <c r="B227" s="4" t="s">
        <v>544</v>
      </c>
      <c r="C227" s="4" t="s">
        <v>59</v>
      </c>
      <c r="D227" s="4" t="s">
        <v>17</v>
      </c>
      <c r="E227" s="5" t="n">
        <v>69.95</v>
      </c>
      <c r="F227" s="5" t="n">
        <v>127.95</v>
      </c>
      <c r="G227" s="6" t="n">
        <v>0.453302071121532</v>
      </c>
      <c r="H227" s="5" t="n">
        <v>69.95</v>
      </c>
      <c r="I227" s="5" t="n">
        <v>127.95</v>
      </c>
      <c r="J227" s="5" t="n">
        <f aca="false">H227-E227</f>
        <v>0</v>
      </c>
      <c r="K227" s="6" t="n">
        <f aca="false">IF(E227=0,0,J227/E227)</f>
        <v>0</v>
      </c>
    </row>
    <row r="228" customFormat="false" ht="15" hidden="false" customHeight="false" outlineLevel="0" collapsed="false">
      <c r="A228" s="4" t="s">
        <v>545</v>
      </c>
      <c r="B228" s="4" t="s">
        <v>546</v>
      </c>
      <c r="C228" s="4" t="s">
        <v>59</v>
      </c>
      <c r="D228" s="4" t="s">
        <v>17</v>
      </c>
      <c r="E228" s="5" t="n">
        <v>69.95</v>
      </c>
      <c r="F228" s="5" t="n">
        <v>139.95</v>
      </c>
      <c r="G228" s="6" t="n">
        <v>0.500178635226867</v>
      </c>
      <c r="H228" s="5" t="n">
        <v>69.95</v>
      </c>
      <c r="I228" s="5" t="n">
        <v>139.95</v>
      </c>
      <c r="J228" s="5" t="n">
        <f aca="false">H228-E228</f>
        <v>0</v>
      </c>
      <c r="K228" s="6" t="n">
        <f aca="false">IF(E228=0,0,J228/E228)</f>
        <v>0</v>
      </c>
    </row>
    <row r="229" customFormat="false" ht="15" hidden="false" customHeight="false" outlineLevel="0" collapsed="false">
      <c r="A229" s="4" t="s">
        <v>547</v>
      </c>
      <c r="B229" s="4" t="s">
        <v>548</v>
      </c>
      <c r="C229" s="4" t="s">
        <v>59</v>
      </c>
      <c r="D229" s="4" t="s">
        <v>17</v>
      </c>
      <c r="E229" s="5" t="n">
        <v>69.95</v>
      </c>
      <c r="F229" s="5" t="n">
        <v>139.95</v>
      </c>
      <c r="G229" s="6" t="n">
        <v>0.500178635226867</v>
      </c>
      <c r="H229" s="5" t="n">
        <v>69.95</v>
      </c>
      <c r="I229" s="5" t="n">
        <v>139.95</v>
      </c>
      <c r="J229" s="5" t="n">
        <f aca="false">H229-E229</f>
        <v>0</v>
      </c>
      <c r="K229" s="6" t="n">
        <f aca="false">IF(E229=0,0,J229/E229)</f>
        <v>0</v>
      </c>
    </row>
    <row r="230" customFormat="false" ht="15" hidden="false" customHeight="false" outlineLevel="0" collapsed="false">
      <c r="A230" s="4" t="s">
        <v>549</v>
      </c>
      <c r="B230" s="4" t="s">
        <v>550</v>
      </c>
      <c r="C230" s="4" t="s">
        <v>61</v>
      </c>
      <c r="D230" s="4" t="s">
        <v>19</v>
      </c>
      <c r="E230" s="5" t="n">
        <v>89.95</v>
      </c>
      <c r="F230" s="5" t="n">
        <v>149.95</v>
      </c>
      <c r="G230" s="6" t="n">
        <v>0.400133377792597</v>
      </c>
      <c r="H230" s="5" t="n">
        <v>69.95</v>
      </c>
      <c r="I230" s="5" t="n">
        <v>116.95</v>
      </c>
      <c r="J230" s="5" t="n">
        <f aca="false">H230-E230</f>
        <v>-20</v>
      </c>
      <c r="K230" s="6" t="n">
        <f aca="false">IF(E230=0,0,J230/E230)</f>
        <v>-0.222345747637576</v>
      </c>
    </row>
    <row r="231" customFormat="false" ht="15" hidden="false" customHeight="false" outlineLevel="0" collapsed="false">
      <c r="A231" s="4" t="s">
        <v>551</v>
      </c>
      <c r="B231" s="4" t="s">
        <v>552</v>
      </c>
      <c r="C231" s="4" t="s">
        <v>61</v>
      </c>
      <c r="D231" s="4" t="s">
        <v>19</v>
      </c>
      <c r="E231" s="5" t="n">
        <v>89.95</v>
      </c>
      <c r="F231" s="5" t="n">
        <v>164.95</v>
      </c>
      <c r="G231" s="6" t="n">
        <v>0.45468323734465</v>
      </c>
      <c r="H231" s="5" t="n">
        <v>69.95</v>
      </c>
      <c r="I231" s="5" t="n">
        <v>128.95</v>
      </c>
      <c r="J231" s="5" t="n">
        <f aca="false">H231-E231</f>
        <v>-20</v>
      </c>
      <c r="K231" s="6" t="n">
        <f aca="false">IF(E231=0,0,J231/E231)</f>
        <v>-0.222345747637576</v>
      </c>
    </row>
    <row r="232" customFormat="false" ht="15" hidden="false" customHeight="false" outlineLevel="0" collapsed="false">
      <c r="A232" s="4" t="s">
        <v>553</v>
      </c>
      <c r="B232" s="4" t="s">
        <v>554</v>
      </c>
      <c r="C232" s="4" t="s">
        <v>61</v>
      </c>
      <c r="D232" s="4" t="s">
        <v>19</v>
      </c>
      <c r="E232" s="5" t="n">
        <v>84.95</v>
      </c>
      <c r="F232" s="5" t="n">
        <v>142.95</v>
      </c>
      <c r="G232" s="6" t="n">
        <v>0.405736271423575</v>
      </c>
      <c r="H232" s="5" t="n">
        <v>69.95</v>
      </c>
      <c r="I232" s="5" t="n">
        <v>117.95</v>
      </c>
      <c r="J232" s="5" t="n">
        <f aca="false">H232-E232</f>
        <v>-15</v>
      </c>
      <c r="K232" s="6" t="n">
        <f aca="false">IF(E232=0,0,J232/E232)</f>
        <v>-0.176574455562095</v>
      </c>
    </row>
    <row r="233" customFormat="false" ht="15" hidden="false" customHeight="false" outlineLevel="0" collapsed="false">
      <c r="A233" s="4" t="s">
        <v>555</v>
      </c>
      <c r="B233" s="4" t="s">
        <v>556</v>
      </c>
      <c r="C233" s="4" t="s">
        <v>61</v>
      </c>
      <c r="D233" s="4" t="s">
        <v>19</v>
      </c>
      <c r="E233" s="5" t="n">
        <v>89.95</v>
      </c>
      <c r="F233" s="5" t="n">
        <v>149.95</v>
      </c>
      <c r="G233" s="6" t="n">
        <v>0.400133377792597</v>
      </c>
      <c r="H233" s="5" t="n">
        <v>69.95</v>
      </c>
      <c r="I233" s="5" t="n">
        <v>116.95</v>
      </c>
      <c r="J233" s="5" t="n">
        <f aca="false">H233-E233</f>
        <v>-20</v>
      </c>
      <c r="K233" s="6" t="n">
        <f aca="false">IF(E233=0,0,J233/E233)</f>
        <v>-0.222345747637576</v>
      </c>
    </row>
    <row r="234" customFormat="false" ht="15" hidden="false" customHeight="false" outlineLevel="0" collapsed="false">
      <c r="A234" s="4" t="s">
        <v>557</v>
      </c>
      <c r="B234" s="4" t="s">
        <v>556</v>
      </c>
      <c r="C234" s="4" t="s">
        <v>61</v>
      </c>
      <c r="D234" s="4" t="s">
        <v>19</v>
      </c>
      <c r="E234" s="5" t="n">
        <v>89.95</v>
      </c>
      <c r="F234" s="5" t="n">
        <v>179.95</v>
      </c>
      <c r="G234" s="6" t="n">
        <v>0.500138927479855</v>
      </c>
      <c r="H234" s="5" t="n">
        <v>69.95</v>
      </c>
      <c r="I234" s="5" t="n">
        <v>139.95</v>
      </c>
      <c r="J234" s="5" t="n">
        <f aca="false">H234-E234</f>
        <v>-20</v>
      </c>
      <c r="K234" s="6" t="n">
        <f aca="false">IF(E234=0,0,J234/E234)</f>
        <v>-0.222345747637576</v>
      </c>
    </row>
    <row r="235" customFormat="false" ht="15" hidden="false" customHeight="false" outlineLevel="0" collapsed="false">
      <c r="A235" s="4" t="s">
        <v>558</v>
      </c>
      <c r="B235" s="4" t="s">
        <v>559</v>
      </c>
      <c r="C235" s="4" t="s">
        <v>61</v>
      </c>
      <c r="D235" s="4" t="s">
        <v>19</v>
      </c>
      <c r="E235" s="5" t="n">
        <v>89.95</v>
      </c>
      <c r="F235" s="5" t="n">
        <v>149.95</v>
      </c>
      <c r="G235" s="6" t="n">
        <v>0.400133377792597</v>
      </c>
      <c r="H235" s="5" t="n">
        <v>69.95</v>
      </c>
      <c r="I235" s="5" t="n">
        <v>116.95</v>
      </c>
      <c r="J235" s="5" t="n">
        <f aca="false">H235-E235</f>
        <v>-20</v>
      </c>
      <c r="K235" s="6" t="n">
        <f aca="false">IF(E235=0,0,J235/E235)</f>
        <v>-0.222345747637576</v>
      </c>
    </row>
    <row r="236" customFormat="false" ht="15" hidden="false" customHeight="false" outlineLevel="0" collapsed="false">
      <c r="A236" s="4" t="s">
        <v>560</v>
      </c>
      <c r="B236" s="4" t="s">
        <v>561</v>
      </c>
      <c r="C236" s="4" t="s">
        <v>61</v>
      </c>
      <c r="D236" s="4" t="s">
        <v>19</v>
      </c>
      <c r="E236" s="5" t="n">
        <v>84.95</v>
      </c>
      <c r="F236" s="5" t="n">
        <v>142.95</v>
      </c>
      <c r="G236" s="6" t="n">
        <v>0.405736271423575</v>
      </c>
      <c r="H236" s="5" t="n">
        <v>69.95</v>
      </c>
      <c r="I236" s="5" t="n">
        <v>117.95</v>
      </c>
      <c r="J236" s="5" t="n">
        <f aca="false">H236-E236</f>
        <v>-15</v>
      </c>
      <c r="K236" s="6" t="n">
        <f aca="false">IF(E236=0,0,J236/E236)</f>
        <v>-0.176574455562095</v>
      </c>
    </row>
    <row r="237" customFormat="false" ht="15" hidden="false" customHeight="false" outlineLevel="0" collapsed="false">
      <c r="A237" s="4" t="s">
        <v>562</v>
      </c>
      <c r="B237" s="4" t="s">
        <v>563</v>
      </c>
      <c r="C237" s="4" t="s">
        <v>61</v>
      </c>
      <c r="D237" s="4" t="s">
        <v>19</v>
      </c>
      <c r="E237" s="5" t="n">
        <v>89.95</v>
      </c>
      <c r="F237" s="5" t="n">
        <v>164.95</v>
      </c>
      <c r="G237" s="6" t="n">
        <v>0.45468323734465</v>
      </c>
      <c r="H237" s="5" t="n">
        <v>69.95</v>
      </c>
      <c r="I237" s="5" t="n">
        <v>128.95</v>
      </c>
      <c r="J237" s="5" t="n">
        <f aca="false">H237-E237</f>
        <v>-20</v>
      </c>
      <c r="K237" s="6" t="n">
        <f aca="false">IF(E237=0,0,J237/E237)</f>
        <v>-0.222345747637576</v>
      </c>
    </row>
    <row r="238" customFormat="false" ht="15" hidden="false" customHeight="false" outlineLevel="0" collapsed="false">
      <c r="A238" s="4" t="s">
        <v>564</v>
      </c>
      <c r="B238" s="4" t="s">
        <v>565</v>
      </c>
      <c r="C238" s="4" t="s">
        <v>61</v>
      </c>
      <c r="D238" s="4" t="s">
        <v>19</v>
      </c>
      <c r="E238" s="5" t="n">
        <v>84.95</v>
      </c>
      <c r="F238" s="5" t="n">
        <v>142.95</v>
      </c>
      <c r="G238" s="6" t="n">
        <v>0.405736271423575</v>
      </c>
      <c r="H238" s="5" t="n">
        <v>69.95</v>
      </c>
      <c r="I238" s="5" t="n">
        <v>117.95</v>
      </c>
      <c r="J238" s="5" t="n">
        <f aca="false">H238-E238</f>
        <v>-15</v>
      </c>
      <c r="K238" s="6" t="n">
        <f aca="false">IF(E238=0,0,J238/E238)</f>
        <v>-0.176574455562095</v>
      </c>
    </row>
    <row r="239" customFormat="false" ht="15" hidden="false" customHeight="false" outlineLevel="0" collapsed="false">
      <c r="A239" s="4" t="s">
        <v>566</v>
      </c>
      <c r="B239" s="4" t="s">
        <v>567</v>
      </c>
      <c r="C239" s="4" t="s">
        <v>61</v>
      </c>
      <c r="D239" s="4" t="s">
        <v>19</v>
      </c>
      <c r="E239" s="5" t="n">
        <v>89.95</v>
      </c>
      <c r="F239" s="5" t="n">
        <v>164.95</v>
      </c>
      <c r="G239" s="6" t="n">
        <v>0.45468323734465</v>
      </c>
      <c r="H239" s="5" t="n">
        <v>69.95</v>
      </c>
      <c r="I239" s="5" t="n">
        <v>128.95</v>
      </c>
      <c r="J239" s="5" t="n">
        <f aca="false">H239-E239</f>
        <v>-20</v>
      </c>
      <c r="K239" s="6" t="n">
        <f aca="false">IF(E239=0,0,J239/E239)</f>
        <v>-0.222345747637576</v>
      </c>
    </row>
    <row r="240" customFormat="false" ht="15" hidden="false" customHeight="false" outlineLevel="0" collapsed="false">
      <c r="A240" s="4" t="s">
        <v>568</v>
      </c>
      <c r="B240" s="4" t="s">
        <v>569</v>
      </c>
      <c r="C240" s="4" t="s">
        <v>61</v>
      </c>
      <c r="D240" s="4" t="s">
        <v>19</v>
      </c>
      <c r="E240" s="5" t="n">
        <v>79.95</v>
      </c>
      <c r="F240" s="5" t="n">
        <v>146.95</v>
      </c>
      <c r="G240" s="6" t="n">
        <v>0.455937393671317</v>
      </c>
      <c r="H240" s="5" t="n">
        <v>69.95</v>
      </c>
      <c r="I240" s="5" t="n">
        <v>128.95</v>
      </c>
      <c r="J240" s="5" t="n">
        <f aca="false">H240-E240</f>
        <v>-10</v>
      </c>
      <c r="K240" s="6" t="n">
        <f aca="false">IF(E240=0,0,J240/E240)</f>
        <v>-0.125078173858662</v>
      </c>
    </row>
    <row r="241" customFormat="false" ht="15" hidden="false" customHeight="false" outlineLevel="0" collapsed="false">
      <c r="A241" s="4" t="s">
        <v>570</v>
      </c>
      <c r="B241" s="4" t="s">
        <v>571</v>
      </c>
      <c r="C241" s="4" t="s">
        <v>61</v>
      </c>
      <c r="D241" s="4" t="s">
        <v>19</v>
      </c>
      <c r="E241" s="5" t="n">
        <v>79.95</v>
      </c>
      <c r="F241" s="5" t="n">
        <v>159.95</v>
      </c>
      <c r="G241" s="6" t="n">
        <v>0.500156298843389</v>
      </c>
      <c r="H241" s="5" t="n">
        <v>69.95</v>
      </c>
      <c r="I241" s="5" t="n">
        <v>139.95</v>
      </c>
      <c r="J241" s="5" t="n">
        <f aca="false">H241-E241</f>
        <v>-10</v>
      </c>
      <c r="K241" s="6" t="n">
        <f aca="false">IF(E241=0,0,J241/E241)</f>
        <v>-0.125078173858662</v>
      </c>
    </row>
    <row r="242" customFormat="false" ht="15" hidden="false" customHeight="false" outlineLevel="0" collapsed="false">
      <c r="A242" s="4" t="s">
        <v>572</v>
      </c>
      <c r="B242" s="4" t="s">
        <v>573</v>
      </c>
      <c r="C242" s="4" t="s">
        <v>61</v>
      </c>
      <c r="D242" s="4" t="s">
        <v>19</v>
      </c>
      <c r="E242" s="5" t="n">
        <v>84.95</v>
      </c>
      <c r="F242" s="5" t="n">
        <v>142.95</v>
      </c>
      <c r="G242" s="6" t="n">
        <v>0.405736271423575</v>
      </c>
      <c r="H242" s="5" t="n">
        <v>69.95</v>
      </c>
      <c r="I242" s="5" t="n">
        <v>117.95</v>
      </c>
      <c r="J242" s="5" t="n">
        <f aca="false">H242-E242</f>
        <v>-15</v>
      </c>
      <c r="K242" s="6" t="n">
        <f aca="false">IF(E242=0,0,J242/E242)</f>
        <v>-0.176574455562095</v>
      </c>
    </row>
    <row r="243" customFormat="false" ht="15" hidden="false" customHeight="false" outlineLevel="0" collapsed="false">
      <c r="A243" s="4" t="s">
        <v>574</v>
      </c>
      <c r="B243" s="4" t="s">
        <v>575</v>
      </c>
      <c r="C243" s="4" t="s">
        <v>61</v>
      </c>
      <c r="D243" s="4" t="s">
        <v>19</v>
      </c>
      <c r="E243" s="5" t="n">
        <v>89.95</v>
      </c>
      <c r="F243" s="5" t="n">
        <v>164.95</v>
      </c>
      <c r="G243" s="6" t="n">
        <v>0.45468323734465</v>
      </c>
      <c r="H243" s="5" t="n">
        <v>69.95</v>
      </c>
      <c r="I243" s="5" t="n">
        <v>128.95</v>
      </c>
      <c r="J243" s="5" t="n">
        <f aca="false">H243-E243</f>
        <v>-20</v>
      </c>
      <c r="K243" s="6" t="n">
        <f aca="false">IF(E243=0,0,J243/E243)</f>
        <v>-0.222345747637576</v>
      </c>
    </row>
    <row r="244" customFormat="false" ht="15" hidden="false" customHeight="false" outlineLevel="0" collapsed="false">
      <c r="A244" s="4" t="s">
        <v>576</v>
      </c>
      <c r="B244" s="4" t="s">
        <v>577</v>
      </c>
      <c r="C244" s="4" t="s">
        <v>62</v>
      </c>
      <c r="D244" s="4" t="s">
        <v>19</v>
      </c>
      <c r="E244" s="5" t="n">
        <v>89.95</v>
      </c>
      <c r="F244" s="5" t="n">
        <v>149.95</v>
      </c>
      <c r="G244" s="6" t="n">
        <v>0.400133377792597</v>
      </c>
      <c r="H244" s="5" t="n">
        <v>74.95</v>
      </c>
      <c r="I244" s="5" t="n">
        <v>124.95</v>
      </c>
      <c r="J244" s="5" t="n">
        <f aca="false">H244-E244</f>
        <v>-15</v>
      </c>
      <c r="K244" s="6" t="n">
        <f aca="false">IF(E244=0,0,J244/E244)</f>
        <v>-0.166759310728182</v>
      </c>
    </row>
    <row r="245" customFormat="false" ht="15" hidden="false" customHeight="false" outlineLevel="0" collapsed="false">
      <c r="A245" s="4" t="s">
        <v>578</v>
      </c>
      <c r="B245" s="4" t="s">
        <v>579</v>
      </c>
      <c r="C245" s="4" t="s">
        <v>62</v>
      </c>
      <c r="D245" s="4" t="s">
        <v>19</v>
      </c>
      <c r="E245" s="5" t="n">
        <v>89.95</v>
      </c>
      <c r="F245" s="5" t="n">
        <v>164.95</v>
      </c>
      <c r="G245" s="6" t="n">
        <v>0.45468323734465</v>
      </c>
      <c r="H245" s="5" t="n">
        <v>74.95</v>
      </c>
      <c r="I245" s="5" t="n">
        <v>137.95</v>
      </c>
      <c r="J245" s="5" t="n">
        <f aca="false">H245-E245</f>
        <v>-15</v>
      </c>
      <c r="K245" s="6" t="n">
        <f aca="false">IF(E245=0,0,J245/E245)</f>
        <v>-0.166759310728182</v>
      </c>
    </row>
    <row r="246" customFormat="false" ht="15" hidden="false" customHeight="false" outlineLevel="0" collapsed="false">
      <c r="A246" s="4" t="s">
        <v>580</v>
      </c>
      <c r="B246" s="4" t="s">
        <v>581</v>
      </c>
      <c r="C246" s="4" t="s">
        <v>62</v>
      </c>
      <c r="D246" s="4" t="s">
        <v>19</v>
      </c>
      <c r="E246" s="5" t="n">
        <v>79.95</v>
      </c>
      <c r="F246" s="5" t="n">
        <v>134.95</v>
      </c>
      <c r="G246" s="6" t="n">
        <v>0.407558354946276</v>
      </c>
      <c r="H246" s="5" t="n">
        <v>69.95</v>
      </c>
      <c r="I246" s="5" t="n">
        <v>118.95</v>
      </c>
      <c r="J246" s="5" t="n">
        <f aca="false">H246-E246</f>
        <v>-10</v>
      </c>
      <c r="K246" s="6" t="n">
        <f aca="false">IF(E246=0,0,J246/E246)</f>
        <v>-0.125078173858662</v>
      </c>
    </row>
    <row r="247" customFormat="false" ht="15" hidden="false" customHeight="false" outlineLevel="0" collapsed="false">
      <c r="A247" s="4" t="s">
        <v>582</v>
      </c>
      <c r="B247" s="4" t="s">
        <v>583</v>
      </c>
      <c r="C247" s="4" t="s">
        <v>62</v>
      </c>
      <c r="D247" s="4" t="s">
        <v>19</v>
      </c>
      <c r="E247" s="5" t="n">
        <v>79.95</v>
      </c>
      <c r="F247" s="5" t="n">
        <v>159.95</v>
      </c>
      <c r="G247" s="6" t="n">
        <v>0.500156298843389</v>
      </c>
      <c r="H247" s="5" t="n">
        <v>69.95</v>
      </c>
      <c r="I247" s="5" t="n">
        <v>139.95</v>
      </c>
      <c r="J247" s="5" t="n">
        <f aca="false">H247-E247</f>
        <v>-10</v>
      </c>
      <c r="K247" s="6" t="n">
        <f aca="false">IF(E247=0,0,J247/E247)</f>
        <v>-0.125078173858662</v>
      </c>
    </row>
    <row r="248" customFormat="false" ht="15" hidden="false" customHeight="false" outlineLevel="0" collapsed="false">
      <c r="A248" s="4" t="s">
        <v>584</v>
      </c>
      <c r="B248" s="4" t="s">
        <v>585</v>
      </c>
      <c r="C248" s="4" t="s">
        <v>62</v>
      </c>
      <c r="D248" s="4" t="s">
        <v>19</v>
      </c>
      <c r="E248" s="5" t="n">
        <v>84.95</v>
      </c>
      <c r="F248" s="5" t="n">
        <v>142.95</v>
      </c>
      <c r="G248" s="6" t="n">
        <v>0.405736271423575</v>
      </c>
      <c r="H248" s="5" t="n">
        <v>69.95</v>
      </c>
      <c r="I248" s="5" t="n">
        <v>117.95</v>
      </c>
      <c r="J248" s="5" t="n">
        <f aca="false">H248-E248</f>
        <v>-15</v>
      </c>
      <c r="K248" s="6" t="n">
        <f aca="false">IF(E248=0,0,J248/E248)</f>
        <v>-0.176574455562095</v>
      </c>
    </row>
    <row r="249" customFormat="false" ht="15" hidden="false" customHeight="false" outlineLevel="0" collapsed="false">
      <c r="A249" s="4" t="s">
        <v>586</v>
      </c>
      <c r="B249" s="4" t="s">
        <v>587</v>
      </c>
      <c r="C249" s="4" t="s">
        <v>62</v>
      </c>
      <c r="D249" s="4" t="s">
        <v>19</v>
      </c>
      <c r="E249" s="5" t="n">
        <v>79.95</v>
      </c>
      <c r="F249" s="5" t="n">
        <v>134.95</v>
      </c>
      <c r="G249" s="6" t="n">
        <v>0.407558354946276</v>
      </c>
      <c r="H249" s="5" t="n">
        <v>69.95</v>
      </c>
      <c r="I249" s="5" t="n">
        <v>118.95</v>
      </c>
      <c r="J249" s="5" t="n">
        <f aca="false">H249-E249</f>
        <v>-10</v>
      </c>
      <c r="K249" s="6" t="n">
        <f aca="false">IF(E249=0,0,J249/E249)</f>
        <v>-0.125078173858662</v>
      </c>
    </row>
    <row r="250" customFormat="false" ht="15" hidden="false" customHeight="false" outlineLevel="0" collapsed="false">
      <c r="A250" s="4" t="s">
        <v>588</v>
      </c>
      <c r="B250" s="4" t="s">
        <v>589</v>
      </c>
      <c r="C250" s="4" t="s">
        <v>62</v>
      </c>
      <c r="D250" s="4" t="s">
        <v>19</v>
      </c>
      <c r="E250" s="5" t="n">
        <v>79.95</v>
      </c>
      <c r="F250" s="5" t="n">
        <v>146.95</v>
      </c>
      <c r="G250" s="6" t="n">
        <v>0.455937393671317</v>
      </c>
      <c r="H250" s="5" t="n">
        <v>69.95</v>
      </c>
      <c r="I250" s="5" t="n">
        <v>128.95</v>
      </c>
      <c r="J250" s="5" t="n">
        <f aca="false">H250-E250</f>
        <v>-10</v>
      </c>
      <c r="K250" s="6" t="n">
        <f aca="false">IF(E250=0,0,J250/E250)</f>
        <v>-0.125078173858662</v>
      </c>
    </row>
    <row r="251" customFormat="false" ht="15" hidden="false" customHeight="false" outlineLevel="0" collapsed="false">
      <c r="A251" s="4" t="s">
        <v>590</v>
      </c>
      <c r="B251" s="4" t="s">
        <v>591</v>
      </c>
      <c r="C251" s="4" t="s">
        <v>62</v>
      </c>
      <c r="D251" s="4" t="s">
        <v>19</v>
      </c>
      <c r="E251" s="5" t="n">
        <v>79.95</v>
      </c>
      <c r="F251" s="5" t="n">
        <v>134.95</v>
      </c>
      <c r="G251" s="6" t="n">
        <v>0.407558354946276</v>
      </c>
      <c r="H251" s="5" t="n">
        <v>69.95</v>
      </c>
      <c r="I251" s="5" t="n">
        <v>118.95</v>
      </c>
      <c r="J251" s="5" t="n">
        <f aca="false">H251-E251</f>
        <v>-10</v>
      </c>
      <c r="K251" s="6" t="n">
        <f aca="false">IF(E251=0,0,J251/E251)</f>
        <v>-0.125078173858662</v>
      </c>
    </row>
    <row r="252" customFormat="false" ht="15" hidden="false" customHeight="false" outlineLevel="0" collapsed="false">
      <c r="A252" s="4" t="s">
        <v>592</v>
      </c>
      <c r="B252" s="4" t="s">
        <v>593</v>
      </c>
      <c r="C252" s="4" t="s">
        <v>62</v>
      </c>
      <c r="D252" s="4" t="s">
        <v>19</v>
      </c>
      <c r="E252" s="5" t="n">
        <v>79.95</v>
      </c>
      <c r="F252" s="5" t="n">
        <v>146.95</v>
      </c>
      <c r="G252" s="6" t="n">
        <v>0.455937393671317</v>
      </c>
      <c r="H252" s="5" t="n">
        <v>69.95</v>
      </c>
      <c r="I252" s="5" t="n">
        <v>128.95</v>
      </c>
      <c r="J252" s="5" t="n">
        <f aca="false">H252-E252</f>
        <v>-10</v>
      </c>
      <c r="K252" s="6" t="n">
        <f aca="false">IF(E252=0,0,J252/E252)</f>
        <v>-0.125078173858662</v>
      </c>
    </row>
    <row r="253" customFormat="false" ht="15" hidden="false" customHeight="false" outlineLevel="0" collapsed="false">
      <c r="A253" s="4" t="s">
        <v>594</v>
      </c>
      <c r="B253" s="4" t="s">
        <v>595</v>
      </c>
      <c r="C253" s="4" t="s">
        <v>62</v>
      </c>
      <c r="D253" s="4" t="s">
        <v>19</v>
      </c>
      <c r="E253" s="5" t="n">
        <v>84.95</v>
      </c>
      <c r="F253" s="5" t="n">
        <v>155.95</v>
      </c>
      <c r="G253" s="6" t="n">
        <v>0.455274126322539</v>
      </c>
      <c r="H253" s="5" t="n">
        <v>69.95</v>
      </c>
      <c r="I253" s="5" t="n">
        <v>128.95</v>
      </c>
      <c r="J253" s="5" t="n">
        <f aca="false">H253-E253</f>
        <v>-15</v>
      </c>
      <c r="K253" s="6" t="n">
        <f aca="false">IF(E253=0,0,J253/E253)</f>
        <v>-0.176574455562095</v>
      </c>
    </row>
    <row r="254" customFormat="false" ht="15" hidden="false" customHeight="false" outlineLevel="0" collapsed="false">
      <c r="A254" s="4" t="s">
        <v>596</v>
      </c>
      <c r="B254" s="4" t="s">
        <v>597</v>
      </c>
      <c r="C254" s="4" t="s">
        <v>62</v>
      </c>
      <c r="D254" s="4" t="s">
        <v>19</v>
      </c>
      <c r="E254" s="5" t="n">
        <v>84.95</v>
      </c>
      <c r="F254" s="5" t="n">
        <v>155.95</v>
      </c>
      <c r="G254" s="6" t="n">
        <v>0.455274126322539</v>
      </c>
      <c r="H254" s="5" t="n">
        <v>69.95</v>
      </c>
      <c r="I254" s="5" t="n">
        <v>128.95</v>
      </c>
      <c r="J254" s="5" t="n">
        <f aca="false">H254-E254</f>
        <v>-15</v>
      </c>
      <c r="K254" s="6" t="n">
        <f aca="false">IF(E254=0,0,J254/E254)</f>
        <v>-0.176574455562095</v>
      </c>
    </row>
    <row r="255" customFormat="false" ht="15" hidden="false" customHeight="false" outlineLevel="0" collapsed="false">
      <c r="A255" s="4" t="s">
        <v>598</v>
      </c>
      <c r="B255" s="4" t="s">
        <v>599</v>
      </c>
      <c r="C255" s="4" t="s">
        <v>62</v>
      </c>
      <c r="D255" s="4" t="s">
        <v>19</v>
      </c>
      <c r="E255" s="5" t="n">
        <v>89.95</v>
      </c>
      <c r="F255" s="5" t="n">
        <v>149.95</v>
      </c>
      <c r="G255" s="6" t="n">
        <v>0.400133377792597</v>
      </c>
      <c r="H255" s="5" t="n">
        <v>74.95</v>
      </c>
      <c r="I255" s="5" t="n">
        <v>124.95</v>
      </c>
      <c r="J255" s="5" t="n">
        <f aca="false">H255-E255</f>
        <v>-15</v>
      </c>
      <c r="K255" s="6" t="n">
        <f aca="false">IF(E255=0,0,J255/E255)</f>
        <v>-0.166759310728182</v>
      </c>
    </row>
    <row r="256" customFormat="false" ht="15" hidden="false" customHeight="false" outlineLevel="0" collapsed="false">
      <c r="A256" s="4" t="s">
        <v>600</v>
      </c>
      <c r="B256" s="4" t="s">
        <v>601</v>
      </c>
      <c r="C256" s="4" t="s">
        <v>62</v>
      </c>
      <c r="D256" s="4" t="s">
        <v>19</v>
      </c>
      <c r="E256" s="5" t="n">
        <v>79.95</v>
      </c>
      <c r="F256" s="5" t="n">
        <v>146.95</v>
      </c>
      <c r="G256" s="6" t="n">
        <v>0.455937393671317</v>
      </c>
      <c r="H256" s="5" t="n">
        <v>69.95</v>
      </c>
      <c r="I256" s="5" t="n">
        <v>128.95</v>
      </c>
      <c r="J256" s="5" t="n">
        <f aca="false">H256-E256</f>
        <v>-10</v>
      </c>
      <c r="K256" s="6" t="n">
        <f aca="false">IF(E256=0,0,J256/E256)</f>
        <v>-0.125078173858662</v>
      </c>
    </row>
    <row r="257" customFormat="false" ht="15" hidden="false" customHeight="false" outlineLevel="0" collapsed="false">
      <c r="A257" s="4" t="s">
        <v>602</v>
      </c>
      <c r="B257" s="4" t="s">
        <v>603</v>
      </c>
      <c r="C257" s="4" t="s">
        <v>62</v>
      </c>
      <c r="D257" s="4" t="s">
        <v>19</v>
      </c>
      <c r="E257" s="5" t="n">
        <v>79.95</v>
      </c>
      <c r="F257" s="5" t="n">
        <v>159.95</v>
      </c>
      <c r="G257" s="6" t="n">
        <v>0.500156298843389</v>
      </c>
      <c r="H257" s="5" t="n">
        <v>69.95</v>
      </c>
      <c r="I257" s="5" t="n">
        <v>139.95</v>
      </c>
      <c r="J257" s="5" t="n">
        <f aca="false">H257-E257</f>
        <v>-10</v>
      </c>
      <c r="K257" s="6" t="n">
        <f aca="false">IF(E257=0,0,J257/E257)</f>
        <v>-0.125078173858662</v>
      </c>
    </row>
    <row r="258" customFormat="false" ht="15" hidden="false" customHeight="false" outlineLevel="0" collapsed="false">
      <c r="A258" s="4" t="s">
        <v>604</v>
      </c>
      <c r="B258" s="4" t="s">
        <v>605</v>
      </c>
      <c r="C258" s="4" t="s">
        <v>62</v>
      </c>
      <c r="D258" s="4" t="s">
        <v>19</v>
      </c>
      <c r="E258" s="5" t="n">
        <v>79.95</v>
      </c>
      <c r="F258" s="5" t="n">
        <v>134.95</v>
      </c>
      <c r="G258" s="6" t="n">
        <v>0.407558354946276</v>
      </c>
      <c r="H258" s="5" t="n">
        <v>69.95</v>
      </c>
      <c r="I258" s="5" t="n">
        <v>118.95</v>
      </c>
      <c r="J258" s="5" t="n">
        <f aca="false">H258-E258</f>
        <v>-10</v>
      </c>
      <c r="K258" s="6" t="n">
        <f aca="false">IF(E258=0,0,J258/E258)</f>
        <v>-0.125078173858662</v>
      </c>
    </row>
    <row r="259" customFormat="false" ht="15" hidden="false" customHeight="false" outlineLevel="0" collapsed="false">
      <c r="A259" s="4" t="s">
        <v>606</v>
      </c>
      <c r="B259" s="4" t="s">
        <v>607</v>
      </c>
      <c r="C259" s="4" t="s">
        <v>63</v>
      </c>
      <c r="D259" s="4" t="s">
        <v>21</v>
      </c>
      <c r="E259" s="5" t="n">
        <v>114.95</v>
      </c>
      <c r="F259" s="5" t="n">
        <v>191.95</v>
      </c>
      <c r="G259" s="6" t="n">
        <v>0.401146131805158</v>
      </c>
      <c r="H259" s="5" t="n">
        <v>89.95</v>
      </c>
      <c r="I259" s="5" t="n">
        <v>150.95</v>
      </c>
      <c r="J259" s="5" t="n">
        <f aca="false">H259-E259</f>
        <v>-25</v>
      </c>
      <c r="K259" s="6" t="n">
        <f aca="false">IF(E259=0,0,J259/E259)</f>
        <v>-0.217485863418878</v>
      </c>
    </row>
    <row r="260" customFormat="false" ht="15" hidden="false" customHeight="false" outlineLevel="0" collapsed="false">
      <c r="A260" s="4" t="s">
        <v>608</v>
      </c>
      <c r="B260" s="4" t="s">
        <v>609</v>
      </c>
      <c r="C260" s="4" t="s">
        <v>63</v>
      </c>
      <c r="D260" s="4" t="s">
        <v>21</v>
      </c>
      <c r="E260" s="5" t="n">
        <v>114.95</v>
      </c>
      <c r="F260" s="5" t="n">
        <v>209.95</v>
      </c>
      <c r="G260" s="6" t="n">
        <v>0.452488687782805</v>
      </c>
      <c r="H260" s="5" t="n">
        <v>89.95</v>
      </c>
      <c r="I260" s="5" t="n">
        <v>164.95</v>
      </c>
      <c r="J260" s="5" t="n">
        <f aca="false">H260-E260</f>
        <v>-25</v>
      </c>
      <c r="K260" s="6" t="n">
        <f aca="false">IF(E260=0,0,J260/E260)</f>
        <v>-0.217485863418878</v>
      </c>
    </row>
    <row r="261" customFormat="false" ht="15" hidden="false" customHeight="false" outlineLevel="0" collapsed="false">
      <c r="A261" s="4" t="s">
        <v>610</v>
      </c>
      <c r="B261" s="4" t="s">
        <v>611</v>
      </c>
      <c r="C261" s="4" t="s">
        <v>64</v>
      </c>
      <c r="D261" s="4" t="s">
        <v>29</v>
      </c>
      <c r="E261" s="5" t="n">
        <v>64.95</v>
      </c>
      <c r="F261" s="5" t="n">
        <v>129.95</v>
      </c>
      <c r="G261" s="6" t="n">
        <v>0.500192381685264</v>
      </c>
      <c r="H261" s="5" t="n">
        <v>64.95</v>
      </c>
      <c r="I261" s="5" t="n">
        <v>129.95</v>
      </c>
      <c r="J261" s="5" t="n">
        <f aca="false">H261-E261</f>
        <v>0</v>
      </c>
      <c r="K261" s="6" t="n">
        <f aca="false">IF(E261=0,0,J261/E261)</f>
        <v>0</v>
      </c>
    </row>
    <row r="262" customFormat="false" ht="15" hidden="false" customHeight="false" outlineLevel="0" collapsed="false">
      <c r="A262" s="4" t="s">
        <v>612</v>
      </c>
      <c r="B262" s="4" t="s">
        <v>613</v>
      </c>
      <c r="C262" s="4" t="s">
        <v>64</v>
      </c>
      <c r="D262" s="4" t="s">
        <v>29</v>
      </c>
      <c r="E262" s="5" t="n">
        <v>64.95</v>
      </c>
      <c r="F262" s="5" t="n">
        <v>129.95</v>
      </c>
      <c r="G262" s="6" t="n">
        <v>0.500192381685264</v>
      </c>
      <c r="H262" s="5" t="n">
        <v>64.95</v>
      </c>
      <c r="I262" s="5" t="n">
        <v>129.95</v>
      </c>
      <c r="J262" s="5" t="n">
        <f aca="false">H262-E262</f>
        <v>0</v>
      </c>
      <c r="K262" s="6" t="n">
        <f aca="false">IF(E262=0,0,J262/E262)</f>
        <v>0</v>
      </c>
    </row>
    <row r="263" customFormat="false" ht="15" hidden="false" customHeight="false" outlineLevel="0" collapsed="false">
      <c r="A263" s="4" t="s">
        <v>614</v>
      </c>
      <c r="B263" s="4" t="s">
        <v>615</v>
      </c>
      <c r="C263" s="4" t="s">
        <v>64</v>
      </c>
      <c r="D263" s="4" t="s">
        <v>29</v>
      </c>
      <c r="E263" s="5" t="n">
        <v>64.95</v>
      </c>
      <c r="F263" s="5" t="n">
        <v>129.95</v>
      </c>
      <c r="G263" s="6" t="n">
        <v>0.500192381685264</v>
      </c>
      <c r="H263" s="5" t="n">
        <v>64.95</v>
      </c>
      <c r="I263" s="5" t="n">
        <v>129.95</v>
      </c>
      <c r="J263" s="5" t="n">
        <f aca="false">H263-E263</f>
        <v>0</v>
      </c>
      <c r="K263" s="6" t="n">
        <f aca="false">IF(E263=0,0,J263/E263)</f>
        <v>0</v>
      </c>
    </row>
    <row r="264" customFormat="false" ht="15" hidden="false" customHeight="false" outlineLevel="0" collapsed="false">
      <c r="A264" s="4" t="s">
        <v>616</v>
      </c>
      <c r="B264" s="4" t="s">
        <v>617</v>
      </c>
      <c r="C264" s="4" t="s">
        <v>64</v>
      </c>
      <c r="D264" s="4" t="s">
        <v>29</v>
      </c>
      <c r="E264" s="5" t="n">
        <v>64.95</v>
      </c>
      <c r="F264" s="5" t="n">
        <v>129.95</v>
      </c>
      <c r="G264" s="6" t="n">
        <v>0.500192381685264</v>
      </c>
      <c r="H264" s="5" t="n">
        <v>64.95</v>
      </c>
      <c r="I264" s="5" t="n">
        <v>129.95</v>
      </c>
      <c r="J264" s="5" t="n">
        <f aca="false">H264-E264</f>
        <v>0</v>
      </c>
      <c r="K264" s="6" t="n">
        <f aca="false">IF(E264=0,0,J264/E264)</f>
        <v>0</v>
      </c>
    </row>
    <row r="265" customFormat="false" ht="15" hidden="false" customHeight="false" outlineLevel="0" collapsed="false">
      <c r="A265" s="4" t="s">
        <v>618</v>
      </c>
      <c r="B265" s="4" t="s">
        <v>619</v>
      </c>
      <c r="C265" s="4" t="s">
        <v>65</v>
      </c>
      <c r="D265" s="4" t="s">
        <v>34</v>
      </c>
      <c r="E265" s="5" t="n">
        <v>104.95</v>
      </c>
      <c r="F265" s="5" t="n">
        <v>209.95</v>
      </c>
      <c r="G265" s="6" t="n">
        <v>0.500119075970469</v>
      </c>
      <c r="H265" s="5" t="n">
        <v>84.95</v>
      </c>
      <c r="I265" s="5" t="n">
        <v>169.95</v>
      </c>
      <c r="J265" s="5" t="n">
        <f aca="false">H265-E265</f>
        <v>-20</v>
      </c>
      <c r="K265" s="6" t="n">
        <f aca="false">IF(E265=0,0,J265/E265)</f>
        <v>-0.190566936636494</v>
      </c>
    </row>
    <row r="266" customFormat="false" ht="15" hidden="false" customHeight="false" outlineLevel="0" collapsed="false">
      <c r="A266" s="4" t="s">
        <v>620</v>
      </c>
      <c r="B266" s="4" t="s">
        <v>621</v>
      </c>
      <c r="C266" s="4" t="s">
        <v>65</v>
      </c>
      <c r="D266" s="4" t="s">
        <v>34</v>
      </c>
      <c r="E266" s="5" t="n">
        <v>104.95</v>
      </c>
      <c r="F266" s="5" t="n">
        <v>209.95</v>
      </c>
      <c r="G266" s="6" t="n">
        <v>0.500119075970469</v>
      </c>
      <c r="H266" s="5" t="n">
        <v>84.95</v>
      </c>
      <c r="I266" s="5" t="n">
        <v>169.95</v>
      </c>
      <c r="J266" s="5" t="n">
        <f aca="false">H266-E266</f>
        <v>-20</v>
      </c>
      <c r="K266" s="6" t="n">
        <f aca="false">IF(E266=0,0,J266/E266)</f>
        <v>-0.190566936636494</v>
      </c>
    </row>
    <row r="267" customFormat="false" ht="15" hidden="false" customHeight="false" outlineLevel="0" collapsed="false">
      <c r="A267" s="4" t="s">
        <v>622</v>
      </c>
      <c r="B267" s="4" t="s">
        <v>623</v>
      </c>
      <c r="C267" s="4" t="s">
        <v>65</v>
      </c>
      <c r="D267" s="4" t="s">
        <v>34</v>
      </c>
      <c r="E267" s="5" t="n">
        <v>99.95</v>
      </c>
      <c r="F267" s="5" t="n">
        <v>199.95</v>
      </c>
      <c r="G267" s="6" t="n">
        <v>0.500125031257814</v>
      </c>
      <c r="H267" s="5" t="n">
        <v>84.95</v>
      </c>
      <c r="I267" s="5" t="n">
        <v>169.95</v>
      </c>
      <c r="J267" s="5" t="n">
        <f aca="false">H267-E267</f>
        <v>-15</v>
      </c>
      <c r="K267" s="6" t="n">
        <f aca="false">IF(E267=0,0,J267/E267)</f>
        <v>-0.150075037518759</v>
      </c>
    </row>
    <row r="268" customFormat="false" ht="15" hidden="false" customHeight="false" outlineLevel="0" collapsed="false">
      <c r="A268" s="4" t="s">
        <v>624</v>
      </c>
      <c r="B268" s="4" t="s">
        <v>625</v>
      </c>
      <c r="C268" s="4" t="s">
        <v>65</v>
      </c>
      <c r="D268" s="4" t="s">
        <v>34</v>
      </c>
      <c r="E268" s="5" t="n">
        <v>109.95</v>
      </c>
      <c r="F268" s="5" t="n">
        <v>200.95</v>
      </c>
      <c r="G268" s="6" t="n">
        <v>0.452848967404827</v>
      </c>
      <c r="H268" s="5" t="n">
        <v>89.95</v>
      </c>
      <c r="I268" s="5" t="n">
        <v>164.95</v>
      </c>
      <c r="J268" s="5" t="n">
        <f aca="false">H268-E268</f>
        <v>-20</v>
      </c>
      <c r="K268" s="6" t="n">
        <f aca="false">IF(E268=0,0,J268/E268)</f>
        <v>-0.181900864029104</v>
      </c>
    </row>
    <row r="269" customFormat="false" ht="15" hidden="false" customHeight="false" outlineLevel="0" collapsed="false">
      <c r="A269" s="4" t="s">
        <v>626</v>
      </c>
      <c r="B269" s="4" t="s">
        <v>625</v>
      </c>
      <c r="C269" s="4" t="s">
        <v>65</v>
      </c>
      <c r="D269" s="4" t="s">
        <v>34</v>
      </c>
      <c r="E269" s="5" t="n">
        <v>104.95</v>
      </c>
      <c r="F269" s="5" t="n">
        <v>190.95</v>
      </c>
      <c r="G269" s="6" t="n">
        <v>0.450379680544645</v>
      </c>
      <c r="H269" s="5" t="n">
        <v>84.95</v>
      </c>
      <c r="I269" s="5" t="n">
        <v>154.95</v>
      </c>
      <c r="J269" s="5" t="n">
        <f aca="false">H269-E269</f>
        <v>-20</v>
      </c>
      <c r="K269" s="6" t="n">
        <f aca="false">IF(E269=0,0,J269/E269)</f>
        <v>-0.190566936636494</v>
      </c>
    </row>
    <row r="270" customFormat="false" ht="15" hidden="false" customHeight="false" outlineLevel="0" collapsed="false">
      <c r="A270" s="4" t="s">
        <v>627</v>
      </c>
      <c r="B270" s="4" t="s">
        <v>628</v>
      </c>
      <c r="C270" s="4" t="s">
        <v>65</v>
      </c>
      <c r="D270" s="4" t="s">
        <v>34</v>
      </c>
      <c r="E270" s="5" t="n">
        <v>89.95</v>
      </c>
      <c r="F270" s="5" t="n">
        <v>164.95</v>
      </c>
      <c r="G270" s="6" t="n">
        <v>0.45468323734465</v>
      </c>
      <c r="H270" s="5" t="n">
        <v>84.95</v>
      </c>
      <c r="I270" s="5" t="n">
        <v>155.95</v>
      </c>
      <c r="J270" s="5" t="n">
        <f aca="false">H270-E270</f>
        <v>-5</v>
      </c>
      <c r="K270" s="6" t="n">
        <f aca="false">IF(E270=0,0,J270/E270)</f>
        <v>-0.0555864369093941</v>
      </c>
    </row>
    <row r="271" customFormat="false" ht="15" hidden="false" customHeight="false" outlineLevel="0" collapsed="false">
      <c r="A271" s="4" t="s">
        <v>629</v>
      </c>
      <c r="B271" s="4" t="s">
        <v>630</v>
      </c>
      <c r="C271" s="4" t="s">
        <v>65</v>
      </c>
      <c r="D271" s="4" t="s">
        <v>34</v>
      </c>
      <c r="E271" s="5" t="n">
        <v>104.95</v>
      </c>
      <c r="F271" s="5" t="n">
        <v>174.95</v>
      </c>
      <c r="G271" s="6" t="n">
        <v>0.400114318376679</v>
      </c>
      <c r="H271" s="5" t="n">
        <v>84.95</v>
      </c>
      <c r="I271" s="5" t="n">
        <v>141.95</v>
      </c>
      <c r="J271" s="5" t="n">
        <f aca="false">H271-E271</f>
        <v>-20</v>
      </c>
      <c r="K271" s="6" t="n">
        <f aca="false">IF(E271=0,0,J271/E271)</f>
        <v>-0.190566936636494</v>
      </c>
    </row>
    <row r="272" customFormat="false" ht="15" hidden="false" customHeight="false" outlineLevel="0" collapsed="false">
      <c r="A272" s="4" t="s">
        <v>631</v>
      </c>
      <c r="B272" s="4" t="s">
        <v>632</v>
      </c>
      <c r="C272" s="4" t="s">
        <v>65</v>
      </c>
      <c r="D272" s="4" t="s">
        <v>34</v>
      </c>
      <c r="E272" s="5" t="n">
        <v>89.95</v>
      </c>
      <c r="F272" s="5" t="n">
        <v>164.95</v>
      </c>
      <c r="G272" s="6" t="n">
        <v>0.45468323734465</v>
      </c>
      <c r="H272" s="5" t="n">
        <v>84.95</v>
      </c>
      <c r="I272" s="5" t="n">
        <v>155.95</v>
      </c>
      <c r="J272" s="5" t="n">
        <f aca="false">H272-E272</f>
        <v>-5</v>
      </c>
      <c r="K272" s="6" t="n">
        <f aca="false">IF(E272=0,0,J272/E272)</f>
        <v>-0.0555864369093941</v>
      </c>
    </row>
    <row r="273" customFormat="false" ht="15" hidden="false" customHeight="false" outlineLevel="0" collapsed="false">
      <c r="A273" s="4" t="s">
        <v>633</v>
      </c>
      <c r="B273" s="4" t="s">
        <v>634</v>
      </c>
      <c r="C273" s="4" t="s">
        <v>66</v>
      </c>
      <c r="D273" s="4" t="s">
        <v>34</v>
      </c>
      <c r="E273" s="5" t="n">
        <v>84.95</v>
      </c>
      <c r="F273" s="5" t="n">
        <v>142.95</v>
      </c>
      <c r="G273" s="6" t="n">
        <v>0.405736271423575</v>
      </c>
      <c r="H273" s="5" t="n">
        <v>84.95</v>
      </c>
      <c r="I273" s="5" t="n">
        <v>142.95</v>
      </c>
      <c r="J273" s="5" t="n">
        <f aca="false">H273-E273</f>
        <v>0</v>
      </c>
      <c r="K273" s="6" t="n">
        <f aca="false">IF(E273=0,0,J273/E273)</f>
        <v>0</v>
      </c>
    </row>
    <row r="274" customFormat="false" ht="15" hidden="false" customHeight="false" outlineLevel="0" collapsed="false">
      <c r="A274" s="4" t="s">
        <v>635</v>
      </c>
      <c r="B274" s="4" t="s">
        <v>636</v>
      </c>
      <c r="C274" s="4" t="s">
        <v>67</v>
      </c>
      <c r="D274" s="4" t="s">
        <v>68</v>
      </c>
      <c r="E274" s="5" t="n">
        <v>104.95</v>
      </c>
      <c r="F274" s="5" t="n">
        <v>174.95</v>
      </c>
      <c r="G274" s="6" t="n">
        <v>0.400114318376679</v>
      </c>
      <c r="H274" s="5" t="n">
        <v>79.95</v>
      </c>
      <c r="I274" s="5" t="n">
        <v>133.95</v>
      </c>
      <c r="J274" s="5" t="n">
        <f aca="false">H274-E274</f>
        <v>-25</v>
      </c>
      <c r="K274" s="6" t="n">
        <f aca="false">IF(E274=0,0,J274/E274)</f>
        <v>-0.238208670795617</v>
      </c>
    </row>
    <row r="275" customFormat="false" ht="15" hidden="false" customHeight="false" outlineLevel="0" collapsed="false">
      <c r="A275" s="4" t="s">
        <v>637</v>
      </c>
      <c r="B275" s="4" t="s">
        <v>638</v>
      </c>
      <c r="C275" s="4" t="s">
        <v>67</v>
      </c>
      <c r="D275" s="4" t="s">
        <v>68</v>
      </c>
      <c r="E275" s="5" t="n">
        <v>104.95</v>
      </c>
      <c r="F275" s="5" t="n">
        <v>191.95</v>
      </c>
      <c r="G275" s="6" t="n">
        <v>0.453243032039594</v>
      </c>
      <c r="H275" s="5" t="n">
        <v>79.95</v>
      </c>
      <c r="I275" s="5" t="n">
        <v>146.95</v>
      </c>
      <c r="J275" s="5" t="n">
        <f aca="false">H275-E275</f>
        <v>-25</v>
      </c>
      <c r="K275" s="6" t="n">
        <f aca="false">IF(E275=0,0,J275/E275)</f>
        <v>-0.238208670795617</v>
      </c>
    </row>
    <row r="276" customFormat="false" ht="15" hidden="false" customHeight="false" outlineLevel="0" collapsed="false">
      <c r="A276" s="4" t="s">
        <v>639</v>
      </c>
      <c r="B276" s="4" t="s">
        <v>640</v>
      </c>
      <c r="C276" s="4" t="s">
        <v>67</v>
      </c>
      <c r="D276" s="4" t="s">
        <v>68</v>
      </c>
      <c r="E276" s="5" t="n">
        <v>84.95</v>
      </c>
      <c r="F276" s="5" t="n">
        <v>169.95</v>
      </c>
      <c r="G276" s="6" t="n">
        <v>0.50014710208885</v>
      </c>
      <c r="H276" s="5" t="n">
        <v>74.95</v>
      </c>
      <c r="I276" s="5" t="n">
        <v>149.95</v>
      </c>
      <c r="J276" s="5" t="n">
        <f aca="false">H276-E276</f>
        <v>-10</v>
      </c>
      <c r="K276" s="6" t="n">
        <f aca="false">IF(E276=0,0,J276/E276)</f>
        <v>-0.117716303708064</v>
      </c>
    </row>
    <row r="277" customFormat="false" ht="15" hidden="false" customHeight="false" outlineLevel="0" collapsed="false">
      <c r="A277" s="4" t="s">
        <v>641</v>
      </c>
      <c r="B277" s="4" t="s">
        <v>642</v>
      </c>
      <c r="C277" s="4" t="s">
        <v>67</v>
      </c>
      <c r="D277" s="4" t="s">
        <v>68</v>
      </c>
      <c r="E277" s="5" t="n">
        <v>89.95</v>
      </c>
      <c r="F277" s="5" t="n">
        <v>179.95</v>
      </c>
      <c r="G277" s="6" t="n">
        <v>0.500138927479855</v>
      </c>
      <c r="H277" s="5" t="n">
        <v>74.95</v>
      </c>
      <c r="I277" s="5" t="n">
        <v>149.95</v>
      </c>
      <c r="J277" s="5" t="n">
        <f aca="false">H277-E277</f>
        <v>-15</v>
      </c>
      <c r="K277" s="6" t="n">
        <f aca="false">IF(E277=0,0,J277/E277)</f>
        <v>-0.166759310728182</v>
      </c>
    </row>
    <row r="278" customFormat="false" ht="15" hidden="false" customHeight="false" outlineLevel="0" collapsed="false">
      <c r="A278" s="4" t="s">
        <v>643</v>
      </c>
      <c r="B278" s="4" t="s">
        <v>644</v>
      </c>
      <c r="C278" s="4" t="s">
        <v>67</v>
      </c>
      <c r="D278" s="4" t="s">
        <v>68</v>
      </c>
      <c r="E278" s="5" t="n">
        <v>84.95</v>
      </c>
      <c r="F278" s="5" t="n">
        <v>169.95</v>
      </c>
      <c r="G278" s="6" t="n">
        <v>0.50014710208885</v>
      </c>
      <c r="H278" s="5" t="n">
        <v>74.95</v>
      </c>
      <c r="I278" s="5" t="n">
        <v>149.95</v>
      </c>
      <c r="J278" s="5" t="n">
        <f aca="false">H278-E278</f>
        <v>-10</v>
      </c>
      <c r="K278" s="6" t="n">
        <f aca="false">IF(E278=0,0,J278/E278)</f>
        <v>-0.117716303708064</v>
      </c>
    </row>
    <row r="279" customFormat="false" ht="15" hidden="false" customHeight="false" outlineLevel="0" collapsed="false">
      <c r="A279" s="4" t="s">
        <v>645</v>
      </c>
      <c r="B279" s="4" t="s">
        <v>646</v>
      </c>
      <c r="C279" s="4" t="s">
        <v>69</v>
      </c>
      <c r="D279" s="4" t="s">
        <v>70</v>
      </c>
      <c r="E279" s="5" t="n">
        <v>79.95</v>
      </c>
      <c r="F279" s="5" t="n">
        <v>159.95</v>
      </c>
      <c r="G279" s="6" t="n">
        <v>0.500156298843389</v>
      </c>
      <c r="H279" s="5" t="n">
        <v>69.95</v>
      </c>
      <c r="I279" s="5" t="n">
        <v>139.95</v>
      </c>
      <c r="J279" s="5" t="n">
        <f aca="false">H279-E279</f>
        <v>-10</v>
      </c>
      <c r="K279" s="6" t="n">
        <f aca="false">IF(E279=0,0,J279/E279)</f>
        <v>-0.125078173858662</v>
      </c>
    </row>
    <row r="280" customFormat="false" ht="15" hidden="false" customHeight="false" outlineLevel="0" collapsed="false">
      <c r="A280" s="4" t="s">
        <v>647</v>
      </c>
      <c r="B280" s="4" t="s">
        <v>648</v>
      </c>
      <c r="C280" s="4" t="s">
        <v>69</v>
      </c>
      <c r="D280" s="4" t="s">
        <v>70</v>
      </c>
      <c r="E280" s="5" t="n">
        <v>84.95</v>
      </c>
      <c r="F280" s="5" t="n">
        <v>155.95</v>
      </c>
      <c r="G280" s="6" t="n">
        <v>0.455274126322539</v>
      </c>
      <c r="H280" s="5" t="n">
        <v>69.95</v>
      </c>
      <c r="I280" s="5" t="n">
        <v>128.95</v>
      </c>
      <c r="J280" s="5" t="n">
        <f aca="false">H280-E280</f>
        <v>-15</v>
      </c>
      <c r="K280" s="6" t="n">
        <f aca="false">IF(E280=0,0,J280/E280)</f>
        <v>-0.176574455562095</v>
      </c>
    </row>
    <row r="281" customFormat="false" ht="15" hidden="false" customHeight="false" outlineLevel="0" collapsed="false">
      <c r="A281" s="4" t="s">
        <v>649</v>
      </c>
      <c r="B281" s="4" t="s">
        <v>650</v>
      </c>
      <c r="C281" s="4" t="s">
        <v>69</v>
      </c>
      <c r="D281" s="4" t="s">
        <v>70</v>
      </c>
      <c r="E281" s="5" t="n">
        <v>84.95</v>
      </c>
      <c r="F281" s="5" t="n">
        <v>155.95</v>
      </c>
      <c r="G281" s="6" t="n">
        <v>0.455274126322539</v>
      </c>
      <c r="H281" s="5" t="n">
        <v>69.95</v>
      </c>
      <c r="I281" s="5" t="n">
        <v>128.95</v>
      </c>
      <c r="J281" s="5" t="n">
        <f aca="false">H281-E281</f>
        <v>-15</v>
      </c>
      <c r="K281" s="6" t="n">
        <f aca="false">IF(E281=0,0,J281/E281)</f>
        <v>-0.176574455562095</v>
      </c>
    </row>
    <row r="282" customFormat="false" ht="15" hidden="false" customHeight="false" outlineLevel="0" collapsed="false">
      <c r="A282" s="4" t="s">
        <v>651</v>
      </c>
      <c r="B282" s="4" t="s">
        <v>652</v>
      </c>
      <c r="C282" s="4" t="s">
        <v>69</v>
      </c>
      <c r="D282" s="4" t="s">
        <v>70</v>
      </c>
      <c r="E282" s="5" t="n">
        <v>84.95</v>
      </c>
      <c r="F282" s="5" t="n">
        <v>155.95</v>
      </c>
      <c r="G282" s="6" t="n">
        <v>0.455274126322539</v>
      </c>
      <c r="H282" s="5" t="n">
        <v>69.95</v>
      </c>
      <c r="I282" s="5" t="n">
        <v>128.95</v>
      </c>
      <c r="J282" s="5" t="n">
        <f aca="false">H282-E282</f>
        <v>-15</v>
      </c>
      <c r="K282" s="6" t="n">
        <f aca="false">IF(E282=0,0,J282/E282)</f>
        <v>-0.176574455562095</v>
      </c>
    </row>
    <row r="283" customFormat="false" ht="15" hidden="false" customHeight="false" outlineLevel="0" collapsed="false">
      <c r="A283" s="4" t="s">
        <v>653</v>
      </c>
      <c r="B283" s="4" t="s">
        <v>654</v>
      </c>
      <c r="C283" s="4" t="s">
        <v>69</v>
      </c>
      <c r="D283" s="4" t="s">
        <v>70</v>
      </c>
      <c r="E283" s="5" t="n">
        <v>84.95</v>
      </c>
      <c r="F283" s="5" t="n">
        <v>142.95</v>
      </c>
      <c r="G283" s="6" t="n">
        <v>0.405736271423575</v>
      </c>
      <c r="H283" s="5" t="n">
        <v>69.95</v>
      </c>
      <c r="I283" s="5" t="n">
        <v>117.95</v>
      </c>
      <c r="J283" s="5" t="n">
        <f aca="false">H283-E283</f>
        <v>-15</v>
      </c>
      <c r="K283" s="6" t="n">
        <f aca="false">IF(E283=0,0,J283/E283)</f>
        <v>-0.176574455562095</v>
      </c>
    </row>
    <row r="284" customFormat="false" ht="15" hidden="false" customHeight="false" outlineLevel="0" collapsed="false">
      <c r="A284" s="4" t="s">
        <v>655</v>
      </c>
      <c r="B284" s="4" t="s">
        <v>656</v>
      </c>
      <c r="C284" s="4" t="s">
        <v>69</v>
      </c>
      <c r="D284" s="4" t="s">
        <v>70</v>
      </c>
      <c r="E284" s="5" t="n">
        <v>79.95</v>
      </c>
      <c r="F284" s="5" t="n">
        <v>159.95</v>
      </c>
      <c r="G284" s="6" t="n">
        <v>0.500156298843389</v>
      </c>
      <c r="H284" s="5" t="n">
        <v>69.95</v>
      </c>
      <c r="I284" s="5" t="n">
        <v>139.95</v>
      </c>
      <c r="J284" s="5" t="n">
        <f aca="false">H284-E284</f>
        <v>-10</v>
      </c>
      <c r="K284" s="6" t="n">
        <f aca="false">IF(E284=0,0,J284/E284)</f>
        <v>-0.125078173858662</v>
      </c>
    </row>
    <row r="285" customFormat="false" ht="15" hidden="false" customHeight="false" outlineLevel="0" collapsed="false">
      <c r="A285" s="4" t="s">
        <v>657</v>
      </c>
      <c r="B285" s="4" t="s">
        <v>658</v>
      </c>
      <c r="C285" s="4" t="s">
        <v>69</v>
      </c>
      <c r="D285" s="4" t="s">
        <v>70</v>
      </c>
      <c r="E285" s="5" t="n">
        <v>84.95</v>
      </c>
      <c r="F285" s="5" t="n">
        <v>155.95</v>
      </c>
      <c r="G285" s="6" t="n">
        <v>0.455274126322539</v>
      </c>
      <c r="H285" s="5" t="n">
        <v>69.95</v>
      </c>
      <c r="I285" s="5" t="n">
        <v>128.95</v>
      </c>
      <c r="J285" s="5" t="n">
        <f aca="false">H285-E285</f>
        <v>-15</v>
      </c>
      <c r="K285" s="6" t="n">
        <f aca="false">IF(E285=0,0,J285/E285)</f>
        <v>-0.176574455562095</v>
      </c>
    </row>
    <row r="286" customFormat="false" ht="15" hidden="false" customHeight="false" outlineLevel="0" collapsed="false">
      <c r="A286" s="4" t="s">
        <v>659</v>
      </c>
      <c r="B286" s="4" t="s">
        <v>660</v>
      </c>
      <c r="C286" s="4" t="s">
        <v>69</v>
      </c>
      <c r="D286" s="4" t="s">
        <v>70</v>
      </c>
      <c r="E286" s="5" t="n">
        <v>79.95</v>
      </c>
      <c r="F286" s="5" t="n">
        <v>159.95</v>
      </c>
      <c r="G286" s="6" t="n">
        <v>0.500156298843389</v>
      </c>
      <c r="H286" s="5" t="n">
        <v>69.95</v>
      </c>
      <c r="I286" s="5" t="n">
        <v>139.95</v>
      </c>
      <c r="J286" s="5" t="n">
        <f aca="false">H286-E286</f>
        <v>-10</v>
      </c>
      <c r="K286" s="6" t="n">
        <f aca="false">IF(E286=0,0,J286/E286)</f>
        <v>-0.125078173858662</v>
      </c>
    </row>
    <row r="287" customFormat="false" ht="15" hidden="false" customHeight="false" outlineLevel="0" collapsed="false">
      <c r="A287" s="4" t="s">
        <v>661</v>
      </c>
      <c r="B287" s="4" t="s">
        <v>662</v>
      </c>
      <c r="C287" s="4" t="s">
        <v>71</v>
      </c>
      <c r="D287" s="4" t="s">
        <v>40</v>
      </c>
      <c r="E287" s="5" t="n">
        <v>99.95</v>
      </c>
      <c r="F287" s="5" t="n">
        <v>199.95</v>
      </c>
      <c r="G287" s="6" t="n">
        <v>0.500125031257814</v>
      </c>
      <c r="H287" s="5" t="n">
        <v>79.95</v>
      </c>
      <c r="I287" s="5" t="n">
        <v>159.95</v>
      </c>
      <c r="J287" s="5" t="n">
        <f aca="false">H287-E287</f>
        <v>-20</v>
      </c>
      <c r="K287" s="6" t="n">
        <f aca="false">IF(E287=0,0,J287/E287)</f>
        <v>-0.200100050025013</v>
      </c>
    </row>
    <row r="288" customFormat="false" ht="15" hidden="false" customHeight="false" outlineLevel="0" collapsed="false">
      <c r="A288" s="4" t="s">
        <v>663</v>
      </c>
      <c r="B288" s="4" t="s">
        <v>664</v>
      </c>
      <c r="C288" s="4" t="s">
        <v>71</v>
      </c>
      <c r="D288" s="4" t="s">
        <v>40</v>
      </c>
      <c r="E288" s="5" t="n">
        <v>99.95</v>
      </c>
      <c r="F288" s="5" t="n">
        <v>167.95</v>
      </c>
      <c r="G288" s="6" t="n">
        <v>0.404882405477821</v>
      </c>
      <c r="H288" s="5" t="n">
        <v>79.95</v>
      </c>
      <c r="I288" s="5" t="n">
        <v>134.95</v>
      </c>
      <c r="J288" s="5" t="n">
        <f aca="false">H288-E288</f>
        <v>-20</v>
      </c>
      <c r="K288" s="6" t="n">
        <f aca="false">IF(E288=0,0,J288/E288)</f>
        <v>-0.200100050025013</v>
      </c>
    </row>
    <row r="289" customFormat="false" ht="15" hidden="false" customHeight="false" outlineLevel="0" collapsed="false">
      <c r="A289" s="4" t="s">
        <v>665</v>
      </c>
      <c r="B289" s="4" t="s">
        <v>666</v>
      </c>
      <c r="C289" s="4" t="s">
        <v>71</v>
      </c>
      <c r="D289" s="4" t="s">
        <v>40</v>
      </c>
      <c r="E289" s="5" t="n">
        <v>84.95</v>
      </c>
      <c r="F289" s="5" t="n">
        <v>169.95</v>
      </c>
      <c r="G289" s="6" t="n">
        <v>0.50014710208885</v>
      </c>
      <c r="H289" s="5" t="n">
        <v>74.95</v>
      </c>
      <c r="I289" s="5" t="n">
        <v>149.95</v>
      </c>
      <c r="J289" s="5" t="n">
        <f aca="false">H289-E289</f>
        <v>-10</v>
      </c>
      <c r="K289" s="6" t="n">
        <f aca="false">IF(E289=0,0,J289/E289)</f>
        <v>-0.117716303708064</v>
      </c>
    </row>
    <row r="290" customFormat="false" ht="15" hidden="false" customHeight="false" outlineLevel="0" collapsed="false">
      <c r="A290" s="4" t="s">
        <v>667</v>
      </c>
      <c r="B290" s="4" t="s">
        <v>668</v>
      </c>
      <c r="C290" s="4" t="s">
        <v>71</v>
      </c>
      <c r="D290" s="4" t="s">
        <v>40</v>
      </c>
      <c r="E290" s="5" t="n">
        <v>99.95</v>
      </c>
      <c r="F290" s="5" t="n">
        <v>167.95</v>
      </c>
      <c r="G290" s="6" t="n">
        <v>0.404882405477821</v>
      </c>
      <c r="H290" s="5" t="n">
        <v>79.95</v>
      </c>
      <c r="I290" s="5" t="n">
        <v>134.95</v>
      </c>
      <c r="J290" s="5" t="n">
        <f aca="false">H290-E290</f>
        <v>-20</v>
      </c>
      <c r="K290" s="6" t="n">
        <f aca="false">IF(E290=0,0,J290/E290)</f>
        <v>-0.200100050025013</v>
      </c>
    </row>
    <row r="291" customFormat="false" ht="15" hidden="false" customHeight="false" outlineLevel="0" collapsed="false">
      <c r="A291" s="4" t="s">
        <v>669</v>
      </c>
      <c r="B291" s="4" t="s">
        <v>670</v>
      </c>
      <c r="C291" s="4" t="s">
        <v>71</v>
      </c>
      <c r="D291" s="4" t="s">
        <v>40</v>
      </c>
      <c r="E291" s="5" t="n">
        <v>84.95</v>
      </c>
      <c r="F291" s="5" t="n">
        <v>155.95</v>
      </c>
      <c r="G291" s="6" t="n">
        <v>0.455274126322539</v>
      </c>
      <c r="H291" s="5" t="n">
        <v>74.95</v>
      </c>
      <c r="I291" s="5" t="n">
        <v>137.95</v>
      </c>
      <c r="J291" s="5" t="n">
        <f aca="false">H291-E291</f>
        <v>-10</v>
      </c>
      <c r="K291" s="6" t="n">
        <f aca="false">IF(E291=0,0,J291/E291)</f>
        <v>-0.117716303708064</v>
      </c>
    </row>
    <row r="292" customFormat="false" ht="15" hidden="false" customHeight="false" outlineLevel="0" collapsed="false">
      <c r="A292" s="4" t="s">
        <v>671</v>
      </c>
      <c r="B292" s="4" t="s">
        <v>672</v>
      </c>
      <c r="C292" s="4" t="s">
        <v>71</v>
      </c>
      <c r="D292" s="4" t="s">
        <v>40</v>
      </c>
      <c r="E292" s="5" t="n">
        <v>79.95</v>
      </c>
      <c r="F292" s="5" t="n">
        <v>159.95</v>
      </c>
      <c r="G292" s="6" t="n">
        <v>0.500156298843389</v>
      </c>
      <c r="H292" s="5" t="n">
        <v>74.95</v>
      </c>
      <c r="I292" s="5" t="n">
        <v>149.95</v>
      </c>
      <c r="J292" s="5" t="n">
        <f aca="false">H292-E292</f>
        <v>-5</v>
      </c>
      <c r="K292" s="6" t="n">
        <f aca="false">IF(E292=0,0,J292/E292)</f>
        <v>-0.0625390869293308</v>
      </c>
    </row>
    <row r="293" customFormat="false" ht="15" hidden="false" customHeight="false" outlineLevel="0" collapsed="false">
      <c r="A293" s="4" t="s">
        <v>673</v>
      </c>
      <c r="B293" s="4" t="s">
        <v>674</v>
      </c>
      <c r="C293" s="4" t="s">
        <v>71</v>
      </c>
      <c r="D293" s="4" t="s">
        <v>40</v>
      </c>
      <c r="E293" s="5" t="n">
        <v>99.95</v>
      </c>
      <c r="F293" s="5" t="n">
        <v>182.95</v>
      </c>
      <c r="G293" s="6" t="n">
        <v>0.453675867723422</v>
      </c>
      <c r="H293" s="5" t="n">
        <v>79.95</v>
      </c>
      <c r="I293" s="5" t="n">
        <v>146.95</v>
      </c>
      <c r="J293" s="5" t="n">
        <f aca="false">H293-E293</f>
        <v>-20</v>
      </c>
      <c r="K293" s="6" t="n">
        <f aca="false">IF(E293=0,0,J293/E293)</f>
        <v>-0.200100050025013</v>
      </c>
    </row>
    <row r="294" customFormat="false" ht="15" hidden="false" customHeight="false" outlineLevel="0" collapsed="false">
      <c r="A294" s="4" t="s">
        <v>675</v>
      </c>
      <c r="B294" s="4" t="s">
        <v>676</v>
      </c>
      <c r="C294" s="4" t="s">
        <v>71</v>
      </c>
      <c r="D294" s="4" t="s">
        <v>40</v>
      </c>
      <c r="E294" s="5" t="n">
        <v>99.95</v>
      </c>
      <c r="F294" s="5" t="n">
        <v>167.95</v>
      </c>
      <c r="G294" s="6" t="n">
        <v>0.404882405477821</v>
      </c>
      <c r="H294" s="5" t="n">
        <v>79.95</v>
      </c>
      <c r="I294" s="5" t="n">
        <v>134.95</v>
      </c>
      <c r="J294" s="5" t="n">
        <f aca="false">H294-E294</f>
        <v>-20</v>
      </c>
      <c r="K294" s="6" t="n">
        <f aca="false">IF(E294=0,0,J294/E294)</f>
        <v>-0.200100050025013</v>
      </c>
    </row>
    <row r="295" customFormat="false" ht="15" hidden="false" customHeight="false" outlineLevel="0" collapsed="false">
      <c r="A295" s="4" t="s">
        <v>677</v>
      </c>
      <c r="B295" s="4" t="s">
        <v>678</v>
      </c>
      <c r="C295" s="4" t="s">
        <v>71</v>
      </c>
      <c r="D295" s="4" t="s">
        <v>40</v>
      </c>
      <c r="E295" s="5" t="n">
        <v>99.95</v>
      </c>
      <c r="F295" s="5" t="n">
        <v>199.95</v>
      </c>
      <c r="G295" s="6" t="n">
        <v>0.500125031257814</v>
      </c>
      <c r="H295" s="5" t="n">
        <v>79.95</v>
      </c>
      <c r="I295" s="5" t="n">
        <v>159.95</v>
      </c>
      <c r="J295" s="5" t="n">
        <f aca="false">H295-E295</f>
        <v>-20</v>
      </c>
      <c r="K295" s="6" t="n">
        <f aca="false">IF(E295=0,0,J295/E295)</f>
        <v>-0.200100050025013</v>
      </c>
    </row>
    <row r="296" customFormat="false" ht="15" hidden="false" customHeight="false" outlineLevel="0" collapsed="false">
      <c r="A296" s="4" t="s">
        <v>679</v>
      </c>
      <c r="B296" s="4" t="s">
        <v>680</v>
      </c>
      <c r="C296" s="4" t="s">
        <v>71</v>
      </c>
      <c r="D296" s="4" t="s">
        <v>40</v>
      </c>
      <c r="E296" s="5" t="n">
        <v>79.95</v>
      </c>
      <c r="F296" s="5" t="n">
        <v>146.95</v>
      </c>
      <c r="G296" s="6" t="n">
        <v>0.455937393671317</v>
      </c>
      <c r="H296" s="5" t="n">
        <v>74.95</v>
      </c>
      <c r="I296" s="5" t="n">
        <v>137.95</v>
      </c>
      <c r="J296" s="5" t="n">
        <f aca="false">H296-E296</f>
        <v>-5</v>
      </c>
      <c r="K296" s="6" t="n">
        <f aca="false">IF(E296=0,0,J296/E296)</f>
        <v>-0.0625390869293308</v>
      </c>
    </row>
    <row r="297" customFormat="false" ht="15" hidden="false" customHeight="false" outlineLevel="0" collapsed="false">
      <c r="A297" s="4" t="s">
        <v>681</v>
      </c>
      <c r="B297" s="4" t="s">
        <v>682</v>
      </c>
      <c r="C297" s="4" t="s">
        <v>71</v>
      </c>
      <c r="D297" s="4" t="s">
        <v>40</v>
      </c>
      <c r="E297" s="5" t="n">
        <v>99.95</v>
      </c>
      <c r="F297" s="5" t="n">
        <v>199.95</v>
      </c>
      <c r="G297" s="6" t="n">
        <v>0.500125031257814</v>
      </c>
      <c r="H297" s="5" t="n">
        <v>79.95</v>
      </c>
      <c r="I297" s="5" t="n">
        <v>159.95</v>
      </c>
      <c r="J297" s="5" t="n">
        <f aca="false">H297-E297</f>
        <v>-20</v>
      </c>
      <c r="K297" s="6" t="n">
        <f aca="false">IF(E297=0,0,J297/E297)</f>
        <v>-0.200100050025013</v>
      </c>
    </row>
    <row r="298" customFormat="false" ht="15" hidden="false" customHeight="false" outlineLevel="0" collapsed="false">
      <c r="A298" s="4" t="s">
        <v>683</v>
      </c>
      <c r="B298" s="4" t="s">
        <v>684</v>
      </c>
      <c r="C298" s="4" t="s">
        <v>71</v>
      </c>
      <c r="D298" s="4" t="s">
        <v>40</v>
      </c>
      <c r="E298" s="5" t="n">
        <v>99.95</v>
      </c>
      <c r="F298" s="5" t="n">
        <v>199.95</v>
      </c>
      <c r="G298" s="6" t="n">
        <v>0.500125031257814</v>
      </c>
      <c r="H298" s="5" t="n">
        <v>79.95</v>
      </c>
      <c r="I298" s="5" t="n">
        <v>159.95</v>
      </c>
      <c r="J298" s="5" t="n">
        <f aca="false">H298-E298</f>
        <v>-20</v>
      </c>
      <c r="K298" s="6" t="n">
        <f aca="false">IF(E298=0,0,J298/E298)</f>
        <v>-0.200100050025013</v>
      </c>
    </row>
    <row r="299" customFormat="false" ht="15" hidden="false" customHeight="false" outlineLevel="0" collapsed="false">
      <c r="A299" s="4" t="s">
        <v>685</v>
      </c>
      <c r="B299" s="4" t="s">
        <v>686</v>
      </c>
      <c r="C299" s="4" t="s">
        <v>71</v>
      </c>
      <c r="D299" s="4" t="s">
        <v>40</v>
      </c>
      <c r="E299" s="5" t="n">
        <v>99.95</v>
      </c>
      <c r="F299" s="5" t="n">
        <v>182.95</v>
      </c>
      <c r="G299" s="6" t="n">
        <v>0.453675867723422</v>
      </c>
      <c r="H299" s="5" t="n">
        <v>79.95</v>
      </c>
      <c r="I299" s="5" t="n">
        <v>146.95</v>
      </c>
      <c r="J299" s="5" t="n">
        <f aca="false">H299-E299</f>
        <v>-20</v>
      </c>
      <c r="K299" s="6" t="n">
        <f aca="false">IF(E299=0,0,J299/E299)</f>
        <v>-0.200100050025013</v>
      </c>
    </row>
    <row r="300" customFormat="false" ht="15" hidden="false" customHeight="false" outlineLevel="0" collapsed="false">
      <c r="A300" s="4" t="s">
        <v>687</v>
      </c>
      <c r="B300" s="4" t="s">
        <v>688</v>
      </c>
      <c r="C300" s="4" t="s">
        <v>71</v>
      </c>
      <c r="D300" s="4" t="s">
        <v>40</v>
      </c>
      <c r="E300" s="5" t="n">
        <v>99.95</v>
      </c>
      <c r="F300" s="5" t="n">
        <v>199.95</v>
      </c>
      <c r="G300" s="6" t="n">
        <v>0.500125031257814</v>
      </c>
      <c r="H300" s="5" t="n">
        <v>79.95</v>
      </c>
      <c r="I300" s="5" t="n">
        <v>159.95</v>
      </c>
      <c r="J300" s="5" t="n">
        <f aca="false">H300-E300</f>
        <v>-20</v>
      </c>
      <c r="K300" s="6" t="n">
        <f aca="false">IF(E300=0,0,J300/E300)</f>
        <v>-0.200100050025013</v>
      </c>
    </row>
    <row r="301" customFormat="false" ht="15" hidden="false" customHeight="false" outlineLevel="0" collapsed="false">
      <c r="A301" s="4" t="s">
        <v>689</v>
      </c>
      <c r="B301" s="4" t="s">
        <v>690</v>
      </c>
      <c r="C301" s="4" t="s">
        <v>71</v>
      </c>
      <c r="D301" s="4" t="s">
        <v>40</v>
      </c>
      <c r="E301" s="5" t="n">
        <v>99.95</v>
      </c>
      <c r="F301" s="5" t="n">
        <v>167.95</v>
      </c>
      <c r="G301" s="6" t="n">
        <v>0.404882405477821</v>
      </c>
      <c r="H301" s="5" t="n">
        <v>79.95</v>
      </c>
      <c r="I301" s="5" t="n">
        <v>134.95</v>
      </c>
      <c r="J301" s="5" t="n">
        <f aca="false">H301-E301</f>
        <v>-20</v>
      </c>
      <c r="K301" s="6" t="n">
        <f aca="false">IF(E301=0,0,J301/E301)</f>
        <v>-0.200100050025013</v>
      </c>
    </row>
    <row r="302" customFormat="false" ht="15" hidden="false" customHeight="false" outlineLevel="0" collapsed="false">
      <c r="A302" s="4" t="s">
        <v>691</v>
      </c>
      <c r="B302" s="4" t="s">
        <v>692</v>
      </c>
      <c r="C302" s="4" t="s">
        <v>71</v>
      </c>
      <c r="D302" s="4" t="s">
        <v>40</v>
      </c>
      <c r="E302" s="5" t="n">
        <v>99.95</v>
      </c>
      <c r="F302" s="5" t="n">
        <v>182.95</v>
      </c>
      <c r="G302" s="6" t="n">
        <v>0.453675867723422</v>
      </c>
      <c r="H302" s="5" t="n">
        <v>79.95</v>
      </c>
      <c r="I302" s="5" t="n">
        <v>146.95</v>
      </c>
      <c r="J302" s="5" t="n">
        <f aca="false">H302-E302</f>
        <v>-20</v>
      </c>
      <c r="K302" s="6" t="n">
        <f aca="false">IF(E302=0,0,J302/E302)</f>
        <v>-0.200100050025013</v>
      </c>
    </row>
    <row r="303" customFormat="false" ht="15" hidden="false" customHeight="false" outlineLevel="0" collapsed="false">
      <c r="A303" s="4" t="s">
        <v>693</v>
      </c>
      <c r="B303" s="4" t="s">
        <v>694</v>
      </c>
      <c r="C303" s="4" t="s">
        <v>71</v>
      </c>
      <c r="D303" s="4" t="s">
        <v>40</v>
      </c>
      <c r="E303" s="5" t="n">
        <v>84.95</v>
      </c>
      <c r="F303" s="5" t="n">
        <v>142.95</v>
      </c>
      <c r="G303" s="6" t="n">
        <v>0.405736271423575</v>
      </c>
      <c r="H303" s="5" t="n">
        <v>74.95</v>
      </c>
      <c r="I303" s="5" t="n">
        <v>126.95</v>
      </c>
      <c r="J303" s="5" t="n">
        <f aca="false">H303-E303</f>
        <v>-10</v>
      </c>
      <c r="K303" s="6" t="n">
        <f aca="false">IF(E303=0,0,J303/E303)</f>
        <v>-0.117716303708064</v>
      </c>
    </row>
    <row r="304" customFormat="false" ht="15" hidden="false" customHeight="false" outlineLevel="0" collapsed="false">
      <c r="A304" s="4" t="s">
        <v>695</v>
      </c>
      <c r="B304" s="4" t="s">
        <v>696</v>
      </c>
      <c r="C304" s="4" t="s">
        <v>72</v>
      </c>
      <c r="D304" s="4" t="s">
        <v>73</v>
      </c>
      <c r="E304" s="5" t="n">
        <v>109.95</v>
      </c>
      <c r="F304" s="5" t="n">
        <v>200.95</v>
      </c>
      <c r="G304" s="6" t="n">
        <v>0.452848967404827</v>
      </c>
      <c r="H304" s="5" t="n">
        <v>89.95</v>
      </c>
      <c r="I304" s="5" t="n">
        <v>164.95</v>
      </c>
      <c r="J304" s="5" t="n">
        <f aca="false">H304-E304</f>
        <v>-20</v>
      </c>
      <c r="K304" s="6" t="n">
        <f aca="false">IF(E304=0,0,J304/E304)</f>
        <v>-0.181900864029104</v>
      </c>
    </row>
    <row r="305" customFormat="false" ht="15" hidden="false" customHeight="false" outlineLevel="0" collapsed="false">
      <c r="A305" s="4" t="s">
        <v>697</v>
      </c>
      <c r="B305" s="4" t="s">
        <v>698</v>
      </c>
      <c r="C305" s="4" t="s">
        <v>72</v>
      </c>
      <c r="D305" s="4" t="s">
        <v>73</v>
      </c>
      <c r="E305" s="5" t="n">
        <v>109.95</v>
      </c>
      <c r="F305" s="5" t="n">
        <v>183.95</v>
      </c>
      <c r="G305" s="6" t="n">
        <v>0.402283229138353</v>
      </c>
      <c r="H305" s="5" t="n">
        <v>89.95</v>
      </c>
      <c r="I305" s="5" t="n">
        <v>150.95</v>
      </c>
      <c r="J305" s="5" t="n">
        <f aca="false">H305-E305</f>
        <v>-20</v>
      </c>
      <c r="K305" s="6" t="n">
        <f aca="false">IF(E305=0,0,J305/E305)</f>
        <v>-0.181900864029104</v>
      </c>
    </row>
    <row r="306" customFormat="false" ht="15" hidden="false" customHeight="false" outlineLevel="0" collapsed="false">
      <c r="A306" s="4" t="s">
        <v>699</v>
      </c>
      <c r="B306" s="4" t="s">
        <v>700</v>
      </c>
      <c r="C306" s="4" t="s">
        <v>72</v>
      </c>
      <c r="D306" s="4" t="s">
        <v>73</v>
      </c>
      <c r="E306" s="5" t="n">
        <v>94.95</v>
      </c>
      <c r="F306" s="5" t="n">
        <v>173.95</v>
      </c>
      <c r="G306" s="6" t="n">
        <v>0.454153492382869</v>
      </c>
      <c r="H306" s="5" t="n">
        <v>84.95</v>
      </c>
      <c r="I306" s="5" t="n">
        <v>155.95</v>
      </c>
      <c r="J306" s="5" t="n">
        <f aca="false">H306-E306</f>
        <v>-10</v>
      </c>
      <c r="K306" s="6" t="n">
        <f aca="false">IF(E306=0,0,J306/E306)</f>
        <v>-0.105318588730911</v>
      </c>
    </row>
    <row r="307" customFormat="false" ht="15" hidden="false" customHeight="false" outlineLevel="0" collapsed="false">
      <c r="A307" s="4" t="s">
        <v>701</v>
      </c>
      <c r="B307" s="4" t="s">
        <v>702</v>
      </c>
      <c r="C307" s="4" t="s">
        <v>72</v>
      </c>
      <c r="D307" s="4" t="s">
        <v>73</v>
      </c>
      <c r="E307" s="5" t="n">
        <v>89.95</v>
      </c>
      <c r="F307" s="5" t="n">
        <v>164.95</v>
      </c>
      <c r="G307" s="6" t="n">
        <v>0.45468323734465</v>
      </c>
      <c r="H307" s="5" t="n">
        <v>84.95</v>
      </c>
      <c r="I307" s="5" t="n">
        <v>155.95</v>
      </c>
      <c r="J307" s="5" t="n">
        <f aca="false">H307-E307</f>
        <v>-5</v>
      </c>
      <c r="K307" s="6" t="n">
        <f aca="false">IF(E307=0,0,J307/E307)</f>
        <v>-0.0555864369093941</v>
      </c>
    </row>
    <row r="308" customFormat="false" ht="15" hidden="false" customHeight="false" outlineLevel="0" collapsed="false">
      <c r="A308" s="4" t="s">
        <v>703</v>
      </c>
      <c r="B308" s="4" t="s">
        <v>704</v>
      </c>
      <c r="C308" s="4" t="s">
        <v>72</v>
      </c>
      <c r="D308" s="4" t="s">
        <v>73</v>
      </c>
      <c r="E308" s="5" t="n">
        <v>109.95</v>
      </c>
      <c r="F308" s="5" t="n">
        <v>200.95</v>
      </c>
      <c r="G308" s="6" t="n">
        <v>0.452848967404827</v>
      </c>
      <c r="H308" s="5" t="n">
        <v>89.95</v>
      </c>
      <c r="I308" s="5" t="n">
        <v>164.95</v>
      </c>
      <c r="J308" s="5" t="n">
        <f aca="false">H308-E308</f>
        <v>-20</v>
      </c>
      <c r="K308" s="6" t="n">
        <f aca="false">IF(E308=0,0,J308/E308)</f>
        <v>-0.181900864029104</v>
      </c>
    </row>
    <row r="309" customFormat="false" ht="15" hidden="false" customHeight="false" outlineLevel="0" collapsed="false">
      <c r="A309" s="4" t="s">
        <v>705</v>
      </c>
      <c r="B309" s="4" t="s">
        <v>706</v>
      </c>
      <c r="C309" s="4" t="s">
        <v>72</v>
      </c>
      <c r="D309" s="4" t="s">
        <v>73</v>
      </c>
      <c r="E309" s="5" t="n">
        <v>109.95</v>
      </c>
      <c r="F309" s="5" t="n">
        <v>200.95</v>
      </c>
      <c r="G309" s="6" t="n">
        <v>0.452848967404827</v>
      </c>
      <c r="H309" s="5" t="n">
        <v>89.95</v>
      </c>
      <c r="I309" s="5" t="n">
        <v>164.95</v>
      </c>
      <c r="J309" s="5" t="n">
        <f aca="false">H309-E309</f>
        <v>-20</v>
      </c>
      <c r="K309" s="6" t="n">
        <f aca="false">IF(E309=0,0,J309/E309)</f>
        <v>-0.181900864029104</v>
      </c>
    </row>
    <row r="310" customFormat="false" ht="15" hidden="false" customHeight="false" outlineLevel="0" collapsed="false">
      <c r="A310" s="4" t="s">
        <v>707</v>
      </c>
      <c r="B310" s="4" t="s">
        <v>708</v>
      </c>
      <c r="C310" s="4" t="s">
        <v>72</v>
      </c>
      <c r="D310" s="4" t="s">
        <v>73</v>
      </c>
      <c r="E310" s="5" t="n">
        <v>109.95</v>
      </c>
      <c r="F310" s="5" t="n">
        <v>219.95</v>
      </c>
      <c r="G310" s="6" t="n">
        <v>0.500113662195954</v>
      </c>
      <c r="H310" s="5" t="n">
        <v>89.95</v>
      </c>
      <c r="I310" s="5" t="n">
        <v>179.95</v>
      </c>
      <c r="J310" s="5" t="n">
        <f aca="false">H310-E310</f>
        <v>-20</v>
      </c>
      <c r="K310" s="6" t="n">
        <f aca="false">IF(E310=0,0,J310/E310)</f>
        <v>-0.181900864029104</v>
      </c>
    </row>
    <row r="311" customFormat="false" ht="15" hidden="false" customHeight="false" outlineLevel="0" collapsed="false">
      <c r="A311" s="4" t="s">
        <v>709</v>
      </c>
      <c r="B311" s="4" t="s">
        <v>710</v>
      </c>
      <c r="C311" s="4" t="s">
        <v>72</v>
      </c>
      <c r="D311" s="4" t="s">
        <v>73</v>
      </c>
      <c r="E311" s="5" t="n">
        <v>89.95</v>
      </c>
      <c r="F311" s="5" t="n">
        <v>191.95</v>
      </c>
      <c r="G311" s="6" t="n">
        <v>0.531388382391248</v>
      </c>
      <c r="H311" s="5" t="n">
        <v>84.95</v>
      </c>
      <c r="I311" s="5" t="n">
        <v>181.95</v>
      </c>
      <c r="J311" s="5" t="n">
        <f aca="false">H311-E311</f>
        <v>-5</v>
      </c>
      <c r="K311" s="6" t="n">
        <f aca="false">IF(E311=0,0,J311/E311)</f>
        <v>-0.0555864369093941</v>
      </c>
    </row>
    <row r="312" customFormat="false" ht="15" hidden="false" customHeight="false" outlineLevel="0" collapsed="false">
      <c r="A312" s="4" t="s">
        <v>711</v>
      </c>
      <c r="B312" s="4" t="s">
        <v>712</v>
      </c>
      <c r="C312" s="4" t="s">
        <v>72</v>
      </c>
      <c r="D312" s="4" t="s">
        <v>73</v>
      </c>
      <c r="E312" s="5" t="n">
        <v>104.95</v>
      </c>
      <c r="F312" s="5" t="n">
        <v>191.95</v>
      </c>
      <c r="G312" s="6" t="n">
        <v>0.453243032039594</v>
      </c>
      <c r="H312" s="5" t="n">
        <v>84.95</v>
      </c>
      <c r="I312" s="5" t="n">
        <v>155.95</v>
      </c>
      <c r="J312" s="5" t="n">
        <f aca="false">H312-E312</f>
        <v>-20</v>
      </c>
      <c r="K312" s="6" t="n">
        <f aca="false">IF(E312=0,0,J312/E312)</f>
        <v>-0.190566936636494</v>
      </c>
    </row>
    <row r="313" customFormat="false" ht="15" hidden="false" customHeight="false" outlineLevel="0" collapsed="false">
      <c r="A313" s="4" t="s">
        <v>713</v>
      </c>
      <c r="B313" s="4" t="s">
        <v>714</v>
      </c>
      <c r="C313" s="4" t="s">
        <v>72</v>
      </c>
      <c r="D313" s="4" t="s">
        <v>73</v>
      </c>
      <c r="E313" s="5" t="n">
        <v>89.95</v>
      </c>
      <c r="F313" s="5" t="n">
        <v>149.95</v>
      </c>
      <c r="G313" s="6" t="n">
        <v>0.400133377792597</v>
      </c>
      <c r="H313" s="5" t="n">
        <v>84.95</v>
      </c>
      <c r="I313" s="5" t="n">
        <v>141.95</v>
      </c>
      <c r="J313" s="5" t="n">
        <f aca="false">H313-E313</f>
        <v>-5</v>
      </c>
      <c r="K313" s="6" t="n">
        <f aca="false">IF(E313=0,0,J313/E313)</f>
        <v>-0.0555864369093941</v>
      </c>
    </row>
    <row r="314" customFormat="false" ht="15" hidden="false" customHeight="false" outlineLevel="0" collapsed="false">
      <c r="A314" s="4" t="s">
        <v>715</v>
      </c>
      <c r="B314" s="4" t="s">
        <v>716</v>
      </c>
      <c r="C314" s="4" t="s">
        <v>72</v>
      </c>
      <c r="D314" s="4" t="s">
        <v>73</v>
      </c>
      <c r="E314" s="5" t="n">
        <v>109.95</v>
      </c>
      <c r="F314" s="5" t="n">
        <v>219.95</v>
      </c>
      <c r="G314" s="6" t="n">
        <v>0.500113662195954</v>
      </c>
      <c r="H314" s="5" t="n">
        <v>89.95</v>
      </c>
      <c r="I314" s="5" t="n">
        <v>179.95</v>
      </c>
      <c r="J314" s="5" t="n">
        <f aca="false">H314-E314</f>
        <v>-20</v>
      </c>
      <c r="K314" s="6" t="n">
        <f aca="false">IF(E314=0,0,J314/E314)</f>
        <v>-0.181900864029104</v>
      </c>
    </row>
    <row r="315" customFormat="false" ht="15" hidden="false" customHeight="false" outlineLevel="0" collapsed="false">
      <c r="A315" s="4" t="s">
        <v>717</v>
      </c>
      <c r="B315" s="4" t="s">
        <v>718</v>
      </c>
      <c r="C315" s="4" t="s">
        <v>72</v>
      </c>
      <c r="D315" s="4" t="s">
        <v>73</v>
      </c>
      <c r="E315" s="5" t="n">
        <v>109.95</v>
      </c>
      <c r="F315" s="5" t="n">
        <v>183.95</v>
      </c>
      <c r="G315" s="6" t="n">
        <v>0.402283229138353</v>
      </c>
      <c r="H315" s="5" t="n">
        <v>89.95</v>
      </c>
      <c r="I315" s="5" t="n">
        <v>150.95</v>
      </c>
      <c r="J315" s="5" t="n">
        <f aca="false">H315-E315</f>
        <v>-20</v>
      </c>
      <c r="K315" s="6" t="n">
        <f aca="false">IF(E315=0,0,J315/E315)</f>
        <v>-0.181900864029104</v>
      </c>
    </row>
    <row r="316" customFormat="false" ht="15" hidden="false" customHeight="false" outlineLevel="0" collapsed="false">
      <c r="A316" s="4" t="s">
        <v>719</v>
      </c>
      <c r="B316" s="4" t="s">
        <v>720</v>
      </c>
      <c r="C316" s="4" t="s">
        <v>72</v>
      </c>
      <c r="D316" s="4" t="s">
        <v>73</v>
      </c>
      <c r="E316" s="5" t="n">
        <v>109.95</v>
      </c>
      <c r="F316" s="5" t="n">
        <v>200.95</v>
      </c>
      <c r="G316" s="6" t="n">
        <v>0.452848967404827</v>
      </c>
      <c r="H316" s="5" t="n">
        <v>89.95</v>
      </c>
      <c r="I316" s="5" t="n">
        <v>164.95</v>
      </c>
      <c r="J316" s="5" t="n">
        <f aca="false">H316-E316</f>
        <v>-20</v>
      </c>
      <c r="K316" s="6" t="n">
        <f aca="false">IF(E316=0,0,J316/E316)</f>
        <v>-0.181900864029104</v>
      </c>
    </row>
    <row r="317" customFormat="false" ht="15" hidden="false" customHeight="false" outlineLevel="0" collapsed="false">
      <c r="A317" s="4" t="s">
        <v>721</v>
      </c>
      <c r="B317" s="4" t="s">
        <v>722</v>
      </c>
      <c r="C317" s="4" t="s">
        <v>72</v>
      </c>
      <c r="D317" s="4" t="s">
        <v>73</v>
      </c>
      <c r="E317" s="5" t="n">
        <v>99.95</v>
      </c>
      <c r="F317" s="5" t="n">
        <v>182.95</v>
      </c>
      <c r="G317" s="6" t="n">
        <v>0.453675867723422</v>
      </c>
      <c r="H317" s="5" t="n">
        <v>84.95</v>
      </c>
      <c r="I317" s="5" t="n">
        <v>155.95</v>
      </c>
      <c r="J317" s="5" t="n">
        <f aca="false">H317-E317</f>
        <v>-15</v>
      </c>
      <c r="K317" s="6" t="n">
        <f aca="false">IF(E317=0,0,J317/E317)</f>
        <v>-0.150075037518759</v>
      </c>
    </row>
    <row r="318" customFormat="false" ht="15" hidden="false" customHeight="false" outlineLevel="0" collapsed="false">
      <c r="A318" s="4" t="s">
        <v>723</v>
      </c>
      <c r="B318" s="4" t="s">
        <v>724</v>
      </c>
      <c r="C318" s="4" t="s">
        <v>74</v>
      </c>
      <c r="D318" s="4" t="s">
        <v>42</v>
      </c>
      <c r="E318" s="5" t="n">
        <v>84.95</v>
      </c>
      <c r="F318" s="5" t="n">
        <v>169.95</v>
      </c>
      <c r="G318" s="6" t="n">
        <v>0.50014710208885</v>
      </c>
      <c r="H318" s="5" t="n">
        <v>69.95</v>
      </c>
      <c r="I318" s="5" t="n">
        <v>139.95</v>
      </c>
      <c r="J318" s="5" t="n">
        <f aca="false">H318-E318</f>
        <v>-15</v>
      </c>
      <c r="K318" s="6" t="n">
        <f aca="false">IF(E318=0,0,J318/E318)</f>
        <v>-0.176574455562095</v>
      </c>
    </row>
    <row r="319" customFormat="false" ht="15" hidden="false" customHeight="false" outlineLevel="0" collapsed="false">
      <c r="A319" s="4" t="s">
        <v>725</v>
      </c>
      <c r="B319" s="4" t="s">
        <v>726</v>
      </c>
      <c r="C319" s="4" t="s">
        <v>74</v>
      </c>
      <c r="D319" s="4" t="s">
        <v>42</v>
      </c>
      <c r="E319" s="5" t="n">
        <v>84.95</v>
      </c>
      <c r="F319" s="5" t="n">
        <v>155.95</v>
      </c>
      <c r="G319" s="6" t="n">
        <v>0.455274126322539</v>
      </c>
      <c r="H319" s="5" t="n">
        <v>69.95</v>
      </c>
      <c r="I319" s="5" t="n">
        <v>128.95</v>
      </c>
      <c r="J319" s="5" t="n">
        <f aca="false">H319-E319</f>
        <v>-15</v>
      </c>
      <c r="K319" s="6" t="n">
        <f aca="false">IF(E319=0,0,J319/E319)</f>
        <v>-0.176574455562095</v>
      </c>
    </row>
    <row r="320" customFormat="false" ht="15" hidden="false" customHeight="false" outlineLevel="0" collapsed="false">
      <c r="A320" s="4" t="s">
        <v>727</v>
      </c>
      <c r="B320" s="4" t="s">
        <v>728</v>
      </c>
      <c r="C320" s="4" t="s">
        <v>74</v>
      </c>
      <c r="D320" s="4" t="s">
        <v>42</v>
      </c>
      <c r="E320" s="5" t="n">
        <v>79.95</v>
      </c>
      <c r="F320" s="5" t="n">
        <v>146.95</v>
      </c>
      <c r="G320" s="6" t="n">
        <v>0.455937393671317</v>
      </c>
      <c r="H320" s="5" t="n">
        <v>69.95</v>
      </c>
      <c r="I320" s="5" t="n">
        <v>128.95</v>
      </c>
      <c r="J320" s="5" t="n">
        <f aca="false">H320-E320</f>
        <v>-10</v>
      </c>
      <c r="K320" s="6" t="n">
        <f aca="false">IF(E320=0,0,J320/E320)</f>
        <v>-0.125078173858662</v>
      </c>
    </row>
    <row r="321" customFormat="false" ht="15" hidden="false" customHeight="false" outlineLevel="0" collapsed="false">
      <c r="A321" s="4" t="s">
        <v>729</v>
      </c>
      <c r="B321" s="4" t="s">
        <v>730</v>
      </c>
      <c r="C321" s="4" t="s">
        <v>74</v>
      </c>
      <c r="D321" s="4" t="s">
        <v>42</v>
      </c>
      <c r="E321" s="5" t="n">
        <v>79.95</v>
      </c>
      <c r="F321" s="5" t="n">
        <v>146.95</v>
      </c>
      <c r="G321" s="6" t="n">
        <v>0.455937393671317</v>
      </c>
      <c r="H321" s="5" t="n">
        <v>69.95</v>
      </c>
      <c r="I321" s="5" t="n">
        <v>128.95</v>
      </c>
      <c r="J321" s="5" t="n">
        <f aca="false">H321-E321</f>
        <v>-10</v>
      </c>
      <c r="K321" s="6" t="n">
        <f aca="false">IF(E321=0,0,J321/E321)</f>
        <v>-0.125078173858662</v>
      </c>
    </row>
    <row r="322" customFormat="false" ht="15" hidden="false" customHeight="false" outlineLevel="0" collapsed="false">
      <c r="A322" s="4" t="s">
        <v>731</v>
      </c>
      <c r="B322" s="4" t="s">
        <v>732</v>
      </c>
      <c r="C322" s="4" t="s">
        <v>74</v>
      </c>
      <c r="D322" s="4" t="s">
        <v>42</v>
      </c>
      <c r="E322" s="5" t="n">
        <v>84.95</v>
      </c>
      <c r="F322" s="5" t="n">
        <v>142.95</v>
      </c>
      <c r="G322" s="6" t="n">
        <v>0.405736271423575</v>
      </c>
      <c r="H322" s="5" t="n">
        <v>69.95</v>
      </c>
      <c r="I322" s="5" t="n">
        <v>117.95</v>
      </c>
      <c r="J322" s="5" t="n">
        <f aca="false">H322-E322</f>
        <v>-15</v>
      </c>
      <c r="K322" s="6" t="n">
        <f aca="false">IF(E322=0,0,J322/E322)</f>
        <v>-0.176574455562095</v>
      </c>
    </row>
    <row r="323" customFormat="false" ht="15" hidden="false" customHeight="false" outlineLevel="0" collapsed="false">
      <c r="A323" s="4" t="s">
        <v>733</v>
      </c>
      <c r="B323" s="4" t="s">
        <v>734</v>
      </c>
      <c r="C323" s="4" t="s">
        <v>74</v>
      </c>
      <c r="D323" s="4" t="s">
        <v>42</v>
      </c>
      <c r="E323" s="5" t="n">
        <v>84.95</v>
      </c>
      <c r="F323" s="5" t="n">
        <v>169.95</v>
      </c>
      <c r="G323" s="6" t="n">
        <v>0.50014710208885</v>
      </c>
      <c r="H323" s="5" t="n">
        <v>69.95</v>
      </c>
      <c r="I323" s="5" t="n">
        <v>139.95</v>
      </c>
      <c r="J323" s="5" t="n">
        <f aca="false">H323-E323</f>
        <v>-15</v>
      </c>
      <c r="K323" s="6" t="n">
        <f aca="false">IF(E323=0,0,J323/E323)</f>
        <v>-0.176574455562095</v>
      </c>
    </row>
    <row r="324" customFormat="false" ht="15" hidden="false" customHeight="false" outlineLevel="0" collapsed="false">
      <c r="A324" s="4" t="s">
        <v>735</v>
      </c>
      <c r="B324" s="4" t="s">
        <v>736</v>
      </c>
      <c r="C324" s="4" t="s">
        <v>74</v>
      </c>
      <c r="D324" s="4" t="s">
        <v>42</v>
      </c>
      <c r="E324" s="5" t="n">
        <v>84.95</v>
      </c>
      <c r="F324" s="5" t="n">
        <v>155.95</v>
      </c>
      <c r="G324" s="6" t="n">
        <v>0.455274126322539</v>
      </c>
      <c r="H324" s="5" t="n">
        <v>69.95</v>
      </c>
      <c r="I324" s="5" t="n">
        <v>128.95</v>
      </c>
      <c r="J324" s="5" t="n">
        <f aca="false">H324-E324</f>
        <v>-15</v>
      </c>
      <c r="K324" s="6" t="n">
        <f aca="false">IF(E324=0,0,J324/E324)</f>
        <v>-0.176574455562095</v>
      </c>
    </row>
    <row r="325" customFormat="false" ht="15" hidden="false" customHeight="false" outlineLevel="0" collapsed="false">
      <c r="A325" s="4" t="s">
        <v>737</v>
      </c>
      <c r="B325" s="4" t="s">
        <v>738</v>
      </c>
      <c r="C325" s="4" t="s">
        <v>74</v>
      </c>
      <c r="D325" s="4" t="s">
        <v>42</v>
      </c>
      <c r="E325" s="5" t="n">
        <v>84.95</v>
      </c>
      <c r="F325" s="5" t="n">
        <v>155.95</v>
      </c>
      <c r="G325" s="6" t="n">
        <v>0.455274126322539</v>
      </c>
      <c r="H325" s="5" t="n">
        <v>69.95</v>
      </c>
      <c r="I325" s="5" t="n">
        <v>128.95</v>
      </c>
      <c r="J325" s="5" t="n">
        <f aca="false">H325-E325</f>
        <v>-15</v>
      </c>
      <c r="K325" s="6" t="n">
        <f aca="false">IF(E325=0,0,J325/E325)</f>
        <v>-0.176574455562095</v>
      </c>
    </row>
    <row r="326" customFormat="false" ht="15" hidden="false" customHeight="false" outlineLevel="0" collapsed="false">
      <c r="A326" s="4" t="s">
        <v>739</v>
      </c>
      <c r="B326" s="4" t="s">
        <v>740</v>
      </c>
      <c r="C326" s="4" t="s">
        <v>74</v>
      </c>
      <c r="D326" s="4" t="s">
        <v>42</v>
      </c>
      <c r="E326" s="5" t="n">
        <v>84.95</v>
      </c>
      <c r="F326" s="5" t="n">
        <v>155.95</v>
      </c>
      <c r="G326" s="6" t="n">
        <v>0.455274126322539</v>
      </c>
      <c r="H326" s="5" t="n">
        <v>69.95</v>
      </c>
      <c r="I326" s="5" t="n">
        <v>128.95</v>
      </c>
      <c r="J326" s="5" t="n">
        <f aca="false">H326-E326</f>
        <v>-15</v>
      </c>
      <c r="K326" s="6" t="n">
        <f aca="false">IF(E326=0,0,J326/E326)</f>
        <v>-0.176574455562095</v>
      </c>
    </row>
    <row r="327" customFormat="false" ht="15" hidden="false" customHeight="false" outlineLevel="0" collapsed="false">
      <c r="A327" s="4" t="s">
        <v>741</v>
      </c>
      <c r="B327" s="4" t="s">
        <v>742</v>
      </c>
      <c r="C327" s="4" t="s">
        <v>74</v>
      </c>
      <c r="D327" s="4" t="s">
        <v>42</v>
      </c>
      <c r="E327" s="5" t="n">
        <v>84.95</v>
      </c>
      <c r="F327" s="5" t="n">
        <v>169.95</v>
      </c>
      <c r="G327" s="6" t="n">
        <v>0.50014710208885</v>
      </c>
      <c r="H327" s="5" t="n">
        <v>69.95</v>
      </c>
      <c r="I327" s="5" t="n">
        <v>139.95</v>
      </c>
      <c r="J327" s="5" t="n">
        <f aca="false">H327-E327</f>
        <v>-15</v>
      </c>
      <c r="K327" s="6" t="n">
        <f aca="false">IF(E327=0,0,J327/E327)</f>
        <v>-0.176574455562095</v>
      </c>
    </row>
    <row r="328" customFormat="false" ht="15" hidden="false" customHeight="false" outlineLevel="0" collapsed="false">
      <c r="A328" s="4" t="s">
        <v>743</v>
      </c>
      <c r="B328" s="4" t="s">
        <v>744</v>
      </c>
      <c r="C328" s="4" t="s">
        <v>74</v>
      </c>
      <c r="D328" s="4" t="s">
        <v>42</v>
      </c>
      <c r="E328" s="5" t="n">
        <v>79.95</v>
      </c>
      <c r="F328" s="5" t="n">
        <v>146.95</v>
      </c>
      <c r="G328" s="6" t="n">
        <v>0.455937393671317</v>
      </c>
      <c r="H328" s="5" t="n">
        <v>69.95</v>
      </c>
      <c r="I328" s="5" t="n">
        <v>128.95</v>
      </c>
      <c r="J328" s="5" t="n">
        <f aca="false">H328-E328</f>
        <v>-10</v>
      </c>
      <c r="K328" s="6" t="n">
        <f aca="false">IF(E328=0,0,J328/E328)</f>
        <v>-0.125078173858662</v>
      </c>
    </row>
    <row r="329" customFormat="false" ht="15" hidden="false" customHeight="false" outlineLevel="0" collapsed="false">
      <c r="A329" s="4" t="s">
        <v>745</v>
      </c>
      <c r="B329" s="4" t="s">
        <v>746</v>
      </c>
      <c r="C329" s="4" t="s">
        <v>74</v>
      </c>
      <c r="D329" s="4" t="s">
        <v>42</v>
      </c>
      <c r="E329" s="5" t="n">
        <v>79.95</v>
      </c>
      <c r="F329" s="5" t="n">
        <v>134.95</v>
      </c>
      <c r="G329" s="6" t="n">
        <v>0.407558354946276</v>
      </c>
      <c r="H329" s="5" t="n">
        <v>69.95</v>
      </c>
      <c r="I329" s="5" t="n">
        <v>118.95</v>
      </c>
      <c r="J329" s="5" t="n">
        <f aca="false">H329-E329</f>
        <v>-10</v>
      </c>
      <c r="K329" s="6" t="n">
        <f aca="false">IF(E329=0,0,J329/E329)</f>
        <v>-0.125078173858662</v>
      </c>
    </row>
    <row r="330" customFormat="false" ht="15" hidden="false" customHeight="false" outlineLevel="0" collapsed="false">
      <c r="A330" s="4" t="s">
        <v>747</v>
      </c>
      <c r="B330" s="4" t="s">
        <v>748</v>
      </c>
      <c r="C330" s="4" t="s">
        <v>74</v>
      </c>
      <c r="D330" s="4" t="s">
        <v>42</v>
      </c>
      <c r="E330" s="5" t="n">
        <v>74.95</v>
      </c>
      <c r="F330" s="5" t="n">
        <v>142.95</v>
      </c>
      <c r="G330" s="6" t="n">
        <v>0.475690800979363</v>
      </c>
      <c r="H330" s="5" t="n">
        <v>69.95</v>
      </c>
      <c r="I330" s="5" t="n">
        <v>133.95</v>
      </c>
      <c r="J330" s="5" t="n">
        <f aca="false">H330-E330</f>
        <v>-5</v>
      </c>
      <c r="K330" s="6" t="n">
        <f aca="false">IF(E330=0,0,J330/E330)</f>
        <v>-0.066711140760507</v>
      </c>
    </row>
    <row r="331" customFormat="false" ht="15" hidden="false" customHeight="false" outlineLevel="0" collapsed="false">
      <c r="A331" s="4" t="s">
        <v>749</v>
      </c>
      <c r="B331" s="4" t="s">
        <v>750</v>
      </c>
      <c r="C331" s="4" t="s">
        <v>74</v>
      </c>
      <c r="D331" s="4" t="s">
        <v>42</v>
      </c>
      <c r="E331" s="5" t="n">
        <v>79.95</v>
      </c>
      <c r="F331" s="5" t="n">
        <v>159.95</v>
      </c>
      <c r="G331" s="6" t="n">
        <v>0.500156298843389</v>
      </c>
      <c r="H331" s="5" t="n">
        <v>69.95</v>
      </c>
      <c r="I331" s="5" t="n">
        <v>139.95</v>
      </c>
      <c r="J331" s="5" t="n">
        <f aca="false">H331-E331</f>
        <v>-10</v>
      </c>
      <c r="K331" s="6" t="n">
        <f aca="false">IF(E331=0,0,J331/E331)</f>
        <v>-0.125078173858662</v>
      </c>
    </row>
    <row r="332" customFormat="false" ht="15" hidden="false" customHeight="false" outlineLevel="0" collapsed="false">
      <c r="A332" s="4" t="s">
        <v>751</v>
      </c>
      <c r="B332" s="4" t="s">
        <v>752</v>
      </c>
      <c r="C332" s="4" t="s">
        <v>74</v>
      </c>
      <c r="D332" s="4" t="s">
        <v>42</v>
      </c>
      <c r="E332" s="5" t="n">
        <v>79.95</v>
      </c>
      <c r="F332" s="5" t="n">
        <v>146.95</v>
      </c>
      <c r="G332" s="6" t="n">
        <v>0.455937393671317</v>
      </c>
      <c r="H332" s="5" t="n">
        <v>69.95</v>
      </c>
      <c r="I332" s="5" t="n">
        <v>128.95</v>
      </c>
      <c r="J332" s="5" t="n">
        <f aca="false">H332-E332</f>
        <v>-10</v>
      </c>
      <c r="K332" s="6" t="n">
        <f aca="false">IF(E332=0,0,J332/E332)</f>
        <v>-0.125078173858662</v>
      </c>
    </row>
    <row r="333" customFormat="false" ht="15" hidden="false" customHeight="false" outlineLevel="0" collapsed="false">
      <c r="A333" s="4" t="s">
        <v>753</v>
      </c>
      <c r="B333" s="4" t="s">
        <v>754</v>
      </c>
      <c r="C333" s="4" t="s">
        <v>74</v>
      </c>
      <c r="D333" s="4" t="s">
        <v>42</v>
      </c>
      <c r="E333" s="5" t="n">
        <v>79.95</v>
      </c>
      <c r="F333" s="5" t="n">
        <v>146.95</v>
      </c>
      <c r="G333" s="6" t="n">
        <v>0.455937393671317</v>
      </c>
      <c r="H333" s="5" t="n">
        <v>69.95</v>
      </c>
      <c r="I333" s="5" t="n">
        <v>128.95</v>
      </c>
      <c r="J333" s="5" t="n">
        <f aca="false">H333-E333</f>
        <v>-10</v>
      </c>
      <c r="K333" s="6" t="n">
        <f aca="false">IF(E333=0,0,J333/E333)</f>
        <v>-0.125078173858662</v>
      </c>
    </row>
    <row r="334" customFormat="false" ht="15" hidden="false" customHeight="false" outlineLevel="0" collapsed="false">
      <c r="A334" s="4" t="s">
        <v>755</v>
      </c>
      <c r="B334" s="4" t="s">
        <v>756</v>
      </c>
      <c r="C334" s="4" t="s">
        <v>74</v>
      </c>
      <c r="D334" s="4" t="s">
        <v>42</v>
      </c>
      <c r="E334" s="5" t="n">
        <v>84.95</v>
      </c>
      <c r="F334" s="5" t="n">
        <v>169.95</v>
      </c>
      <c r="G334" s="6" t="n">
        <v>0.50014710208885</v>
      </c>
      <c r="H334" s="5" t="n">
        <v>69.95</v>
      </c>
      <c r="I334" s="5" t="n">
        <v>139.95</v>
      </c>
      <c r="J334" s="5" t="n">
        <f aca="false">H334-E334</f>
        <v>-15</v>
      </c>
      <c r="K334" s="6" t="n">
        <f aca="false">IF(E334=0,0,J334/E334)</f>
        <v>-0.176574455562095</v>
      </c>
    </row>
    <row r="335" customFormat="false" ht="15" hidden="false" customHeight="false" outlineLevel="0" collapsed="false">
      <c r="A335" s="4" t="s">
        <v>757</v>
      </c>
      <c r="B335" s="4" t="s">
        <v>758</v>
      </c>
      <c r="C335" s="4" t="s">
        <v>74</v>
      </c>
      <c r="D335" s="4" t="s">
        <v>42</v>
      </c>
      <c r="E335" s="5" t="n">
        <v>79.95</v>
      </c>
      <c r="F335" s="5" t="n">
        <v>159.95</v>
      </c>
      <c r="G335" s="6" t="n">
        <v>0.500156298843389</v>
      </c>
      <c r="H335" s="5" t="n">
        <v>69.95</v>
      </c>
      <c r="I335" s="5" t="n">
        <v>139.95</v>
      </c>
      <c r="J335" s="5" t="n">
        <f aca="false">H335-E335</f>
        <v>-10</v>
      </c>
      <c r="K335" s="6" t="n">
        <f aca="false">IF(E335=0,0,J335/E335)</f>
        <v>-0.125078173858662</v>
      </c>
    </row>
    <row r="336" customFormat="false" ht="15" hidden="false" customHeight="false" outlineLevel="0" collapsed="false">
      <c r="A336" s="4" t="s">
        <v>759</v>
      </c>
      <c r="B336" s="4" t="s">
        <v>760</v>
      </c>
      <c r="C336" s="4" t="s">
        <v>74</v>
      </c>
      <c r="D336" s="4" t="s">
        <v>42</v>
      </c>
      <c r="E336" s="5" t="n">
        <v>84.95</v>
      </c>
      <c r="F336" s="5" t="n">
        <v>142.95</v>
      </c>
      <c r="G336" s="6" t="n">
        <v>0.405736271423575</v>
      </c>
      <c r="H336" s="5" t="n">
        <v>69.95</v>
      </c>
      <c r="I336" s="5" t="n">
        <v>117.95</v>
      </c>
      <c r="J336" s="5" t="n">
        <f aca="false">H336-E336</f>
        <v>-15</v>
      </c>
      <c r="K336" s="6" t="n">
        <f aca="false">IF(E336=0,0,J336/E336)</f>
        <v>-0.176574455562095</v>
      </c>
    </row>
    <row r="337" customFormat="false" ht="15" hidden="false" customHeight="false" outlineLevel="0" collapsed="false">
      <c r="A337" s="4" t="s">
        <v>761</v>
      </c>
      <c r="B337" s="4" t="s">
        <v>762</v>
      </c>
      <c r="C337" s="4" t="s">
        <v>74</v>
      </c>
      <c r="D337" s="4" t="s">
        <v>42</v>
      </c>
      <c r="E337" s="5" t="n">
        <v>84.95</v>
      </c>
      <c r="F337" s="5" t="n">
        <v>169.95</v>
      </c>
      <c r="G337" s="6" t="n">
        <v>0.50014710208885</v>
      </c>
      <c r="H337" s="5" t="n">
        <v>69.95</v>
      </c>
      <c r="I337" s="5" t="n">
        <v>139.95</v>
      </c>
      <c r="J337" s="5" t="n">
        <f aca="false">H337-E337</f>
        <v>-15</v>
      </c>
      <c r="K337" s="6" t="n">
        <f aca="false">IF(E337=0,0,J337/E337)</f>
        <v>-0.176574455562095</v>
      </c>
    </row>
    <row r="338" customFormat="false" ht="15" hidden="false" customHeight="false" outlineLevel="0" collapsed="false">
      <c r="A338" s="4" t="s">
        <v>763</v>
      </c>
      <c r="B338" s="4" t="s">
        <v>764</v>
      </c>
      <c r="C338" s="4" t="s">
        <v>74</v>
      </c>
      <c r="D338" s="4" t="s">
        <v>42</v>
      </c>
      <c r="E338" s="5" t="n">
        <v>79.95</v>
      </c>
      <c r="F338" s="5" t="n">
        <v>159.95</v>
      </c>
      <c r="G338" s="6" t="n">
        <v>0.500156298843389</v>
      </c>
      <c r="H338" s="5" t="n">
        <v>69.95</v>
      </c>
      <c r="I338" s="5" t="n">
        <v>139.95</v>
      </c>
      <c r="J338" s="5" t="n">
        <f aca="false">H338-E338</f>
        <v>-10</v>
      </c>
      <c r="K338" s="6" t="n">
        <f aca="false">IF(E338=0,0,J338/E338)</f>
        <v>-0.125078173858662</v>
      </c>
    </row>
    <row r="339" customFormat="false" ht="15" hidden="false" customHeight="false" outlineLevel="0" collapsed="false">
      <c r="A339" s="4" t="s">
        <v>765</v>
      </c>
      <c r="B339" s="4" t="s">
        <v>766</v>
      </c>
      <c r="C339" s="4" t="s">
        <v>74</v>
      </c>
      <c r="D339" s="4" t="s">
        <v>42</v>
      </c>
      <c r="E339" s="5" t="n">
        <v>79.95</v>
      </c>
      <c r="F339" s="5" t="n">
        <v>159.95</v>
      </c>
      <c r="G339" s="6" t="n">
        <v>0.500156298843389</v>
      </c>
      <c r="H339" s="5" t="n">
        <v>69.95</v>
      </c>
      <c r="I339" s="5" t="n">
        <v>139.95</v>
      </c>
      <c r="J339" s="5" t="n">
        <f aca="false">H339-E339</f>
        <v>-10</v>
      </c>
      <c r="K339" s="6" t="n">
        <f aca="false">IF(E339=0,0,J339/E339)</f>
        <v>-0.125078173858662</v>
      </c>
    </row>
    <row r="340" customFormat="false" ht="15" hidden="false" customHeight="false" outlineLevel="0" collapsed="false">
      <c r="A340" s="4" t="s">
        <v>767</v>
      </c>
      <c r="B340" s="4" t="s">
        <v>768</v>
      </c>
      <c r="C340" s="4" t="s">
        <v>74</v>
      </c>
      <c r="D340" s="4" t="s">
        <v>42</v>
      </c>
      <c r="E340" s="5" t="n">
        <v>79.95</v>
      </c>
      <c r="F340" s="5" t="n">
        <v>134.95</v>
      </c>
      <c r="G340" s="6" t="n">
        <v>0.407558354946276</v>
      </c>
      <c r="H340" s="5" t="n">
        <v>69.95</v>
      </c>
      <c r="I340" s="5" t="n">
        <v>118.95</v>
      </c>
      <c r="J340" s="5" t="n">
        <f aca="false">H340-E340</f>
        <v>-10</v>
      </c>
      <c r="K340" s="6" t="n">
        <f aca="false">IF(E340=0,0,J340/E340)</f>
        <v>-0.125078173858662</v>
      </c>
    </row>
    <row r="341" customFormat="false" ht="15" hidden="false" customHeight="false" outlineLevel="0" collapsed="false">
      <c r="A341" s="4" t="s">
        <v>769</v>
      </c>
      <c r="B341" s="4" t="s">
        <v>770</v>
      </c>
      <c r="C341" s="4" t="s">
        <v>74</v>
      </c>
      <c r="D341" s="4" t="s">
        <v>42</v>
      </c>
      <c r="E341" s="5" t="n">
        <v>79.95</v>
      </c>
      <c r="F341" s="5" t="n">
        <v>146.95</v>
      </c>
      <c r="G341" s="6" t="n">
        <v>0.455937393671317</v>
      </c>
      <c r="H341" s="5" t="n">
        <v>69.95</v>
      </c>
      <c r="I341" s="5" t="n">
        <v>128.95</v>
      </c>
      <c r="J341" s="5" t="n">
        <f aca="false">H341-E341</f>
        <v>-10</v>
      </c>
      <c r="K341" s="6" t="n">
        <f aca="false">IF(E341=0,0,J341/E341)</f>
        <v>-0.125078173858662</v>
      </c>
    </row>
    <row r="342" customFormat="false" ht="15" hidden="false" customHeight="false" outlineLevel="0" collapsed="false">
      <c r="A342" s="4" t="s">
        <v>771</v>
      </c>
      <c r="B342" s="4" t="s">
        <v>772</v>
      </c>
      <c r="C342" s="4" t="s">
        <v>74</v>
      </c>
      <c r="D342" s="4" t="s">
        <v>42</v>
      </c>
      <c r="E342" s="5" t="n">
        <v>79.95</v>
      </c>
      <c r="F342" s="5" t="n">
        <v>159.95</v>
      </c>
      <c r="G342" s="6" t="n">
        <v>0.500156298843389</v>
      </c>
      <c r="H342" s="5" t="n">
        <v>69.95</v>
      </c>
      <c r="I342" s="5" t="n">
        <v>139.95</v>
      </c>
      <c r="J342" s="5" t="n">
        <f aca="false">H342-E342</f>
        <v>-10</v>
      </c>
      <c r="K342" s="6" t="n">
        <f aca="false">IF(E342=0,0,J342/E342)</f>
        <v>-0.125078173858662</v>
      </c>
    </row>
    <row r="343" customFormat="false" ht="15" hidden="false" customHeight="false" outlineLevel="0" collapsed="false">
      <c r="A343" s="4" t="s">
        <v>773</v>
      </c>
      <c r="B343" s="4" t="s">
        <v>774</v>
      </c>
      <c r="C343" s="4" t="s">
        <v>74</v>
      </c>
      <c r="D343" s="4" t="s">
        <v>42</v>
      </c>
      <c r="E343" s="5" t="n">
        <v>84.95</v>
      </c>
      <c r="F343" s="5" t="n">
        <v>142.95</v>
      </c>
      <c r="G343" s="6" t="n">
        <v>0.405736271423575</v>
      </c>
      <c r="H343" s="5" t="n">
        <v>69.95</v>
      </c>
      <c r="I343" s="5" t="n">
        <v>117.95</v>
      </c>
      <c r="J343" s="5" t="n">
        <f aca="false">H343-E343</f>
        <v>-15</v>
      </c>
      <c r="K343" s="6" t="n">
        <f aca="false">IF(E343=0,0,J343/E343)</f>
        <v>-0.176574455562095</v>
      </c>
    </row>
    <row r="344" customFormat="false" ht="15" hidden="false" customHeight="false" outlineLevel="0" collapsed="false">
      <c r="A344" s="4" t="s">
        <v>775</v>
      </c>
      <c r="B344" s="4" t="s">
        <v>776</v>
      </c>
      <c r="C344" s="4" t="s">
        <v>74</v>
      </c>
      <c r="D344" s="4" t="s">
        <v>42</v>
      </c>
      <c r="E344" s="5" t="n">
        <v>79.95</v>
      </c>
      <c r="F344" s="5" t="n">
        <v>146.95</v>
      </c>
      <c r="G344" s="6" t="n">
        <v>0.455937393671317</v>
      </c>
      <c r="H344" s="5" t="n">
        <v>69.95</v>
      </c>
      <c r="I344" s="5" t="n">
        <v>128.95</v>
      </c>
      <c r="J344" s="5" t="n">
        <f aca="false">H344-E344</f>
        <v>-10</v>
      </c>
      <c r="K344" s="6" t="n">
        <f aca="false">IF(E344=0,0,J344/E344)</f>
        <v>-0.125078173858662</v>
      </c>
    </row>
    <row r="345" customFormat="false" ht="15" hidden="false" customHeight="false" outlineLevel="0" collapsed="false">
      <c r="A345" s="4" t="s">
        <v>777</v>
      </c>
      <c r="B345" s="4" t="s">
        <v>778</v>
      </c>
      <c r="C345" s="4" t="s">
        <v>75</v>
      </c>
      <c r="D345" s="4" t="s">
        <v>46</v>
      </c>
      <c r="E345" s="5" t="n">
        <v>84.95</v>
      </c>
      <c r="F345" s="5" t="n">
        <v>169.95</v>
      </c>
      <c r="G345" s="6" t="n">
        <v>0.50014710208885</v>
      </c>
      <c r="H345" s="5" t="n">
        <v>84.95</v>
      </c>
      <c r="I345" s="5" t="n">
        <v>169.95</v>
      </c>
      <c r="J345" s="5" t="n">
        <f aca="false">H345-E345</f>
        <v>0</v>
      </c>
      <c r="K345" s="6" t="n">
        <f aca="false">IF(E345=0,0,J345/E345)</f>
        <v>0</v>
      </c>
    </row>
    <row r="346" customFormat="false" ht="15" hidden="false" customHeight="false" outlineLevel="0" collapsed="false">
      <c r="A346" s="4" t="s">
        <v>779</v>
      </c>
      <c r="B346" s="4" t="s">
        <v>780</v>
      </c>
      <c r="C346" s="4" t="s">
        <v>75</v>
      </c>
      <c r="D346" s="4" t="s">
        <v>46</v>
      </c>
      <c r="E346" s="5" t="n">
        <v>104.95</v>
      </c>
      <c r="F346" s="5" t="n">
        <v>191.95</v>
      </c>
      <c r="G346" s="6" t="n">
        <v>0.453243032039594</v>
      </c>
      <c r="H346" s="5" t="n">
        <v>89.95</v>
      </c>
      <c r="I346" s="5" t="n">
        <v>164.95</v>
      </c>
      <c r="J346" s="5" t="n">
        <f aca="false">H346-E346</f>
        <v>-15</v>
      </c>
      <c r="K346" s="6" t="n">
        <f aca="false">IF(E346=0,0,J346/E346)</f>
        <v>-0.14292520247737</v>
      </c>
    </row>
    <row r="347" customFormat="false" ht="15" hidden="false" customHeight="false" outlineLevel="0" collapsed="false">
      <c r="A347" s="4" t="s">
        <v>781</v>
      </c>
      <c r="B347" s="4" t="s">
        <v>782</v>
      </c>
      <c r="C347" s="4" t="s">
        <v>75</v>
      </c>
      <c r="D347" s="4" t="s">
        <v>46</v>
      </c>
      <c r="E347" s="5" t="n">
        <v>104.95</v>
      </c>
      <c r="F347" s="5" t="n">
        <v>209.95</v>
      </c>
      <c r="G347" s="6" t="n">
        <v>0.500119075970469</v>
      </c>
      <c r="H347" s="5" t="n">
        <v>89.95</v>
      </c>
      <c r="I347" s="5" t="n">
        <v>179.95</v>
      </c>
      <c r="J347" s="5" t="n">
        <f aca="false">H347-E347</f>
        <v>-15</v>
      </c>
      <c r="K347" s="6" t="n">
        <f aca="false">IF(E347=0,0,J347/E347)</f>
        <v>-0.14292520247737</v>
      </c>
    </row>
    <row r="348" customFormat="false" ht="15" hidden="false" customHeight="false" outlineLevel="0" collapsed="false">
      <c r="A348" s="4" t="s">
        <v>783</v>
      </c>
      <c r="B348" s="4" t="s">
        <v>784</v>
      </c>
      <c r="C348" s="4" t="s">
        <v>75</v>
      </c>
      <c r="D348" s="4" t="s">
        <v>46</v>
      </c>
      <c r="E348" s="5" t="n">
        <v>99.95</v>
      </c>
      <c r="F348" s="5" t="n">
        <v>199.95</v>
      </c>
      <c r="G348" s="6" t="n">
        <v>0.500125031257814</v>
      </c>
      <c r="H348" s="5" t="n">
        <v>84.95</v>
      </c>
      <c r="I348" s="5" t="n">
        <v>169.95</v>
      </c>
      <c r="J348" s="5" t="n">
        <f aca="false">H348-E348</f>
        <v>-15</v>
      </c>
      <c r="K348" s="6" t="n">
        <f aca="false">IF(E348=0,0,J348/E348)</f>
        <v>-0.150075037518759</v>
      </c>
    </row>
    <row r="349" customFormat="false" ht="15" hidden="false" customHeight="false" outlineLevel="0" collapsed="false">
      <c r="A349" s="4" t="s">
        <v>785</v>
      </c>
      <c r="B349" s="4" t="s">
        <v>786</v>
      </c>
      <c r="C349" s="4" t="s">
        <v>75</v>
      </c>
      <c r="D349" s="4" t="s">
        <v>46</v>
      </c>
      <c r="E349" s="5" t="n">
        <v>109.95</v>
      </c>
      <c r="F349" s="5" t="n">
        <v>200.95</v>
      </c>
      <c r="G349" s="6" t="n">
        <v>0.452848967404827</v>
      </c>
      <c r="H349" s="5" t="n">
        <v>89.95</v>
      </c>
      <c r="I349" s="5" t="n">
        <v>164.95</v>
      </c>
      <c r="J349" s="5" t="n">
        <f aca="false">H349-E349</f>
        <v>-20</v>
      </c>
      <c r="K349" s="6" t="n">
        <f aca="false">IF(E349=0,0,J349/E349)</f>
        <v>-0.181900864029104</v>
      </c>
    </row>
    <row r="350" customFormat="false" ht="15" hidden="false" customHeight="false" outlineLevel="0" collapsed="false">
      <c r="A350" s="4" t="s">
        <v>787</v>
      </c>
      <c r="B350" s="4" t="s">
        <v>788</v>
      </c>
      <c r="C350" s="4" t="s">
        <v>75</v>
      </c>
      <c r="D350" s="4" t="s">
        <v>46</v>
      </c>
      <c r="E350" s="5" t="n">
        <v>89.95</v>
      </c>
      <c r="F350" s="5" t="n">
        <v>179.95</v>
      </c>
      <c r="G350" s="6" t="n">
        <v>0.500138927479855</v>
      </c>
      <c r="H350" s="5" t="n">
        <v>84.95</v>
      </c>
      <c r="I350" s="5" t="n">
        <v>169.95</v>
      </c>
      <c r="J350" s="5" t="n">
        <f aca="false">H350-E350</f>
        <v>-5</v>
      </c>
      <c r="K350" s="6" t="n">
        <f aca="false">IF(E350=0,0,J350/E350)</f>
        <v>-0.0555864369093941</v>
      </c>
    </row>
    <row r="351" customFormat="false" ht="15" hidden="false" customHeight="false" outlineLevel="0" collapsed="false">
      <c r="A351" s="4" t="s">
        <v>789</v>
      </c>
      <c r="B351" s="4" t="s">
        <v>790</v>
      </c>
      <c r="C351" s="4" t="s">
        <v>76</v>
      </c>
      <c r="D351" s="4" t="s">
        <v>48</v>
      </c>
      <c r="E351" s="5" t="n">
        <v>84.95</v>
      </c>
      <c r="F351" s="5" t="n">
        <v>142.95</v>
      </c>
      <c r="G351" s="6" t="n">
        <v>0.405736271423575</v>
      </c>
      <c r="H351" s="5" t="n">
        <v>64.95</v>
      </c>
      <c r="I351" s="5" t="n">
        <v>109.95</v>
      </c>
      <c r="J351" s="5" t="n">
        <f aca="false">H351-E351</f>
        <v>-20</v>
      </c>
      <c r="K351" s="6" t="n">
        <f aca="false">IF(E351=0,0,J351/E351)</f>
        <v>-0.235432607416127</v>
      </c>
    </row>
    <row r="352" customFormat="false" ht="15" hidden="false" customHeight="false" outlineLevel="0" collapsed="false">
      <c r="A352" s="4" t="s">
        <v>791</v>
      </c>
      <c r="B352" s="4" t="s">
        <v>792</v>
      </c>
      <c r="C352" s="4" t="s">
        <v>76</v>
      </c>
      <c r="D352" s="4" t="s">
        <v>48</v>
      </c>
      <c r="E352" s="5" t="n">
        <v>79.95</v>
      </c>
      <c r="F352" s="5" t="n">
        <v>146.95</v>
      </c>
      <c r="G352" s="6" t="n">
        <v>0.455937393671317</v>
      </c>
      <c r="H352" s="5" t="n">
        <v>64.95</v>
      </c>
      <c r="I352" s="5" t="n">
        <v>119.95</v>
      </c>
      <c r="J352" s="5" t="n">
        <f aca="false">H352-E352</f>
        <v>-15</v>
      </c>
      <c r="K352" s="6" t="n">
        <f aca="false">IF(E352=0,0,J352/E352)</f>
        <v>-0.187617260787992</v>
      </c>
    </row>
    <row r="353" customFormat="false" ht="15" hidden="false" customHeight="false" outlineLevel="0" collapsed="false">
      <c r="A353" s="4" t="s">
        <v>793</v>
      </c>
      <c r="B353" s="4" t="s">
        <v>794</v>
      </c>
      <c r="C353" s="4" t="s">
        <v>76</v>
      </c>
      <c r="D353" s="4" t="s">
        <v>48</v>
      </c>
      <c r="E353" s="5" t="n">
        <v>79.95</v>
      </c>
      <c r="F353" s="5" t="n">
        <v>134.95</v>
      </c>
      <c r="G353" s="6" t="n">
        <v>0.407558354946276</v>
      </c>
      <c r="H353" s="5" t="n">
        <v>64.95</v>
      </c>
      <c r="I353" s="5" t="n">
        <v>109.95</v>
      </c>
      <c r="J353" s="5" t="n">
        <f aca="false">H353-E353</f>
        <v>-15</v>
      </c>
      <c r="K353" s="6" t="n">
        <f aca="false">IF(E353=0,0,J353/E353)</f>
        <v>-0.187617260787992</v>
      </c>
    </row>
    <row r="354" customFormat="false" ht="15" hidden="false" customHeight="false" outlineLevel="0" collapsed="false">
      <c r="A354" s="4" t="s">
        <v>795</v>
      </c>
      <c r="B354" s="4" t="s">
        <v>796</v>
      </c>
      <c r="C354" s="4" t="s">
        <v>76</v>
      </c>
      <c r="D354" s="4" t="s">
        <v>48</v>
      </c>
      <c r="E354" s="5" t="n">
        <v>84.95</v>
      </c>
      <c r="F354" s="5" t="n">
        <v>142.95</v>
      </c>
      <c r="G354" s="6" t="n">
        <v>0.405736271423575</v>
      </c>
      <c r="H354" s="5" t="n">
        <v>64.95</v>
      </c>
      <c r="I354" s="5" t="n">
        <v>109.95</v>
      </c>
      <c r="J354" s="5" t="n">
        <f aca="false">H354-E354</f>
        <v>-20</v>
      </c>
      <c r="K354" s="6" t="n">
        <f aca="false">IF(E354=0,0,J354/E354)</f>
        <v>-0.235432607416127</v>
      </c>
    </row>
    <row r="355" customFormat="false" ht="15" hidden="false" customHeight="false" outlineLevel="0" collapsed="false">
      <c r="A355" s="4" t="s">
        <v>797</v>
      </c>
      <c r="B355" s="4" t="s">
        <v>798</v>
      </c>
      <c r="C355" s="4" t="s">
        <v>77</v>
      </c>
      <c r="D355" s="4" t="s">
        <v>50</v>
      </c>
      <c r="E355" s="5" t="n">
        <v>84.95</v>
      </c>
      <c r="F355" s="5" t="n">
        <v>155.95</v>
      </c>
      <c r="G355" s="6" t="n">
        <v>0.455274126322539</v>
      </c>
      <c r="H355" s="5" t="n">
        <v>69.95</v>
      </c>
      <c r="I355" s="5" t="n">
        <v>128.95</v>
      </c>
      <c r="J355" s="5" t="n">
        <f aca="false">H355-E355</f>
        <v>-15</v>
      </c>
      <c r="K355" s="6" t="n">
        <f aca="false">IF(E355=0,0,J355/E355)</f>
        <v>-0.176574455562095</v>
      </c>
    </row>
    <row r="356" customFormat="false" ht="15" hidden="false" customHeight="false" outlineLevel="0" collapsed="false">
      <c r="A356" s="4" t="s">
        <v>799</v>
      </c>
      <c r="B356" s="4" t="s">
        <v>800</v>
      </c>
      <c r="C356" s="4" t="s">
        <v>77</v>
      </c>
      <c r="D356" s="4" t="s">
        <v>50</v>
      </c>
      <c r="E356" s="5" t="n">
        <v>79.95</v>
      </c>
      <c r="F356" s="5" t="n">
        <v>159.95</v>
      </c>
      <c r="G356" s="6" t="n">
        <v>0.500156298843389</v>
      </c>
      <c r="H356" s="5" t="n">
        <v>64.95</v>
      </c>
      <c r="I356" s="5" t="n">
        <v>129.95</v>
      </c>
      <c r="J356" s="5" t="n">
        <f aca="false">H356-E356</f>
        <v>-15</v>
      </c>
      <c r="K356" s="6" t="n">
        <f aca="false">IF(E356=0,0,J356/E356)</f>
        <v>-0.187617260787992</v>
      </c>
    </row>
    <row r="357" customFormat="false" ht="15" hidden="false" customHeight="false" outlineLevel="0" collapsed="false">
      <c r="A357" s="4" t="s">
        <v>801</v>
      </c>
      <c r="B357" s="4" t="s">
        <v>802</v>
      </c>
      <c r="C357" s="4" t="s">
        <v>77</v>
      </c>
      <c r="D357" s="4" t="s">
        <v>50</v>
      </c>
      <c r="E357" s="5" t="n">
        <v>84.95</v>
      </c>
      <c r="F357" s="5" t="n">
        <v>155.95</v>
      </c>
      <c r="G357" s="6" t="n">
        <v>0.455274126322539</v>
      </c>
      <c r="H357" s="5" t="n">
        <v>69.95</v>
      </c>
      <c r="I357" s="5" t="n">
        <v>128.95</v>
      </c>
      <c r="J357" s="5" t="n">
        <f aca="false">H357-E357</f>
        <v>-15</v>
      </c>
      <c r="K357" s="6" t="n">
        <f aca="false">IF(E357=0,0,J357/E357)</f>
        <v>-0.176574455562095</v>
      </c>
    </row>
    <row r="358" customFormat="false" ht="15" hidden="false" customHeight="false" outlineLevel="0" collapsed="false">
      <c r="A358" s="4" t="s">
        <v>803</v>
      </c>
      <c r="B358" s="4" t="s">
        <v>804</v>
      </c>
      <c r="C358" s="4" t="s">
        <v>77</v>
      </c>
      <c r="D358" s="4" t="s">
        <v>50</v>
      </c>
      <c r="E358" s="5" t="n">
        <v>84.95</v>
      </c>
      <c r="F358" s="5" t="n">
        <v>142.95</v>
      </c>
      <c r="G358" s="6" t="n">
        <v>0.405736271423575</v>
      </c>
      <c r="H358" s="5" t="n">
        <v>69.95</v>
      </c>
      <c r="I358" s="5" t="n">
        <v>117.95</v>
      </c>
      <c r="J358" s="5" t="n">
        <f aca="false">H358-E358</f>
        <v>-15</v>
      </c>
      <c r="K358" s="6" t="n">
        <f aca="false">IF(E358=0,0,J358/E358)</f>
        <v>-0.176574455562095</v>
      </c>
    </row>
    <row r="359" customFormat="false" ht="15" hidden="false" customHeight="false" outlineLevel="0" collapsed="false">
      <c r="A359" s="4" t="s">
        <v>805</v>
      </c>
      <c r="B359" s="4" t="s">
        <v>806</v>
      </c>
      <c r="C359" s="4" t="s">
        <v>77</v>
      </c>
      <c r="D359" s="4" t="s">
        <v>50</v>
      </c>
      <c r="E359" s="5" t="n">
        <v>79.95</v>
      </c>
      <c r="F359" s="5" t="n">
        <v>134.95</v>
      </c>
      <c r="G359" s="6" t="n">
        <v>0.407558354946276</v>
      </c>
      <c r="H359" s="5" t="n">
        <v>64.95</v>
      </c>
      <c r="I359" s="5" t="n">
        <v>109.95</v>
      </c>
      <c r="J359" s="5" t="n">
        <f aca="false">H359-E359</f>
        <v>-15</v>
      </c>
      <c r="K359" s="6" t="n">
        <f aca="false">IF(E359=0,0,J359/E359)</f>
        <v>-0.187617260787992</v>
      </c>
    </row>
    <row r="360" customFormat="false" ht="15" hidden="false" customHeight="false" outlineLevel="0" collapsed="false">
      <c r="A360" s="4" t="s">
        <v>807</v>
      </c>
      <c r="B360" s="4" t="s">
        <v>808</v>
      </c>
      <c r="C360" s="4" t="s">
        <v>77</v>
      </c>
      <c r="D360" s="4" t="s">
        <v>50</v>
      </c>
      <c r="E360" s="5" t="n">
        <v>79.95</v>
      </c>
      <c r="F360" s="5" t="n">
        <v>159.95</v>
      </c>
      <c r="G360" s="6" t="n">
        <v>0.500156298843389</v>
      </c>
      <c r="H360" s="5" t="n">
        <v>64.95</v>
      </c>
      <c r="I360" s="5" t="n">
        <v>129.95</v>
      </c>
      <c r="J360" s="5" t="n">
        <f aca="false">H360-E360</f>
        <v>-15</v>
      </c>
      <c r="K360" s="6" t="n">
        <f aca="false">IF(E360=0,0,J360/E360)</f>
        <v>-0.187617260787992</v>
      </c>
    </row>
    <row r="361" customFormat="false" ht="15" hidden="false" customHeight="false" outlineLevel="0" collapsed="false">
      <c r="A361" s="4" t="s">
        <v>809</v>
      </c>
      <c r="B361" s="4" t="s">
        <v>810</v>
      </c>
      <c r="C361" s="4" t="s">
        <v>77</v>
      </c>
      <c r="D361" s="4" t="s">
        <v>50</v>
      </c>
      <c r="E361" s="5" t="n">
        <v>79.95</v>
      </c>
      <c r="F361" s="5" t="n">
        <v>146.95</v>
      </c>
      <c r="G361" s="6" t="n">
        <v>0.455937393671317</v>
      </c>
      <c r="H361" s="5" t="n">
        <v>64.95</v>
      </c>
      <c r="I361" s="5" t="n">
        <v>119.95</v>
      </c>
      <c r="J361" s="5" t="n">
        <f aca="false">H361-E361</f>
        <v>-15</v>
      </c>
      <c r="K361" s="6" t="n">
        <f aca="false">IF(E361=0,0,J361/E361)</f>
        <v>-0.187617260787992</v>
      </c>
    </row>
    <row r="362" customFormat="false" ht="15" hidden="false" customHeight="false" outlineLevel="0" collapsed="false">
      <c r="A362" s="4" t="s">
        <v>811</v>
      </c>
      <c r="B362" s="4" t="s">
        <v>812</v>
      </c>
      <c r="C362" s="4" t="s">
        <v>77</v>
      </c>
      <c r="D362" s="4" t="s">
        <v>50</v>
      </c>
      <c r="E362" s="5" t="n">
        <v>84.95</v>
      </c>
      <c r="F362" s="5" t="n">
        <v>169.95</v>
      </c>
      <c r="G362" s="6" t="n">
        <v>0.50014710208885</v>
      </c>
      <c r="H362" s="5" t="n">
        <v>69.95</v>
      </c>
      <c r="I362" s="5" t="n">
        <v>139.95</v>
      </c>
      <c r="J362" s="5" t="n">
        <f aca="false">H362-E362</f>
        <v>-15</v>
      </c>
      <c r="K362" s="6" t="n">
        <f aca="false">IF(E362=0,0,J362/E362)</f>
        <v>-0.176574455562095</v>
      </c>
    </row>
    <row r="363" customFormat="false" ht="15" hidden="false" customHeight="false" outlineLevel="0" collapsed="false">
      <c r="A363" s="4" t="s">
        <v>813</v>
      </c>
      <c r="B363" s="4" t="s">
        <v>814</v>
      </c>
      <c r="C363" s="4" t="s">
        <v>77</v>
      </c>
      <c r="D363" s="4" t="s">
        <v>50</v>
      </c>
      <c r="E363" s="5" t="n">
        <v>79.95</v>
      </c>
      <c r="F363" s="5" t="n">
        <v>146.95</v>
      </c>
      <c r="G363" s="6" t="n">
        <v>0.455937393671317</v>
      </c>
      <c r="H363" s="5" t="n">
        <v>64.95</v>
      </c>
      <c r="I363" s="5" t="n">
        <v>119.95</v>
      </c>
      <c r="J363" s="5" t="n">
        <f aca="false">H363-E363</f>
        <v>-15</v>
      </c>
      <c r="K363" s="6" t="n">
        <f aca="false">IF(E363=0,0,J363/E363)</f>
        <v>-0.187617260787992</v>
      </c>
    </row>
    <row r="364" customFormat="false" ht="15" hidden="false" customHeight="false" outlineLevel="0" collapsed="false">
      <c r="A364" s="4" t="s">
        <v>815</v>
      </c>
      <c r="B364" s="4" t="s">
        <v>816</v>
      </c>
      <c r="C364" s="4" t="s">
        <v>77</v>
      </c>
      <c r="D364" s="4" t="s">
        <v>50</v>
      </c>
      <c r="E364" s="5" t="n">
        <v>59.95</v>
      </c>
      <c r="F364" s="5" t="n">
        <v>134.95</v>
      </c>
      <c r="G364" s="6" t="n">
        <v>0.555761393108559</v>
      </c>
      <c r="H364" s="5" t="n">
        <v>59.95</v>
      </c>
      <c r="I364" s="5" t="n">
        <v>134.95</v>
      </c>
      <c r="J364" s="5" t="n">
        <f aca="false">H364-E364</f>
        <v>0</v>
      </c>
      <c r="K364" s="6" t="n">
        <f aca="false">IF(E364=0,0,J364/E364)</f>
        <v>0</v>
      </c>
    </row>
    <row r="365" customFormat="false" ht="15" hidden="false" customHeight="false" outlineLevel="0" collapsed="false">
      <c r="A365" s="4" t="s">
        <v>817</v>
      </c>
      <c r="B365" s="4" t="s">
        <v>818</v>
      </c>
      <c r="C365" s="4" t="s">
        <v>77</v>
      </c>
      <c r="D365" s="4" t="s">
        <v>50</v>
      </c>
      <c r="E365" s="5" t="n">
        <v>79.95</v>
      </c>
      <c r="F365" s="5" t="n">
        <v>134.95</v>
      </c>
      <c r="G365" s="6" t="n">
        <v>0.407558354946276</v>
      </c>
      <c r="H365" s="5" t="n">
        <v>64.95</v>
      </c>
      <c r="I365" s="5" t="n">
        <v>109.95</v>
      </c>
      <c r="J365" s="5" t="n">
        <f aca="false">H365-E365</f>
        <v>-15</v>
      </c>
      <c r="K365" s="6" t="n">
        <f aca="false">IF(E365=0,0,J365/E365)</f>
        <v>-0.187617260787992</v>
      </c>
    </row>
    <row r="366" customFormat="false" ht="15" hidden="false" customHeight="false" outlineLevel="0" collapsed="false">
      <c r="A366" s="4" t="s">
        <v>819</v>
      </c>
      <c r="B366" s="4" t="s">
        <v>820</v>
      </c>
      <c r="C366" s="4" t="s">
        <v>77</v>
      </c>
      <c r="D366" s="4" t="s">
        <v>50</v>
      </c>
      <c r="E366" s="5" t="n">
        <v>79.95</v>
      </c>
      <c r="F366" s="5" t="n">
        <v>159.95</v>
      </c>
      <c r="G366" s="6" t="n">
        <v>0.500156298843389</v>
      </c>
      <c r="H366" s="5" t="n">
        <v>64.95</v>
      </c>
      <c r="I366" s="5" t="n">
        <v>129.95</v>
      </c>
      <c r="J366" s="5" t="n">
        <f aca="false">H366-E366</f>
        <v>-15</v>
      </c>
      <c r="K366" s="6" t="n">
        <f aca="false">IF(E366=0,0,J366/E366)</f>
        <v>-0.187617260787992</v>
      </c>
    </row>
    <row r="367" customFormat="false" ht="15" hidden="false" customHeight="false" outlineLevel="0" collapsed="false">
      <c r="A367" s="4" t="s">
        <v>821</v>
      </c>
      <c r="B367" s="4" t="s">
        <v>822</v>
      </c>
      <c r="C367" s="4" t="s">
        <v>77</v>
      </c>
      <c r="D367" s="4" t="s">
        <v>50</v>
      </c>
      <c r="E367" s="5" t="n">
        <v>79.95</v>
      </c>
      <c r="F367" s="5" t="n">
        <v>159.95</v>
      </c>
      <c r="G367" s="6" t="n">
        <v>0.500156298843389</v>
      </c>
      <c r="H367" s="5" t="n">
        <v>64.95</v>
      </c>
      <c r="I367" s="5" t="n">
        <v>129.95</v>
      </c>
      <c r="J367" s="5" t="n">
        <f aca="false">H367-E367</f>
        <v>-15</v>
      </c>
      <c r="K367" s="6" t="n">
        <f aca="false">IF(E367=0,0,J367/E367)</f>
        <v>-0.187617260787992</v>
      </c>
    </row>
    <row r="368" customFormat="false" ht="15" hidden="false" customHeight="false" outlineLevel="0" collapsed="false">
      <c r="A368" s="4" t="s">
        <v>823</v>
      </c>
      <c r="B368" s="4" t="s">
        <v>824</v>
      </c>
      <c r="C368" s="4" t="s">
        <v>78</v>
      </c>
      <c r="D368" s="4" t="s">
        <v>52</v>
      </c>
      <c r="E368" s="5" t="n">
        <v>84.95</v>
      </c>
      <c r="F368" s="5" t="n">
        <v>155.95</v>
      </c>
      <c r="G368" s="6" t="n">
        <v>0.455274126322539</v>
      </c>
      <c r="H368" s="5" t="n">
        <v>64.95</v>
      </c>
      <c r="I368" s="5" t="n">
        <v>119.95</v>
      </c>
      <c r="J368" s="5" t="n">
        <f aca="false">H368-E368</f>
        <v>-20</v>
      </c>
      <c r="K368" s="6" t="n">
        <f aca="false">IF(E368=0,0,J368/E368)</f>
        <v>-0.235432607416127</v>
      </c>
    </row>
    <row r="369" customFormat="false" ht="15" hidden="false" customHeight="false" outlineLevel="0" collapsed="false">
      <c r="A369" s="4" t="s">
        <v>825</v>
      </c>
      <c r="B369" s="4" t="s">
        <v>826</v>
      </c>
      <c r="C369" s="4" t="s">
        <v>78</v>
      </c>
      <c r="D369" s="4" t="s">
        <v>52</v>
      </c>
      <c r="E369" s="5" t="n">
        <v>99.95</v>
      </c>
      <c r="F369" s="5" t="n">
        <v>182.95</v>
      </c>
      <c r="G369" s="6" t="n">
        <v>0.453675867723422</v>
      </c>
      <c r="H369" s="5" t="n">
        <v>69.95</v>
      </c>
      <c r="I369" s="5" t="n">
        <v>128.95</v>
      </c>
      <c r="J369" s="5" t="n">
        <f aca="false">H369-E369</f>
        <v>-30</v>
      </c>
      <c r="K369" s="6" t="n">
        <f aca="false">IF(E369=0,0,J369/E369)</f>
        <v>-0.300150075037519</v>
      </c>
    </row>
    <row r="370" customFormat="false" ht="15" hidden="false" customHeight="false" outlineLevel="0" collapsed="false">
      <c r="A370" s="4" t="s">
        <v>827</v>
      </c>
      <c r="B370" s="4" t="s">
        <v>828</v>
      </c>
      <c r="C370" s="4" t="s">
        <v>78</v>
      </c>
      <c r="D370" s="4" t="s">
        <v>52</v>
      </c>
      <c r="E370" s="5" t="n">
        <v>84.95</v>
      </c>
      <c r="F370" s="5" t="n">
        <v>142.95</v>
      </c>
      <c r="G370" s="6" t="n">
        <v>0.405736271423575</v>
      </c>
      <c r="H370" s="5" t="n">
        <v>64.95</v>
      </c>
      <c r="I370" s="5" t="n">
        <v>109.95</v>
      </c>
      <c r="J370" s="5" t="n">
        <f aca="false">H370-E370</f>
        <v>-20</v>
      </c>
      <c r="K370" s="6" t="n">
        <f aca="false">IF(E370=0,0,J370/E370)</f>
        <v>-0.235432607416127</v>
      </c>
    </row>
    <row r="371" customFormat="false" ht="15" hidden="false" customHeight="false" outlineLevel="0" collapsed="false">
      <c r="A371" s="4" t="s">
        <v>829</v>
      </c>
      <c r="B371" s="4" t="s">
        <v>830</v>
      </c>
      <c r="C371" s="4" t="s">
        <v>78</v>
      </c>
      <c r="D371" s="4" t="s">
        <v>52</v>
      </c>
      <c r="E371" s="5" t="n">
        <v>84.95</v>
      </c>
      <c r="F371" s="5" t="n">
        <v>169.95</v>
      </c>
      <c r="G371" s="6" t="n">
        <v>0.50014710208885</v>
      </c>
      <c r="H371" s="5" t="n">
        <v>64.95</v>
      </c>
      <c r="I371" s="5" t="n">
        <v>129.95</v>
      </c>
      <c r="J371" s="5" t="n">
        <f aca="false">H371-E371</f>
        <v>-20</v>
      </c>
      <c r="K371" s="6" t="n">
        <f aca="false">IF(E371=0,0,J371/E371)</f>
        <v>-0.235432607416127</v>
      </c>
    </row>
    <row r="372" customFormat="false" ht="15" hidden="false" customHeight="false" outlineLevel="0" collapsed="false">
      <c r="A372" s="4" t="s">
        <v>831</v>
      </c>
      <c r="B372" s="4" t="s">
        <v>832</v>
      </c>
      <c r="C372" s="4" t="s">
        <v>78</v>
      </c>
      <c r="D372" s="4" t="s">
        <v>52</v>
      </c>
      <c r="E372" s="5" t="n">
        <v>79.95</v>
      </c>
      <c r="F372" s="5" t="n">
        <v>146.95</v>
      </c>
      <c r="G372" s="6" t="n">
        <v>0.455937393671317</v>
      </c>
      <c r="H372" s="5" t="n">
        <v>64.95</v>
      </c>
      <c r="I372" s="5" t="n">
        <v>119.95</v>
      </c>
      <c r="J372" s="5" t="n">
        <f aca="false">H372-E372</f>
        <v>-15</v>
      </c>
      <c r="K372" s="6" t="n">
        <f aca="false">IF(E372=0,0,J372/E372)</f>
        <v>-0.187617260787992</v>
      </c>
    </row>
    <row r="373" customFormat="false" ht="15" hidden="false" customHeight="false" outlineLevel="0" collapsed="false">
      <c r="A373" s="4" t="s">
        <v>833</v>
      </c>
      <c r="B373" s="4" t="s">
        <v>834</v>
      </c>
      <c r="C373" s="4" t="s">
        <v>78</v>
      </c>
      <c r="D373" s="4" t="s">
        <v>52</v>
      </c>
      <c r="E373" s="5" t="n">
        <v>79.95</v>
      </c>
      <c r="F373" s="5" t="n">
        <v>134.95</v>
      </c>
      <c r="G373" s="6" t="n">
        <v>0.407558354946276</v>
      </c>
      <c r="H373" s="5" t="n">
        <v>64.95</v>
      </c>
      <c r="I373" s="5" t="n">
        <v>109.95</v>
      </c>
      <c r="J373" s="5" t="n">
        <f aca="false">H373-E373</f>
        <v>-15</v>
      </c>
      <c r="K373" s="6" t="n">
        <f aca="false">IF(E373=0,0,J373/E373)</f>
        <v>-0.187617260787992</v>
      </c>
    </row>
    <row r="374" customFormat="false" ht="15" hidden="false" customHeight="false" outlineLevel="0" collapsed="false">
      <c r="A374" s="4" t="s">
        <v>835</v>
      </c>
      <c r="B374" s="4" t="s">
        <v>834</v>
      </c>
      <c r="C374" s="4" t="s">
        <v>78</v>
      </c>
      <c r="D374" s="4" t="s">
        <v>52</v>
      </c>
      <c r="E374" s="5" t="n">
        <v>79.95</v>
      </c>
      <c r="F374" s="5" t="n">
        <v>159.95</v>
      </c>
      <c r="G374" s="6" t="n">
        <v>0.500156298843389</v>
      </c>
      <c r="H374" s="5" t="n">
        <v>64.95</v>
      </c>
      <c r="I374" s="5" t="n">
        <v>129.95</v>
      </c>
      <c r="J374" s="5" t="n">
        <f aca="false">H374-E374</f>
        <v>-15</v>
      </c>
      <c r="K374" s="6" t="n">
        <f aca="false">IF(E374=0,0,J374/E374)</f>
        <v>-0.187617260787992</v>
      </c>
    </row>
    <row r="375" customFormat="false" ht="15" hidden="false" customHeight="false" outlineLevel="0" collapsed="false">
      <c r="A375" s="4" t="s">
        <v>836</v>
      </c>
      <c r="B375" s="4" t="s">
        <v>837</v>
      </c>
      <c r="C375" s="4" t="s">
        <v>78</v>
      </c>
      <c r="D375" s="4" t="s">
        <v>52</v>
      </c>
      <c r="E375" s="5" t="n">
        <v>79.95</v>
      </c>
      <c r="F375" s="5" t="n">
        <v>146.95</v>
      </c>
      <c r="G375" s="6" t="n">
        <v>0.455937393671317</v>
      </c>
      <c r="H375" s="5" t="n">
        <v>64.95</v>
      </c>
      <c r="I375" s="5" t="n">
        <v>119.95</v>
      </c>
      <c r="J375" s="5" t="n">
        <f aca="false">H375-E375</f>
        <v>-15</v>
      </c>
      <c r="K375" s="6" t="n">
        <f aca="false">IF(E375=0,0,J375/E375)</f>
        <v>-0.187617260787992</v>
      </c>
    </row>
    <row r="376" customFormat="false" ht="15" hidden="false" customHeight="false" outlineLevel="0" collapsed="false">
      <c r="A376" s="4" t="s">
        <v>838</v>
      </c>
      <c r="B376" s="4" t="s">
        <v>839</v>
      </c>
      <c r="C376" s="4" t="s">
        <v>78</v>
      </c>
      <c r="D376" s="4" t="s">
        <v>52</v>
      </c>
      <c r="E376" s="5" t="n">
        <v>79.95</v>
      </c>
      <c r="F376" s="5" t="n">
        <v>134.95</v>
      </c>
      <c r="G376" s="6" t="n">
        <v>0.407558354946276</v>
      </c>
      <c r="H376" s="5" t="n">
        <v>64.95</v>
      </c>
      <c r="I376" s="5" t="n">
        <v>109.95</v>
      </c>
      <c r="J376" s="5" t="n">
        <f aca="false">H376-E376</f>
        <v>-15</v>
      </c>
      <c r="K376" s="6" t="n">
        <f aca="false">IF(E376=0,0,J376/E376)</f>
        <v>-0.187617260787992</v>
      </c>
    </row>
    <row r="377" customFormat="false" ht="15" hidden="false" customHeight="false" outlineLevel="0" collapsed="false">
      <c r="A377" s="4" t="s">
        <v>840</v>
      </c>
      <c r="B377" s="4" t="s">
        <v>841</v>
      </c>
      <c r="C377" s="4" t="s">
        <v>78</v>
      </c>
      <c r="D377" s="4" t="s">
        <v>52</v>
      </c>
      <c r="E377" s="5" t="n">
        <v>79.95</v>
      </c>
      <c r="F377" s="5" t="n">
        <v>146.95</v>
      </c>
      <c r="G377" s="6" t="n">
        <v>0.455937393671317</v>
      </c>
      <c r="H377" s="5" t="n">
        <v>64.95</v>
      </c>
      <c r="I377" s="5" t="n">
        <v>119.95</v>
      </c>
      <c r="J377" s="5" t="n">
        <f aca="false">H377-E377</f>
        <v>-15</v>
      </c>
      <c r="K377" s="6" t="n">
        <f aca="false">IF(E377=0,0,J377/E377)</f>
        <v>-0.187617260787992</v>
      </c>
    </row>
    <row r="378" customFormat="false" ht="15" hidden="false" customHeight="false" outlineLevel="0" collapsed="false">
      <c r="A378" s="4" t="s">
        <v>842</v>
      </c>
      <c r="B378" s="4" t="s">
        <v>843</v>
      </c>
      <c r="C378" s="4" t="s">
        <v>78</v>
      </c>
      <c r="D378" s="4" t="s">
        <v>52</v>
      </c>
      <c r="E378" s="5" t="n">
        <v>84.95</v>
      </c>
      <c r="F378" s="5" t="n">
        <v>142.95</v>
      </c>
      <c r="G378" s="6" t="n">
        <v>0.405736271423575</v>
      </c>
      <c r="H378" s="5" t="n">
        <v>64.95</v>
      </c>
      <c r="I378" s="5" t="n">
        <v>109.95</v>
      </c>
      <c r="J378" s="5" t="n">
        <f aca="false">H378-E378</f>
        <v>-20</v>
      </c>
      <c r="K378" s="6" t="n">
        <f aca="false">IF(E378=0,0,J378/E378)</f>
        <v>-0.235432607416127</v>
      </c>
    </row>
    <row r="379" customFormat="false" ht="15" hidden="false" customHeight="false" outlineLevel="0" collapsed="false">
      <c r="A379" s="4" t="s">
        <v>844</v>
      </c>
      <c r="B379" s="4" t="s">
        <v>845</v>
      </c>
      <c r="C379" s="4" t="s">
        <v>79</v>
      </c>
      <c r="D379" s="4" t="s">
        <v>80</v>
      </c>
      <c r="E379" s="5" t="n">
        <v>84.95</v>
      </c>
      <c r="F379" s="5" t="n">
        <v>155.95</v>
      </c>
      <c r="G379" s="6" t="n">
        <v>0.455274126322539</v>
      </c>
      <c r="H379" s="5" t="n">
        <v>59.95</v>
      </c>
      <c r="I379" s="5" t="n">
        <v>110.95</v>
      </c>
      <c r="J379" s="5" t="n">
        <f aca="false">H379-E379</f>
        <v>-25</v>
      </c>
      <c r="K379" s="6" t="n">
        <f aca="false">IF(E379=0,0,J379/E379)</f>
        <v>-0.294290759270159</v>
      </c>
    </row>
    <row r="380" customFormat="false" ht="15" hidden="false" customHeight="false" outlineLevel="0" collapsed="false">
      <c r="A380" s="4" t="s">
        <v>846</v>
      </c>
      <c r="B380" s="4" t="s">
        <v>847</v>
      </c>
      <c r="C380" s="4" t="s">
        <v>79</v>
      </c>
      <c r="D380" s="4" t="s">
        <v>80</v>
      </c>
      <c r="E380" s="5" t="n">
        <v>79.95</v>
      </c>
      <c r="F380" s="5" t="n">
        <v>134.95</v>
      </c>
      <c r="G380" s="6" t="n">
        <v>0.407558354946276</v>
      </c>
      <c r="H380" s="5" t="n">
        <v>59.95</v>
      </c>
      <c r="I380" s="5" t="n">
        <v>101.95</v>
      </c>
      <c r="J380" s="5" t="n">
        <f aca="false">H380-E380</f>
        <v>-20</v>
      </c>
      <c r="K380" s="6" t="n">
        <f aca="false">IF(E380=0,0,J380/E380)</f>
        <v>-0.250156347717323</v>
      </c>
    </row>
    <row r="381" customFormat="false" ht="15" hidden="false" customHeight="false" outlineLevel="0" collapsed="false">
      <c r="A381" s="4" t="s">
        <v>848</v>
      </c>
      <c r="B381" s="4" t="s">
        <v>849</v>
      </c>
      <c r="C381" s="4" t="s">
        <v>79</v>
      </c>
      <c r="D381" s="4" t="s">
        <v>80</v>
      </c>
      <c r="E381" s="5" t="n">
        <v>79.95</v>
      </c>
      <c r="F381" s="5" t="n">
        <v>134.95</v>
      </c>
      <c r="G381" s="6" t="n">
        <v>0.407558354946276</v>
      </c>
      <c r="H381" s="5" t="n">
        <v>59.95</v>
      </c>
      <c r="I381" s="5" t="n">
        <v>101.95</v>
      </c>
      <c r="J381" s="5" t="n">
        <f aca="false">H381-E381</f>
        <v>-20</v>
      </c>
      <c r="K381" s="6" t="n">
        <f aca="false">IF(E381=0,0,J381/E381)</f>
        <v>-0.250156347717323</v>
      </c>
    </row>
    <row r="382" customFormat="false" ht="15" hidden="false" customHeight="false" outlineLevel="0" collapsed="false">
      <c r="A382" s="4" t="s">
        <v>850</v>
      </c>
      <c r="B382" s="4" t="s">
        <v>851</v>
      </c>
      <c r="C382" s="4" t="s">
        <v>79</v>
      </c>
      <c r="D382" s="4" t="s">
        <v>80</v>
      </c>
      <c r="E382" s="5" t="n">
        <v>79.95</v>
      </c>
      <c r="F382" s="5" t="n">
        <v>159.95</v>
      </c>
      <c r="G382" s="6" t="n">
        <v>0.500156298843389</v>
      </c>
      <c r="H382" s="5" t="n">
        <v>59.95</v>
      </c>
      <c r="I382" s="5" t="n">
        <v>119.95</v>
      </c>
      <c r="J382" s="5" t="n">
        <f aca="false">H382-E382</f>
        <v>-20</v>
      </c>
      <c r="K382" s="6" t="n">
        <f aca="false">IF(E382=0,0,J382/E382)</f>
        <v>-0.250156347717323</v>
      </c>
    </row>
    <row r="383" customFormat="false" ht="15" hidden="false" customHeight="false" outlineLevel="0" collapsed="false">
      <c r="A383" s="4" t="s">
        <v>852</v>
      </c>
      <c r="B383" s="4" t="s">
        <v>853</v>
      </c>
      <c r="C383" s="4" t="s">
        <v>79</v>
      </c>
      <c r="D383" s="4" t="s">
        <v>80</v>
      </c>
      <c r="E383" s="5" t="n">
        <v>84.95</v>
      </c>
      <c r="F383" s="5" t="n">
        <v>142.95</v>
      </c>
      <c r="G383" s="6" t="n">
        <v>0.405736271423575</v>
      </c>
      <c r="H383" s="5" t="n">
        <v>59.95</v>
      </c>
      <c r="I383" s="5" t="n">
        <v>100.95</v>
      </c>
      <c r="J383" s="5" t="n">
        <f aca="false">H383-E383</f>
        <v>-25</v>
      </c>
      <c r="K383" s="6" t="n">
        <f aca="false">IF(E383=0,0,J383/E383)</f>
        <v>-0.294290759270159</v>
      </c>
    </row>
    <row r="384" customFormat="false" ht="15" hidden="false" customHeight="false" outlineLevel="0" collapsed="false">
      <c r="A384" s="4" t="s">
        <v>854</v>
      </c>
      <c r="B384" s="4" t="s">
        <v>855</v>
      </c>
      <c r="C384" s="4" t="s">
        <v>81</v>
      </c>
      <c r="D384" s="4" t="s">
        <v>57</v>
      </c>
      <c r="E384" s="5" t="n">
        <v>104.95</v>
      </c>
      <c r="F384" s="5" t="n">
        <v>174.95</v>
      </c>
      <c r="G384" s="6" t="n">
        <v>0.400114318376679</v>
      </c>
      <c r="H384" s="5" t="n">
        <v>79.95</v>
      </c>
      <c r="I384" s="5" t="n">
        <v>133.95</v>
      </c>
      <c r="J384" s="5" t="n">
        <f aca="false">H384-E384</f>
        <v>-25</v>
      </c>
      <c r="K384" s="6" t="n">
        <f aca="false">IF(E384=0,0,J384/E384)</f>
        <v>-0.238208670795617</v>
      </c>
    </row>
    <row r="385" customFormat="false" ht="15" hidden="false" customHeight="false" outlineLevel="0" collapsed="false">
      <c r="A385" s="4" t="s">
        <v>856</v>
      </c>
      <c r="B385" s="4" t="s">
        <v>857</v>
      </c>
      <c r="C385" s="4" t="s">
        <v>81</v>
      </c>
      <c r="D385" s="4" t="s">
        <v>57</v>
      </c>
      <c r="E385" s="5" t="n">
        <v>89.95</v>
      </c>
      <c r="F385" s="5" t="n">
        <v>179.95</v>
      </c>
      <c r="G385" s="6" t="n">
        <v>0.500138927479855</v>
      </c>
      <c r="H385" s="5" t="n">
        <v>79.95</v>
      </c>
      <c r="I385" s="5" t="n">
        <v>159.95</v>
      </c>
      <c r="J385" s="5" t="n">
        <f aca="false">H385-E385</f>
        <v>-10</v>
      </c>
      <c r="K385" s="6" t="n">
        <f aca="false">IF(E385=0,0,J385/E385)</f>
        <v>-0.111172873818788</v>
      </c>
    </row>
    <row r="386" customFormat="false" ht="15" hidden="false" customHeight="false" outlineLevel="0" collapsed="false">
      <c r="A386" s="4" t="s">
        <v>858</v>
      </c>
      <c r="B386" s="4" t="s">
        <v>859</v>
      </c>
      <c r="C386" s="4" t="s">
        <v>81</v>
      </c>
      <c r="D386" s="4" t="s">
        <v>57</v>
      </c>
      <c r="E386" s="5" t="n">
        <v>104.95</v>
      </c>
      <c r="F386" s="5" t="n">
        <v>191.95</v>
      </c>
      <c r="G386" s="6" t="n">
        <v>0.453243032039594</v>
      </c>
      <c r="H386" s="5" t="n">
        <v>79.95</v>
      </c>
      <c r="I386" s="5" t="n">
        <v>146.95</v>
      </c>
      <c r="J386" s="5" t="n">
        <f aca="false">H386-E386</f>
        <v>-25</v>
      </c>
      <c r="K386" s="6" t="n">
        <f aca="false">IF(E386=0,0,J386/E386)</f>
        <v>-0.238208670795617</v>
      </c>
    </row>
    <row r="387" customFormat="false" ht="15" hidden="false" customHeight="false" outlineLevel="0" collapsed="false">
      <c r="A387" s="4" t="s">
        <v>860</v>
      </c>
      <c r="B387" s="4" t="s">
        <v>861</v>
      </c>
      <c r="C387" s="4" t="s">
        <v>81</v>
      </c>
      <c r="D387" s="4" t="s">
        <v>57</v>
      </c>
      <c r="E387" s="5" t="n">
        <v>104.95</v>
      </c>
      <c r="F387" s="5" t="n">
        <v>174.95</v>
      </c>
      <c r="G387" s="6" t="n">
        <v>0.400114318376679</v>
      </c>
      <c r="H387" s="5" t="n">
        <v>79.95</v>
      </c>
      <c r="I387" s="5" t="n">
        <v>133.95</v>
      </c>
      <c r="J387" s="5" t="n">
        <f aca="false">H387-E387</f>
        <v>-25</v>
      </c>
      <c r="K387" s="6" t="n">
        <f aca="false">IF(E387=0,0,J387/E387)</f>
        <v>-0.238208670795617</v>
      </c>
    </row>
    <row r="388" customFormat="false" ht="15" hidden="false" customHeight="false" outlineLevel="0" collapsed="false">
      <c r="A388" s="4" t="s">
        <v>862</v>
      </c>
      <c r="B388" s="4" t="s">
        <v>863</v>
      </c>
      <c r="C388" s="4" t="s">
        <v>81</v>
      </c>
      <c r="D388" s="4" t="s">
        <v>57</v>
      </c>
      <c r="E388" s="5" t="n">
        <v>104.95</v>
      </c>
      <c r="F388" s="5" t="n">
        <v>174.95</v>
      </c>
      <c r="G388" s="6" t="n">
        <v>0.400114318376679</v>
      </c>
      <c r="H388" s="5" t="n">
        <v>79.95</v>
      </c>
      <c r="I388" s="5" t="n">
        <v>133.95</v>
      </c>
      <c r="J388" s="5" t="n">
        <f aca="false">H388-E388</f>
        <v>-25</v>
      </c>
      <c r="K388" s="6" t="n">
        <f aca="false">IF(E388=0,0,J388/E388)</f>
        <v>-0.238208670795617</v>
      </c>
    </row>
    <row r="389" customFormat="false" ht="15" hidden="false" customHeight="false" outlineLevel="0" collapsed="false">
      <c r="A389" s="4" t="s">
        <v>864</v>
      </c>
      <c r="B389" s="4" t="s">
        <v>865</v>
      </c>
      <c r="C389" s="4" t="s">
        <v>81</v>
      </c>
      <c r="D389" s="4" t="s">
        <v>57</v>
      </c>
      <c r="E389" s="5" t="n">
        <v>104.95</v>
      </c>
      <c r="F389" s="5" t="n">
        <v>191.95</v>
      </c>
      <c r="G389" s="6" t="n">
        <v>0.453243032039594</v>
      </c>
      <c r="H389" s="5" t="n">
        <v>79.95</v>
      </c>
      <c r="I389" s="5" t="n">
        <v>146.95</v>
      </c>
      <c r="J389" s="5" t="n">
        <f aca="false">H389-E389</f>
        <v>-25</v>
      </c>
      <c r="K389" s="6" t="n">
        <f aca="false">IF(E389=0,0,J389/E389)</f>
        <v>-0.238208670795617</v>
      </c>
    </row>
    <row r="390" customFormat="false" ht="15" hidden="false" customHeight="false" outlineLevel="0" collapsed="false">
      <c r="A390" s="4" t="s">
        <v>866</v>
      </c>
      <c r="B390" s="4" t="s">
        <v>867</v>
      </c>
      <c r="C390" s="4" t="s">
        <v>81</v>
      </c>
      <c r="D390" s="4" t="s">
        <v>57</v>
      </c>
      <c r="E390" s="5" t="n">
        <v>94.95</v>
      </c>
      <c r="F390" s="5" t="n">
        <v>173.95</v>
      </c>
      <c r="G390" s="6" t="n">
        <v>0.454153492382869</v>
      </c>
      <c r="H390" s="5" t="n">
        <v>79.95</v>
      </c>
      <c r="I390" s="5" t="n">
        <v>146.95</v>
      </c>
      <c r="J390" s="5" t="n">
        <f aca="false">H390-E390</f>
        <v>-15</v>
      </c>
      <c r="K390" s="6" t="n">
        <f aca="false">IF(E390=0,0,J390/E390)</f>
        <v>-0.157977883096367</v>
      </c>
    </row>
    <row r="391" customFormat="false" ht="15" hidden="false" customHeight="false" outlineLevel="0" collapsed="false">
      <c r="A391" s="4" t="s">
        <v>868</v>
      </c>
      <c r="B391" s="4" t="s">
        <v>869</v>
      </c>
      <c r="C391" s="4" t="s">
        <v>81</v>
      </c>
      <c r="D391" s="4" t="s">
        <v>57</v>
      </c>
      <c r="E391" s="5" t="n">
        <v>104.95</v>
      </c>
      <c r="F391" s="5" t="n">
        <v>174.95</v>
      </c>
      <c r="G391" s="6" t="n">
        <v>0.400114318376679</v>
      </c>
      <c r="H391" s="5" t="n">
        <v>79.95</v>
      </c>
      <c r="I391" s="5" t="n">
        <v>133.95</v>
      </c>
      <c r="J391" s="5" t="n">
        <f aca="false">H391-E391</f>
        <v>-25</v>
      </c>
      <c r="K391" s="6" t="n">
        <f aca="false">IF(E391=0,0,J391/E391)</f>
        <v>-0.238208670795617</v>
      </c>
    </row>
    <row r="392" customFormat="false" ht="15" hidden="false" customHeight="false" outlineLevel="0" collapsed="false">
      <c r="A392" s="4" t="s">
        <v>870</v>
      </c>
      <c r="B392" s="4" t="s">
        <v>871</v>
      </c>
      <c r="C392" s="4" t="s">
        <v>81</v>
      </c>
      <c r="D392" s="4" t="s">
        <v>57</v>
      </c>
      <c r="E392" s="5" t="n">
        <v>104.95</v>
      </c>
      <c r="F392" s="5" t="n">
        <v>191.95</v>
      </c>
      <c r="G392" s="6" t="n">
        <v>0.453243032039594</v>
      </c>
      <c r="H392" s="5" t="n">
        <v>79.95</v>
      </c>
      <c r="I392" s="5" t="n">
        <v>146.95</v>
      </c>
      <c r="J392" s="5" t="n">
        <f aca="false">H392-E392</f>
        <v>-25</v>
      </c>
      <c r="K392" s="6" t="n">
        <f aca="false">IF(E392=0,0,J392/E392)</f>
        <v>-0.238208670795617</v>
      </c>
    </row>
    <row r="393" customFormat="false" ht="15" hidden="false" customHeight="false" outlineLevel="0" collapsed="false">
      <c r="A393" s="4" t="s">
        <v>872</v>
      </c>
      <c r="B393" s="4" t="s">
        <v>873</v>
      </c>
      <c r="C393" s="4" t="s">
        <v>81</v>
      </c>
      <c r="D393" s="4" t="s">
        <v>57</v>
      </c>
      <c r="E393" s="5" t="n">
        <v>89.95</v>
      </c>
      <c r="F393" s="5" t="n">
        <v>149.95</v>
      </c>
      <c r="G393" s="6" t="n">
        <v>0.400133377792597</v>
      </c>
      <c r="H393" s="5" t="n">
        <v>79.95</v>
      </c>
      <c r="I393" s="5" t="n">
        <v>133.95</v>
      </c>
      <c r="J393" s="5" t="n">
        <f aca="false">H393-E393</f>
        <v>-10</v>
      </c>
      <c r="K393" s="6" t="n">
        <f aca="false">IF(E393=0,0,J393/E393)</f>
        <v>-0.111172873818788</v>
      </c>
    </row>
    <row r="394" customFormat="false" ht="15" hidden="false" customHeight="false" outlineLevel="0" collapsed="false">
      <c r="A394" s="4" t="s">
        <v>874</v>
      </c>
      <c r="B394" s="4" t="s">
        <v>875</v>
      </c>
      <c r="C394" s="4" t="s">
        <v>82</v>
      </c>
      <c r="D394" s="4" t="s">
        <v>57</v>
      </c>
      <c r="E394" s="5" t="n">
        <v>99.95</v>
      </c>
      <c r="F394" s="5" t="n">
        <v>167.95</v>
      </c>
      <c r="G394" s="6" t="n">
        <v>0.404882405477821</v>
      </c>
      <c r="H394" s="5" t="n">
        <v>79.95</v>
      </c>
      <c r="I394" s="5" t="n">
        <v>134.95</v>
      </c>
      <c r="J394" s="5" t="n">
        <f aca="false">H394-E394</f>
        <v>-20</v>
      </c>
      <c r="K394" s="6" t="n">
        <f aca="false">IF(E394=0,0,J394/E394)</f>
        <v>-0.200100050025013</v>
      </c>
    </row>
    <row r="395" customFormat="false" ht="15" hidden="false" customHeight="false" outlineLevel="0" collapsed="false">
      <c r="A395" s="4" t="s">
        <v>876</v>
      </c>
      <c r="B395" s="4" t="s">
        <v>877</v>
      </c>
      <c r="C395" s="4" t="s">
        <v>82</v>
      </c>
      <c r="D395" s="4" t="s">
        <v>57</v>
      </c>
      <c r="E395" s="5" t="n">
        <v>104.95</v>
      </c>
      <c r="F395" s="5" t="n">
        <v>209.95</v>
      </c>
      <c r="G395" s="6" t="n">
        <v>0.500119075970469</v>
      </c>
      <c r="H395" s="5" t="n">
        <v>79.95</v>
      </c>
      <c r="I395" s="5" t="n">
        <v>159.95</v>
      </c>
      <c r="J395" s="5" t="n">
        <f aca="false">H395-E395</f>
        <v>-25</v>
      </c>
      <c r="K395" s="6" t="n">
        <f aca="false">IF(E395=0,0,J395/E395)</f>
        <v>-0.238208670795617</v>
      </c>
    </row>
    <row r="396" customFormat="false" ht="15" hidden="false" customHeight="false" outlineLevel="0" collapsed="false">
      <c r="A396" s="4" t="s">
        <v>878</v>
      </c>
      <c r="B396" s="4" t="s">
        <v>879</v>
      </c>
      <c r="C396" s="4" t="s">
        <v>83</v>
      </c>
      <c r="D396" s="4" t="s">
        <v>57</v>
      </c>
      <c r="E396" s="5" t="n">
        <v>84.95</v>
      </c>
      <c r="F396" s="5" t="n">
        <v>142.95</v>
      </c>
      <c r="G396" s="6" t="n">
        <v>0.405736271423575</v>
      </c>
      <c r="H396" s="5" t="n">
        <v>79.95</v>
      </c>
      <c r="I396" s="5" t="n">
        <v>134.95</v>
      </c>
      <c r="J396" s="5" t="n">
        <f aca="false">H396-E396</f>
        <v>-5</v>
      </c>
      <c r="K396" s="6" t="n">
        <f aca="false">IF(E396=0,0,J396/E396)</f>
        <v>-0.0588581518540318</v>
      </c>
    </row>
    <row r="397" customFormat="false" ht="15" hidden="false" customHeight="false" outlineLevel="0" collapsed="false">
      <c r="A397" s="4" t="s">
        <v>880</v>
      </c>
      <c r="B397" s="4" t="s">
        <v>881</v>
      </c>
      <c r="C397" s="4" t="s">
        <v>83</v>
      </c>
      <c r="D397" s="4" t="s">
        <v>57</v>
      </c>
      <c r="E397" s="5" t="n">
        <v>84.95</v>
      </c>
      <c r="F397" s="5" t="n">
        <v>142.95</v>
      </c>
      <c r="G397" s="6" t="n">
        <v>0.405736271423575</v>
      </c>
      <c r="H397" s="5" t="n">
        <v>79.95</v>
      </c>
      <c r="I397" s="5" t="n">
        <v>134.95</v>
      </c>
      <c r="J397" s="5" t="n">
        <f aca="false">H397-E397</f>
        <v>-5</v>
      </c>
      <c r="K397" s="6" t="n">
        <f aca="false">IF(E397=0,0,J397/E397)</f>
        <v>-0.0588581518540318</v>
      </c>
    </row>
    <row r="398" customFormat="false" ht="15" hidden="false" customHeight="false" outlineLevel="0" collapsed="false">
      <c r="A398" s="4" t="s">
        <v>882</v>
      </c>
      <c r="B398" s="4" t="s">
        <v>883</v>
      </c>
      <c r="C398" s="4" t="s">
        <v>83</v>
      </c>
      <c r="D398" s="4" t="s">
        <v>57</v>
      </c>
      <c r="E398" s="5" t="n">
        <v>89.95</v>
      </c>
      <c r="F398" s="5" t="n">
        <v>179.95</v>
      </c>
      <c r="G398" s="6" t="n">
        <v>0.500138927479855</v>
      </c>
      <c r="H398" s="5" t="n">
        <v>79.95</v>
      </c>
      <c r="I398" s="5" t="n">
        <v>159.95</v>
      </c>
      <c r="J398" s="5" t="n">
        <f aca="false">H398-E398</f>
        <v>-10</v>
      </c>
      <c r="K398" s="6" t="n">
        <f aca="false">IF(E398=0,0,J398/E398)</f>
        <v>-0.111172873818788</v>
      </c>
    </row>
    <row r="399" customFormat="false" ht="15" hidden="false" customHeight="false" outlineLevel="0" collapsed="false">
      <c r="A399" s="4" t="s">
        <v>884</v>
      </c>
      <c r="B399" s="4" t="s">
        <v>885</v>
      </c>
      <c r="C399" s="4" t="s">
        <v>83</v>
      </c>
      <c r="D399" s="4" t="s">
        <v>57</v>
      </c>
      <c r="E399" s="5" t="n">
        <v>89.95</v>
      </c>
      <c r="F399" s="5" t="n">
        <v>149.95</v>
      </c>
      <c r="G399" s="6" t="n">
        <v>0.400133377792597</v>
      </c>
      <c r="H399" s="5" t="n">
        <v>79.95</v>
      </c>
      <c r="I399" s="5" t="n">
        <v>133.95</v>
      </c>
      <c r="J399" s="5" t="n">
        <f aca="false">H399-E399</f>
        <v>-10</v>
      </c>
      <c r="K399" s="6" t="n">
        <f aca="false">IF(E399=0,0,J399/E399)</f>
        <v>-0.111172873818788</v>
      </c>
    </row>
    <row r="400" customFormat="false" ht="15" hidden="false" customHeight="false" outlineLevel="0" collapsed="false">
      <c r="A400" s="4" t="s">
        <v>886</v>
      </c>
      <c r="B400" s="4" t="s">
        <v>887</v>
      </c>
      <c r="C400" s="4" t="s">
        <v>83</v>
      </c>
      <c r="D400" s="4" t="s">
        <v>57</v>
      </c>
      <c r="E400" s="5" t="n">
        <v>94.95</v>
      </c>
      <c r="F400" s="5" t="n">
        <v>159.95</v>
      </c>
      <c r="G400" s="6" t="n">
        <v>0.406376992810253</v>
      </c>
      <c r="H400" s="5" t="n">
        <v>84.95</v>
      </c>
      <c r="I400" s="5" t="n">
        <v>143.95</v>
      </c>
      <c r="J400" s="5" t="n">
        <f aca="false">H400-E400</f>
        <v>-10</v>
      </c>
      <c r="K400" s="6" t="n">
        <f aca="false">IF(E400=0,0,J400/E400)</f>
        <v>-0.105318588730911</v>
      </c>
    </row>
  </sheetData>
  <autoFilter ref="A1:K4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2026-10-23T07:50:26Z</dcterms:created>
  <dc:creator>openpyxl</dc:creator>
  <dc:description/>
  <dc:language>en-US</dc:language>
  <cp:lastModifiedBy/>
  <dcterms:modified xsi:type="dcterms:W3CDTF">2026-10-23T07:50:26Z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