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 koop vandaag" sheetId="1" state="visible" r:id="rId3"/>
  </sheets>
  <definedNames>
    <definedName function="false" hidden="true" localSheetId="0" name="_xlnm._FilterDatabase" vbProcedure="false">'Te koop vandaag'!$A$4:$N$56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<sst xmlns="http://schemas.openxmlformats.org/spreadsheetml/2006/main" count="282" uniqueCount="156">
  <si>
    <t xml:space="preserve">Kleding-domeinen – GoDaddy Buy Now – vr 30-10-2026</t>
  </si>
  <si>
    <t xml:space="preserve">Prijs en beschikbaarheid uit de GoDaddy-zoekscan van vr 30-10-2026 ca. 08:55 (NL-tijd). Alle aanbiedingen verlopen vandaag – vandaag afrekenen. Eindtijden in NL-tijd.</t>
  </si>
  <si>
    <t xml:space="preserve">#</t>
  </si>
  <si>
    <t xml:space="preserve">Domein</t>
  </si>
  <si>
    <t xml:space="preserve">Merknaam</t>
  </si>
  <si>
    <t xml:space="preserve">Categorie</t>
  </si>
  <si>
    <t xml:space="preserve">Nieuw?</t>
  </si>
  <si>
    <t xml:space="preserve">Prijs ($)</t>
  </si>
  <si>
    <t xml:space="preserve">Prijs gisteren ($)</t>
  </si>
  <si>
    <t xml:space="preserve">Te koop tot (NL)</t>
  </si>
  <si>
    <t xml:space="preserve">Aangemaakt</t>
  </si>
  <si>
    <t xml:space="preserve">Leeftijd (jaar)</t>
  </si>
  <si>
    <t xml:space="preserve">GoDaddy-waarde ($)</t>
  </si>
  <si>
    <t xml:space="preserve">Ref. domains</t>
  </si>
  <si>
    <t xml:space="preserve">Andere ext. met site</t>
  </si>
  <si>
    <t xml:space="preserve">Merkcheck</t>
  </si>
  <si>
    <t xml:space="preserve">styleofmodern.com</t>
  </si>
  <si>
    <t xml:space="preserve">Style of Modern</t>
  </si>
  <si>
    <t xml:space="preserve">Style / Dressed by</t>
  </si>
  <si>
    <t xml:space="preserve">Ook gisteren</t>
  </si>
  <si>
    <t xml:space="preserve">Vrij – geen kledingmerk met deze naam gevonden</t>
  </si>
  <si>
    <t xml:space="preserve">theoremstyle.com</t>
  </si>
  <si>
    <t xml:space="preserve">Theorem Style</t>
  </si>
  <si>
    <t xml:space="preserve">Nieuw</t>
  </si>
  <si>
    <t xml:space="preserve">Voorzichtig – lijkt op kledingmerk 'Theory'</t>
  </si>
  <si>
    <t xml:space="preserve">northernlightwear.com</t>
  </si>
  <si>
    <t xml:space="preserve">Northern Light Wear</t>
  </si>
  <si>
    <t xml:space="preserve">Apparel / Clothing / Fashion</t>
  </si>
  <si>
    <t xml:space="preserve">Voorzichtig – productlijn 'Northern Light' van MEC</t>
  </si>
  <si>
    <t xml:space="preserve">laurelandstitch.com</t>
  </si>
  <si>
    <t xml:space="preserve">Laurel &amp; Stitch</t>
  </si>
  <si>
    <t xml:space="preserve">X &amp; Y</t>
  </si>
  <si>
    <t xml:space="preserve">eucalyptusboutique.com</t>
  </si>
  <si>
    <t xml:space="preserve">Eucalyptus Boutique</t>
  </si>
  <si>
    <t xml:space="preserve">Boutique</t>
  </si>
  <si>
    <t xml:space="preserve">Voorzichtig – 'Eucalyptus' is een Brits kledingmerk</t>
  </si>
  <si>
    <t xml:space="preserve">tidefashions.com</t>
  </si>
  <si>
    <t xml:space="preserve">Tide Fashions</t>
  </si>
  <si>
    <t xml:space="preserve">Voorzichtig – 'Tide Apparel' / 'Southern Tide'</t>
  </si>
  <si>
    <t xml:space="preserve">opushandknits.com</t>
  </si>
  <si>
    <t xml:space="preserve">Opus Hand Knits</t>
  </si>
  <si>
    <t xml:space="preserve">Threads / Goods / Closet / Atelier</t>
  </si>
  <si>
    <t xml:space="preserve">Vrij – let op: breipatronen 'Opus' (Ravelry)</t>
  </si>
  <si>
    <t xml:space="preserve">lecharmantclothing.com</t>
  </si>
  <si>
    <t xml:space="preserve">Le Charmant Clothing</t>
  </si>
  <si>
    <t xml:space="preserve">Vrij – let op: merk 'Loup Charmant'</t>
  </si>
  <si>
    <t xml:space="preserve">thebeckboutique.com</t>
  </si>
  <si>
    <t xml:space="preserve">The Beck Boutique</t>
  </si>
  <si>
    <t xml:space="preserve">Vrij – let op: boutique 'Beckley' (LA)</t>
  </si>
  <si>
    <t xml:space="preserve">stylesmithstudio.com</t>
  </si>
  <si>
    <t xml:space="preserve">Stylesmith Studio</t>
  </si>
  <si>
    <t xml:space="preserve">lebelleluxe.com</t>
  </si>
  <si>
    <t xml:space="preserve">Le Belle Luxe</t>
  </si>
  <si>
    <t xml:space="preserve">trianglegoods.com</t>
  </si>
  <si>
    <t xml:space="preserve">Triangle Goods</t>
  </si>
  <si>
    <t xml:space="preserve">sonomaluxe.com</t>
  </si>
  <si>
    <t xml:space="preserve">Sonoma Luxe</t>
  </si>
  <si>
    <t xml:space="preserve">Voorzichtig – 'Sonoma' is huismerk van Kohl's</t>
  </si>
  <si>
    <t xml:space="preserve">almathreads.com</t>
  </si>
  <si>
    <t xml:space="preserve">Alma Threads</t>
  </si>
  <si>
    <t xml:space="preserve">Vrij – let op: merk 'Alma &amp; Lovis'</t>
  </si>
  <si>
    <t xml:space="preserve">lakecountrythreads.com</t>
  </si>
  <si>
    <t xml:space="preserve">Lake Country Threads</t>
  </si>
  <si>
    <t xml:space="preserve">paperandhand.com</t>
  </si>
  <si>
    <t xml:space="preserve">Paper &amp; Hand</t>
  </si>
  <si>
    <t xml:space="preserve">charterdrygoods.com</t>
  </si>
  <si>
    <t xml:space="preserve">Charter Dry Goods</t>
  </si>
  <si>
    <t xml:space="preserve">swiftlace.com</t>
  </si>
  <si>
    <t xml:space="preserve">Swift Lace</t>
  </si>
  <si>
    <t xml:space="preserve">Voorzichtig – associatie Taylor Swift / lululemon 'Swift'</t>
  </si>
  <si>
    <t xml:space="preserve">soleilfashionloft.com</t>
  </si>
  <si>
    <t xml:space="preserve">Soleil Fashion Loft</t>
  </si>
  <si>
    <t xml:space="preserve">Voorzichtig – meerdere 'Soleil' boutiques</t>
  </si>
  <si>
    <t xml:space="preserve">unpolishedthreads.com</t>
  </si>
  <si>
    <t xml:space="preserve">Unpolished Threads</t>
  </si>
  <si>
    <t xml:space="preserve">thevividthread.com</t>
  </si>
  <si>
    <t xml:space="preserve">The Vivid Thread</t>
  </si>
  <si>
    <t xml:space="preserve">thestylebridge.com</t>
  </si>
  <si>
    <t xml:space="preserve">The Style Bridge</t>
  </si>
  <si>
    <t xml:space="preserve">interurbangoods.com</t>
  </si>
  <si>
    <t xml:space="preserve">Interurban Goods</t>
  </si>
  <si>
    <t xml:space="preserve">mintflannelco.com</t>
  </si>
  <si>
    <t xml:space="preserve">Mint Flannel Co</t>
  </si>
  <si>
    <t xml:space="preserve">Voorzichtig – 'Mint Velvet' / 'Mint Clothing Co'</t>
  </si>
  <si>
    <t xml:space="preserve">junglestarclothing.com</t>
  </si>
  <si>
    <t xml:space="preserve">Jungle Star Clothing</t>
  </si>
  <si>
    <t xml:space="preserve">myenchantedcloset.com</t>
  </si>
  <si>
    <t xml:space="preserve">My Enchanted Closet</t>
  </si>
  <si>
    <t xml:space="preserve">newtonmercantileco.com</t>
  </si>
  <si>
    <t xml:space="preserve">Newton Mercantile Co</t>
  </si>
  <si>
    <t xml:space="preserve">tuesdaythreads.com</t>
  </si>
  <si>
    <t xml:space="preserve">Tuesday Threads</t>
  </si>
  <si>
    <t xml:space="preserve">bayharborluxe.com</t>
  </si>
  <si>
    <t xml:space="preserve">Bay Harbor Luxe</t>
  </si>
  <si>
    <t xml:space="preserve">Voorzichtig – lijkt op 'Bal Harbour Shops'</t>
  </si>
  <si>
    <t xml:space="preserve">superfreshstyle.com</t>
  </si>
  <si>
    <t xml:space="preserve">Super Fresh Style</t>
  </si>
  <si>
    <t xml:space="preserve">thevineshoppe.com</t>
  </si>
  <si>
    <t xml:space="preserve">The Vine Shoppe</t>
  </si>
  <si>
    <t xml:space="preserve">Voorzichtig – 'The Vinew Shoppe' (Liberty Hill, TX)</t>
  </si>
  <si>
    <t xml:space="preserve">lemonroselabel.com</t>
  </si>
  <si>
    <t xml:space="preserve">Lemon Rose Label</t>
  </si>
  <si>
    <t xml:space="preserve">Voorzichtig – lijkt op 'For Love &amp; Lemons'</t>
  </si>
  <si>
    <t xml:space="preserve">richstaples.com</t>
  </si>
  <si>
    <t xml:space="preserve">Rich Staples</t>
  </si>
  <si>
    <t xml:space="preserve">journeyweststyle.com</t>
  </si>
  <si>
    <t xml:space="preserve">Journey West Style</t>
  </si>
  <si>
    <t xml:space="preserve">Vrij – let op: Levi's shirt 'Journey Western'</t>
  </si>
  <si>
    <t xml:space="preserve">thelemonlabel.com</t>
  </si>
  <si>
    <t xml:space="preserve">The Lemon Label</t>
  </si>
  <si>
    <t xml:space="preserve">kindclubclothing.com</t>
  </si>
  <si>
    <t xml:space="preserve">Kind Club Clothing</t>
  </si>
  <si>
    <t xml:space="preserve">anticoatelier.com</t>
  </si>
  <si>
    <t xml:space="preserve">Antico Atelier</t>
  </si>
  <si>
    <t xml:space="preserve">thewittytailor.com</t>
  </si>
  <si>
    <t xml:space="preserve">The Witty Tailor</t>
  </si>
  <si>
    <t xml:space="preserve">embellieboutique.com</t>
  </si>
  <si>
    <t xml:space="preserve">Embellie Boutique</t>
  </si>
  <si>
    <t xml:space="preserve">Vrij – let op: Franse winkel 'L'Embellie'</t>
  </si>
  <si>
    <t xml:space="preserve">noirandpearl.com</t>
  </si>
  <si>
    <t xml:space="preserve">Noir &amp; Pearl</t>
  </si>
  <si>
    <t xml:space="preserve">classicalcotton.com</t>
  </si>
  <si>
    <t xml:space="preserve">Classical Cotton</t>
  </si>
  <si>
    <t xml:space="preserve">Voorzichtig – trademark 'CLASSIC COTTON'</t>
  </si>
  <si>
    <t xml:space="preserve">marksandmakers.com</t>
  </si>
  <si>
    <t xml:space="preserve">Marks &amp; Makers</t>
  </si>
  <si>
    <t xml:space="preserve">Voorzichtig – 'Marks' doet denken aan Marks &amp; Spencer</t>
  </si>
  <si>
    <t xml:space="preserve">nestandcraft.com</t>
  </si>
  <si>
    <t xml:space="preserve">Nest &amp; Craft</t>
  </si>
  <si>
    <t xml:space="preserve">rusticgemboutique.com</t>
  </si>
  <si>
    <t xml:space="preserve">Rustic Gem Boutique</t>
  </si>
  <si>
    <t xml:space="preserve">Voorzichtig – sieradenmerk 'Rustic Gem'</t>
  </si>
  <si>
    <t xml:space="preserve">dressedbylydia.com</t>
  </si>
  <si>
    <t xml:space="preserve">Dressed by Lydia</t>
  </si>
  <si>
    <t xml:space="preserve">letshangboutique.com</t>
  </si>
  <si>
    <t xml:space="preserve">Let's Hang Boutique</t>
  </si>
  <si>
    <t xml:space="preserve">enduringfashion.com</t>
  </si>
  <si>
    <t xml:space="preserve">Enduring Fashion</t>
  </si>
  <si>
    <t xml:space="preserve">lapearlcollective.com</t>
  </si>
  <si>
    <t xml:space="preserve">La Pearl Collective</t>
  </si>
  <si>
    <t xml:space="preserve">thestyleluxe.com</t>
  </si>
  <si>
    <t xml:space="preserve">The Style Luxe</t>
  </si>
  <si>
    <t xml:space="preserve">objectandform.com</t>
  </si>
  <si>
    <t xml:space="preserve">Object &amp; Form</t>
  </si>
  <si>
    <t xml:space="preserve">Voorzichtig – lijkt op kledingmerk 'OBJECT'</t>
  </si>
  <si>
    <t xml:space="preserve">shesellsstyle.com</t>
  </si>
  <si>
    <t xml:space="preserve">She Sells Style</t>
  </si>
  <si>
    <t xml:space="preserve">cozycottonstudio.com</t>
  </si>
  <si>
    <t xml:space="preserve">Cozy Cotton Studio</t>
  </si>
  <si>
    <t xml:space="preserve">Voorzichtig – trademark 'COTTON COZY'</t>
  </si>
  <si>
    <t xml:space="preserve">Totaal</t>
  </si>
  <si>
    <t xml:space="preserve">Peildatum</t>
  </si>
  <si>
    <t xml:space="preserve">Bron: GoDaddy Auctions zoek-API (alleen Buy Now), 227 zoekwoorden; filter: .com, 2+ jaar oud, max $500, 0–1 andere extensies met site.</t>
  </si>
  <si>
    <t xml:space="preserve">Merkcheck via Google. Geel = voorzichtig. Vandaag afgevallen: stellalunastyle (Stella Luna schoenen), elitafashionhouse (Elita), charliestees (Charlie's Tees), habitatsupplyco (Habitat Clothes), kanecollection (Christopher Kane), oldbluesupply (Oldblue Co.), ateliersolace (Solace London), therunawayco (Runaway Clothing), selectedcotton (SELECTED).</t>
  </si>
  <si>
    <t xml:space="preserve">Niet meer teruggevonden vandaag (verkocht of niet in de scan): o.a. roseandgreg, summitandfields, landandmoore, graceandclarity, bellaandcove, autumnandhazel, jolieroseboutique, peardropsclothing, consistentcouture, goldenwoven, heritagevelvet.</t>
  </si>
  <si>
    <t xml:space="preserve">Geen enkel domein gekocht of in winkelmandje gezet.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</si>
</sst>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dd\-mm\ hh:mm"/>
    <numFmt numFmtId="167" formatCode="dd\-mm\-yyyy"/>
    <numFmt numFmtId="168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5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2.2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1</v>
      </c>
      <c r="B5" s="4" t="s">
        <v>16</v>
      </c>
      <c r="C5" s="4" t="s">
        <v>17</v>
      </c>
      <c r="D5" s="4" t="s">
        <v>18</v>
      </c>
      <c r="E5" s="4" t="s">
        <v>19</v>
      </c>
      <c r="F5" s="5" t="n">
        <v>11</v>
      </c>
      <c r="G5" s="5" t="n">
        <v>30</v>
      </c>
      <c r="H5" s="6" t="n">
        <v>46325.7222222222</v>
      </c>
      <c r="I5" s="7" t="n">
        <v>44460</v>
      </c>
      <c r="J5" s="8" t="n">
        <f aca="false">ROUND(($B$59-I5)/365.25,1)</f>
        <v>5.1</v>
      </c>
      <c r="K5" s="5" t="n">
        <v>1338</v>
      </c>
      <c r="L5" s="4" t="n">
        <v>4</v>
      </c>
      <c r="M5" s="4" t="n">
        <v>0</v>
      </c>
      <c r="N5" s="4" t="s">
        <v>20</v>
      </c>
    </row>
    <row r="6" customFormat="false" ht="15" hidden="false" customHeight="false" outlineLevel="0" collapsed="false">
      <c r="A6" s="9" t="n">
        <v>2</v>
      </c>
      <c r="B6" s="9" t="s">
        <v>21</v>
      </c>
      <c r="C6" s="9" t="s">
        <v>22</v>
      </c>
      <c r="D6" s="9" t="s">
        <v>18</v>
      </c>
      <c r="E6" s="9" t="s">
        <v>23</v>
      </c>
      <c r="F6" s="10" t="n">
        <v>50</v>
      </c>
      <c r="G6" s="10"/>
      <c r="H6" s="11" t="n">
        <v>46325.7256944445</v>
      </c>
      <c r="I6" s="12" t="n">
        <v>44098</v>
      </c>
      <c r="J6" s="13" t="n">
        <f aca="false">ROUND(($B$59-I6)/365.25,1)</f>
        <v>6.1</v>
      </c>
      <c r="K6" s="10" t="n">
        <v>1250</v>
      </c>
      <c r="L6" s="9" t="n">
        <v>14</v>
      </c>
      <c r="M6" s="9" t="n">
        <v>0</v>
      </c>
      <c r="N6" s="9" t="s">
        <v>24</v>
      </c>
    </row>
    <row r="7" customFormat="false" ht="15" hidden="false" customHeight="false" outlineLevel="0" collapsed="false">
      <c r="A7" s="9" t="n">
        <v>3</v>
      </c>
      <c r="B7" s="9" t="s">
        <v>25</v>
      </c>
      <c r="C7" s="9" t="s">
        <v>26</v>
      </c>
      <c r="D7" s="9" t="s">
        <v>27</v>
      </c>
      <c r="E7" s="9" t="s">
        <v>19</v>
      </c>
      <c r="F7" s="10" t="n">
        <v>11</v>
      </c>
      <c r="G7" s="10" t="n">
        <v>30</v>
      </c>
      <c r="H7" s="11" t="n">
        <v>46325.73125</v>
      </c>
      <c r="I7" s="12" t="n">
        <v>44095</v>
      </c>
      <c r="J7" s="13" t="n">
        <f aca="false">ROUND(($B$59-I7)/365.25,1)</f>
        <v>6.1</v>
      </c>
      <c r="K7" s="10" t="n">
        <v>1701</v>
      </c>
      <c r="L7" s="9" t="n">
        <v>0</v>
      </c>
      <c r="M7" s="9" t="n">
        <v>0</v>
      </c>
      <c r="N7" s="9" t="s">
        <v>28</v>
      </c>
    </row>
    <row r="8" customFormat="false" ht="15" hidden="false" customHeight="false" outlineLevel="0" collapsed="false">
      <c r="A8" s="4" t="n">
        <v>4</v>
      </c>
      <c r="B8" s="4" t="s">
        <v>29</v>
      </c>
      <c r="C8" s="4" t="s">
        <v>30</v>
      </c>
      <c r="D8" s="4" t="s">
        <v>31</v>
      </c>
      <c r="E8" s="4" t="s">
        <v>19</v>
      </c>
      <c r="F8" s="5" t="n">
        <v>11</v>
      </c>
      <c r="G8" s="5" t="n">
        <v>30</v>
      </c>
      <c r="H8" s="6" t="n">
        <v>46325.7340277778</v>
      </c>
      <c r="I8" s="7" t="n">
        <v>44825</v>
      </c>
      <c r="J8" s="8" t="n">
        <f aca="false">ROUND(($B$59-I8)/365.25,1)</f>
        <v>4.1</v>
      </c>
      <c r="K8" s="5" t="n">
        <v>23</v>
      </c>
      <c r="L8" s="4" t="n">
        <v>0</v>
      </c>
      <c r="M8" s="4" t="n">
        <v>0</v>
      </c>
      <c r="N8" s="4" t="s">
        <v>20</v>
      </c>
    </row>
    <row r="9" customFormat="false" ht="15" hidden="false" customHeight="false" outlineLevel="0" collapsed="false">
      <c r="A9" s="9" t="n">
        <v>5</v>
      </c>
      <c r="B9" s="9" t="s">
        <v>32</v>
      </c>
      <c r="C9" s="9" t="s">
        <v>33</v>
      </c>
      <c r="D9" s="9" t="s">
        <v>34</v>
      </c>
      <c r="E9" s="9" t="s">
        <v>19</v>
      </c>
      <c r="F9" s="10" t="n">
        <v>40</v>
      </c>
      <c r="G9" s="10" t="n">
        <v>50</v>
      </c>
      <c r="H9" s="11" t="n">
        <v>46325.7388888889</v>
      </c>
      <c r="I9" s="12" t="n">
        <v>44464</v>
      </c>
      <c r="J9" s="13" t="n">
        <f aca="false">ROUND(($B$59-I9)/365.25,1)</f>
        <v>5.1</v>
      </c>
      <c r="K9" s="10" t="n">
        <v>1142</v>
      </c>
      <c r="L9" s="9" t="n">
        <v>0</v>
      </c>
      <c r="M9" s="9" t="n">
        <v>0</v>
      </c>
      <c r="N9" s="9" t="s">
        <v>35</v>
      </c>
    </row>
    <row r="10" customFormat="false" ht="15" hidden="false" customHeight="false" outlineLevel="0" collapsed="false">
      <c r="A10" s="9" t="n">
        <v>6</v>
      </c>
      <c r="B10" s="9" t="s">
        <v>36</v>
      </c>
      <c r="C10" s="9" t="s">
        <v>37</v>
      </c>
      <c r="D10" s="9" t="s">
        <v>27</v>
      </c>
      <c r="E10" s="9" t="s">
        <v>19</v>
      </c>
      <c r="F10" s="10" t="n">
        <v>30</v>
      </c>
      <c r="G10" s="10" t="n">
        <v>40</v>
      </c>
      <c r="H10" s="11" t="n">
        <v>46325.7388888889</v>
      </c>
      <c r="I10" s="12" t="n">
        <v>44096</v>
      </c>
      <c r="J10" s="13" t="n">
        <f aca="false">ROUND(($B$59-I10)/365.25,1)</f>
        <v>6.1</v>
      </c>
      <c r="K10" s="10" t="n">
        <v>1210</v>
      </c>
      <c r="L10" s="9" t="n">
        <v>0</v>
      </c>
      <c r="M10" s="9" t="n">
        <v>0</v>
      </c>
      <c r="N10" s="9" t="s">
        <v>38</v>
      </c>
    </row>
    <row r="11" customFormat="false" ht="15" hidden="false" customHeight="false" outlineLevel="0" collapsed="false">
      <c r="A11" s="4" t="n">
        <v>7</v>
      </c>
      <c r="B11" s="4" t="s">
        <v>39</v>
      </c>
      <c r="C11" s="4" t="s">
        <v>40</v>
      </c>
      <c r="D11" s="4" t="s">
        <v>41</v>
      </c>
      <c r="E11" s="4" t="s">
        <v>19</v>
      </c>
      <c r="F11" s="5" t="n">
        <v>40</v>
      </c>
      <c r="G11" s="5" t="n">
        <v>50</v>
      </c>
      <c r="H11" s="6" t="n">
        <v>46325.7444444444</v>
      </c>
      <c r="I11" s="7" t="n">
        <v>45192</v>
      </c>
      <c r="J11" s="8" t="n">
        <f aca="false">ROUND(($B$59-I11)/365.25,1)</f>
        <v>3.1</v>
      </c>
      <c r="K11" s="5" t="n">
        <v>13</v>
      </c>
      <c r="L11" s="4" t="n">
        <v>0</v>
      </c>
      <c r="M11" s="4" t="n">
        <v>0</v>
      </c>
      <c r="N11" s="4" t="s">
        <v>42</v>
      </c>
    </row>
    <row r="12" customFormat="false" ht="15" hidden="false" customHeight="false" outlineLevel="0" collapsed="false">
      <c r="A12" s="4" t="n">
        <v>8</v>
      </c>
      <c r="B12" s="4" t="s">
        <v>43</v>
      </c>
      <c r="C12" s="4" t="s">
        <v>44</v>
      </c>
      <c r="D12" s="4" t="s">
        <v>27</v>
      </c>
      <c r="E12" s="4" t="s">
        <v>19</v>
      </c>
      <c r="F12" s="5" t="n">
        <v>40</v>
      </c>
      <c r="G12" s="5" t="n">
        <v>50</v>
      </c>
      <c r="H12" s="6" t="n">
        <v>46325.7486111111</v>
      </c>
      <c r="I12" s="7" t="n">
        <v>44097</v>
      </c>
      <c r="J12" s="8" t="n">
        <f aca="false">ROUND(($B$59-I12)/365.25,1)</f>
        <v>6.1</v>
      </c>
      <c r="K12" s="5" t="n">
        <v>930</v>
      </c>
      <c r="L12" s="4" t="n">
        <v>11</v>
      </c>
      <c r="M12" s="4" t="n">
        <v>0</v>
      </c>
      <c r="N12" s="4" t="s">
        <v>45</v>
      </c>
    </row>
    <row r="13" customFormat="false" ht="15" hidden="false" customHeight="false" outlineLevel="0" collapsed="false">
      <c r="A13" s="4" t="n">
        <v>9</v>
      </c>
      <c r="B13" s="4" t="s">
        <v>46</v>
      </c>
      <c r="C13" s="4" t="s">
        <v>47</v>
      </c>
      <c r="D13" s="4" t="s">
        <v>34</v>
      </c>
      <c r="E13" s="4" t="s">
        <v>19</v>
      </c>
      <c r="F13" s="5" t="n">
        <v>30</v>
      </c>
      <c r="G13" s="5" t="n">
        <v>40</v>
      </c>
      <c r="H13" s="6" t="n">
        <v>46325.7534722222</v>
      </c>
      <c r="I13" s="7" t="n">
        <v>44461</v>
      </c>
      <c r="J13" s="8" t="n">
        <f aca="false">ROUND(($B$59-I13)/365.25,1)</f>
        <v>5.1</v>
      </c>
      <c r="K13" s="5" t="n">
        <v>1159</v>
      </c>
      <c r="L13" s="4" t="n">
        <v>1</v>
      </c>
      <c r="M13" s="4" t="n">
        <v>0</v>
      </c>
      <c r="N13" s="4" t="s">
        <v>48</v>
      </c>
    </row>
    <row r="14" customFormat="false" ht="15" hidden="false" customHeight="false" outlineLevel="0" collapsed="false">
      <c r="A14" s="4" t="n">
        <v>10</v>
      </c>
      <c r="B14" s="4" t="s">
        <v>49</v>
      </c>
      <c r="C14" s="4" t="s">
        <v>50</v>
      </c>
      <c r="D14" s="4" t="s">
        <v>18</v>
      </c>
      <c r="E14" s="4" t="s">
        <v>23</v>
      </c>
      <c r="F14" s="5" t="n">
        <v>50</v>
      </c>
      <c r="G14" s="5"/>
      <c r="H14" s="6" t="n">
        <v>46325.7534722222</v>
      </c>
      <c r="I14" s="7" t="n">
        <v>41541</v>
      </c>
      <c r="J14" s="8" t="n">
        <f aca="false">ROUND(($B$59-I14)/365.25,1)</f>
        <v>13.1</v>
      </c>
      <c r="K14" s="5" t="n">
        <v>841</v>
      </c>
      <c r="L14" s="4" t="n">
        <v>0</v>
      </c>
      <c r="M14" s="4" t="n">
        <v>1</v>
      </c>
      <c r="N14" s="4" t="s">
        <v>20</v>
      </c>
    </row>
    <row r="15" customFormat="false" ht="15" hidden="false" customHeight="false" outlineLevel="0" collapsed="false">
      <c r="A15" s="4" t="n">
        <v>11</v>
      </c>
      <c r="B15" s="4" t="s">
        <v>51</v>
      </c>
      <c r="C15" s="4" t="s">
        <v>52</v>
      </c>
      <c r="D15" s="4" t="s">
        <v>41</v>
      </c>
      <c r="E15" s="4" t="s">
        <v>19</v>
      </c>
      <c r="F15" s="5" t="n">
        <v>40</v>
      </c>
      <c r="G15" s="5" t="n">
        <v>50</v>
      </c>
      <c r="H15" s="6" t="n">
        <v>46325.7534722222</v>
      </c>
      <c r="I15" s="7" t="n">
        <v>45192</v>
      </c>
      <c r="J15" s="8" t="n">
        <f aca="false">ROUND(($B$59-I15)/365.25,1)</f>
        <v>3.1</v>
      </c>
      <c r="K15" s="5" t="n">
        <v>1002</v>
      </c>
      <c r="L15" s="4" t="n">
        <v>0</v>
      </c>
      <c r="M15" s="4" t="n">
        <v>0</v>
      </c>
      <c r="N15" s="4" t="s">
        <v>20</v>
      </c>
    </row>
    <row r="16" customFormat="false" ht="15" hidden="false" customHeight="false" outlineLevel="0" collapsed="false">
      <c r="A16" s="4" t="n">
        <v>12</v>
      </c>
      <c r="B16" s="4" t="s">
        <v>53</v>
      </c>
      <c r="C16" s="4" t="s">
        <v>54</v>
      </c>
      <c r="D16" s="4" t="s">
        <v>41</v>
      </c>
      <c r="E16" s="4" t="s">
        <v>19</v>
      </c>
      <c r="F16" s="5" t="n">
        <v>11</v>
      </c>
      <c r="G16" s="5" t="n">
        <v>30</v>
      </c>
      <c r="H16" s="6" t="n">
        <v>46325.7576388889</v>
      </c>
      <c r="I16" s="7" t="n">
        <v>42268</v>
      </c>
      <c r="J16" s="8" t="n">
        <f aca="false">ROUND(($B$59-I16)/365.25,1)</f>
        <v>11.1</v>
      </c>
      <c r="K16" s="5" t="n">
        <v>1583</v>
      </c>
      <c r="L16" s="4" t="n">
        <v>0</v>
      </c>
      <c r="M16" s="4" t="n">
        <v>0</v>
      </c>
      <c r="N16" s="4" t="s">
        <v>20</v>
      </c>
    </row>
    <row r="17" customFormat="false" ht="15" hidden="false" customHeight="false" outlineLevel="0" collapsed="false">
      <c r="A17" s="9" t="n">
        <v>13</v>
      </c>
      <c r="B17" s="9" t="s">
        <v>55</v>
      </c>
      <c r="C17" s="9" t="s">
        <v>56</v>
      </c>
      <c r="D17" s="9" t="s">
        <v>41</v>
      </c>
      <c r="E17" s="9" t="s">
        <v>19</v>
      </c>
      <c r="F17" s="10" t="n">
        <v>30</v>
      </c>
      <c r="G17" s="10" t="n">
        <v>40</v>
      </c>
      <c r="H17" s="11" t="n">
        <v>46325.7590277778</v>
      </c>
      <c r="I17" s="12" t="n">
        <v>39713</v>
      </c>
      <c r="J17" s="13" t="n">
        <f aca="false">ROUND(($B$59-I17)/365.25,1)</f>
        <v>18.1</v>
      </c>
      <c r="K17" s="10" t="n">
        <v>1401</v>
      </c>
      <c r="L17" s="9" t="n">
        <v>0</v>
      </c>
      <c r="M17" s="9" t="n">
        <v>0</v>
      </c>
      <c r="N17" s="9" t="s">
        <v>57</v>
      </c>
    </row>
    <row r="18" customFormat="false" ht="15" hidden="false" customHeight="false" outlineLevel="0" collapsed="false">
      <c r="A18" s="4" t="n">
        <v>14</v>
      </c>
      <c r="B18" s="4" t="s">
        <v>58</v>
      </c>
      <c r="C18" s="4" t="s">
        <v>59</v>
      </c>
      <c r="D18" s="4" t="s">
        <v>41</v>
      </c>
      <c r="E18" s="4" t="s">
        <v>19</v>
      </c>
      <c r="F18" s="5" t="n">
        <v>40</v>
      </c>
      <c r="G18" s="5" t="n">
        <v>50</v>
      </c>
      <c r="H18" s="6" t="n">
        <v>46325.7618055556</v>
      </c>
      <c r="I18" s="7" t="n">
        <v>45192</v>
      </c>
      <c r="J18" s="8" t="n">
        <f aca="false">ROUND(($B$59-I18)/365.25,1)</f>
        <v>3.1</v>
      </c>
      <c r="K18" s="5" t="n">
        <v>1149</v>
      </c>
      <c r="L18" s="4" t="n">
        <v>0</v>
      </c>
      <c r="M18" s="4" t="n">
        <v>1</v>
      </c>
      <c r="N18" s="4" t="s">
        <v>60</v>
      </c>
    </row>
    <row r="19" customFormat="false" ht="15" hidden="false" customHeight="false" outlineLevel="0" collapsed="false">
      <c r="A19" s="4" t="n">
        <v>15</v>
      </c>
      <c r="B19" s="4" t="s">
        <v>61</v>
      </c>
      <c r="C19" s="4" t="s">
        <v>62</v>
      </c>
      <c r="D19" s="4" t="s">
        <v>41</v>
      </c>
      <c r="E19" s="4" t="s">
        <v>19</v>
      </c>
      <c r="F19" s="5" t="n">
        <v>5</v>
      </c>
      <c r="G19" s="5" t="n">
        <v>11</v>
      </c>
      <c r="H19" s="6" t="n">
        <v>46325.7618055556</v>
      </c>
      <c r="I19" s="7" t="n">
        <v>45189</v>
      </c>
      <c r="J19" s="8" t="n">
        <f aca="false">ROUND(($B$59-I19)/365.25,1)</f>
        <v>3.1</v>
      </c>
      <c r="K19" s="5" t="n">
        <v>20</v>
      </c>
      <c r="L19" s="4" t="n">
        <v>0</v>
      </c>
      <c r="M19" s="4" t="n">
        <v>0</v>
      </c>
      <c r="N19" s="4" t="s">
        <v>20</v>
      </c>
    </row>
    <row r="20" customFormat="false" ht="15" hidden="false" customHeight="false" outlineLevel="0" collapsed="false">
      <c r="A20" s="4" t="n">
        <v>16</v>
      </c>
      <c r="B20" s="4" t="s">
        <v>63</v>
      </c>
      <c r="C20" s="4" t="s">
        <v>64</v>
      </c>
      <c r="D20" s="4" t="s">
        <v>31</v>
      </c>
      <c r="E20" s="4" t="s">
        <v>19</v>
      </c>
      <c r="F20" s="5" t="n">
        <v>40</v>
      </c>
      <c r="G20" s="5" t="n">
        <v>50</v>
      </c>
      <c r="H20" s="6" t="n">
        <v>46325.7645833333</v>
      </c>
      <c r="I20" s="7" t="n">
        <v>44464</v>
      </c>
      <c r="J20" s="8" t="n">
        <f aca="false">ROUND(($B$59-I20)/365.25,1)</f>
        <v>5.1</v>
      </c>
      <c r="K20" s="5" t="n">
        <v>1377</v>
      </c>
      <c r="L20" s="4" t="n">
        <v>0</v>
      </c>
      <c r="M20" s="4" t="n">
        <v>1</v>
      </c>
      <c r="N20" s="4" t="s">
        <v>20</v>
      </c>
    </row>
    <row r="21" customFormat="false" ht="15" hidden="false" customHeight="false" outlineLevel="0" collapsed="false">
      <c r="A21" s="4" t="n">
        <v>17</v>
      </c>
      <c r="B21" s="4" t="s">
        <v>65</v>
      </c>
      <c r="C21" s="4" t="s">
        <v>66</v>
      </c>
      <c r="D21" s="4" t="s">
        <v>41</v>
      </c>
      <c r="E21" s="4" t="s">
        <v>19</v>
      </c>
      <c r="F21" s="5" t="n">
        <v>11</v>
      </c>
      <c r="G21" s="5" t="n">
        <v>30</v>
      </c>
      <c r="H21" s="6" t="n">
        <v>46325.76875</v>
      </c>
      <c r="I21" s="7" t="n">
        <v>44095</v>
      </c>
      <c r="J21" s="8" t="n">
        <f aca="false">ROUND(($B$59-I21)/365.25,1)</f>
        <v>6.1</v>
      </c>
      <c r="K21" s="5" t="n">
        <v>1431</v>
      </c>
      <c r="L21" s="4" t="n">
        <v>0</v>
      </c>
      <c r="M21" s="4" t="n">
        <v>0</v>
      </c>
      <c r="N21" s="4" t="s">
        <v>20</v>
      </c>
    </row>
    <row r="22" customFormat="false" ht="15" hidden="false" customHeight="false" outlineLevel="0" collapsed="false">
      <c r="A22" s="9" t="n">
        <v>18</v>
      </c>
      <c r="B22" s="9" t="s">
        <v>67</v>
      </c>
      <c r="C22" s="9" t="s">
        <v>68</v>
      </c>
      <c r="D22" s="9" t="s">
        <v>41</v>
      </c>
      <c r="E22" s="9" t="s">
        <v>23</v>
      </c>
      <c r="F22" s="10" t="n">
        <v>50</v>
      </c>
      <c r="G22" s="10"/>
      <c r="H22" s="11" t="n">
        <v>46325.7763888889</v>
      </c>
      <c r="I22" s="12" t="n">
        <v>45559</v>
      </c>
      <c r="J22" s="13" t="n">
        <f aca="false">ROUND(($B$59-I22)/365.25,1)</f>
        <v>2.1</v>
      </c>
      <c r="K22" s="10" t="n">
        <v>123</v>
      </c>
      <c r="L22" s="9" t="n">
        <v>2</v>
      </c>
      <c r="M22" s="9" t="n">
        <v>0</v>
      </c>
      <c r="N22" s="9" t="s">
        <v>69</v>
      </c>
    </row>
    <row r="23" customFormat="false" ht="15" hidden="false" customHeight="false" outlineLevel="0" collapsed="false">
      <c r="A23" s="9" t="n">
        <v>19</v>
      </c>
      <c r="B23" s="9" t="s">
        <v>70</v>
      </c>
      <c r="C23" s="9" t="s">
        <v>71</v>
      </c>
      <c r="D23" s="9" t="s">
        <v>27</v>
      </c>
      <c r="E23" s="9" t="s">
        <v>19</v>
      </c>
      <c r="F23" s="10" t="n">
        <v>40</v>
      </c>
      <c r="G23" s="10" t="n">
        <v>50</v>
      </c>
      <c r="H23" s="11" t="n">
        <v>46325.7798611111</v>
      </c>
      <c r="I23" s="12" t="n">
        <v>45558</v>
      </c>
      <c r="J23" s="13" t="n">
        <f aca="false">ROUND(($B$59-I23)/365.25,1)</f>
        <v>2.1</v>
      </c>
      <c r="K23" s="10" t="n">
        <v>497</v>
      </c>
      <c r="L23" s="9" t="n">
        <v>0</v>
      </c>
      <c r="M23" s="9" t="n">
        <v>0</v>
      </c>
      <c r="N23" s="9" t="s">
        <v>72</v>
      </c>
    </row>
    <row r="24" customFormat="false" ht="15" hidden="false" customHeight="false" outlineLevel="0" collapsed="false">
      <c r="A24" s="4" t="n">
        <v>20</v>
      </c>
      <c r="B24" s="4" t="s">
        <v>73</v>
      </c>
      <c r="C24" s="4" t="s">
        <v>74</v>
      </c>
      <c r="D24" s="4" t="s">
        <v>41</v>
      </c>
      <c r="E24" s="4" t="s">
        <v>19</v>
      </c>
      <c r="F24" s="5" t="n">
        <v>11</v>
      </c>
      <c r="G24" s="5" t="n">
        <v>30</v>
      </c>
      <c r="H24" s="6" t="n">
        <v>46325.7833333333</v>
      </c>
      <c r="I24" s="7" t="n">
        <v>45192</v>
      </c>
      <c r="J24" s="8" t="n">
        <f aca="false">ROUND(($B$59-I24)/365.25,1)</f>
        <v>3.1</v>
      </c>
      <c r="K24" s="5" t="n">
        <v>25</v>
      </c>
      <c r="L24" s="4" t="n">
        <v>0</v>
      </c>
      <c r="M24" s="4" t="n">
        <v>0</v>
      </c>
      <c r="N24" s="4" t="s">
        <v>20</v>
      </c>
    </row>
    <row r="25" customFormat="false" ht="15" hidden="false" customHeight="false" outlineLevel="0" collapsed="false">
      <c r="A25" s="4" t="n">
        <v>21</v>
      </c>
      <c r="B25" s="4" t="s">
        <v>75</v>
      </c>
      <c r="C25" s="4" t="s">
        <v>76</v>
      </c>
      <c r="D25" s="4" t="s">
        <v>41</v>
      </c>
      <c r="E25" s="4" t="s">
        <v>19</v>
      </c>
      <c r="F25" s="5" t="n">
        <v>30</v>
      </c>
      <c r="G25" s="5" t="n">
        <v>40</v>
      </c>
      <c r="H25" s="6" t="n">
        <v>46325.7847222222</v>
      </c>
      <c r="I25" s="7" t="n">
        <v>45191</v>
      </c>
      <c r="J25" s="8" t="n">
        <f aca="false">ROUND(($B$59-I25)/365.25,1)</f>
        <v>3.1</v>
      </c>
      <c r="K25" s="5" t="n">
        <v>18</v>
      </c>
      <c r="L25" s="4" t="n">
        <v>0</v>
      </c>
      <c r="M25" s="4" t="n">
        <v>0</v>
      </c>
      <c r="N25" s="4" t="s">
        <v>20</v>
      </c>
    </row>
    <row r="26" customFormat="false" ht="15" hidden="false" customHeight="false" outlineLevel="0" collapsed="false">
      <c r="A26" s="4" t="n">
        <v>22</v>
      </c>
      <c r="B26" s="4" t="s">
        <v>77</v>
      </c>
      <c r="C26" s="4" t="s">
        <v>78</v>
      </c>
      <c r="D26" s="4" t="s">
        <v>18</v>
      </c>
      <c r="E26" s="4" t="s">
        <v>19</v>
      </c>
      <c r="F26" s="5" t="n">
        <v>40</v>
      </c>
      <c r="G26" s="5" t="n">
        <v>50</v>
      </c>
      <c r="H26" s="6" t="n">
        <v>46325.7861111111</v>
      </c>
      <c r="I26" s="7" t="n">
        <v>45558</v>
      </c>
      <c r="J26" s="8" t="n">
        <f aca="false">ROUND(($B$59-I26)/365.25,1)</f>
        <v>2.1</v>
      </c>
      <c r="K26" s="5" t="n">
        <v>28</v>
      </c>
      <c r="L26" s="4" t="n">
        <v>0</v>
      </c>
      <c r="M26" s="4" t="n">
        <v>0</v>
      </c>
      <c r="N26" s="4" t="s">
        <v>20</v>
      </c>
    </row>
    <row r="27" customFormat="false" ht="15" hidden="false" customHeight="false" outlineLevel="0" collapsed="false">
      <c r="A27" s="4" t="n">
        <v>23</v>
      </c>
      <c r="B27" s="4" t="s">
        <v>79</v>
      </c>
      <c r="C27" s="4" t="s">
        <v>80</v>
      </c>
      <c r="D27" s="4" t="s">
        <v>41</v>
      </c>
      <c r="E27" s="4" t="s">
        <v>23</v>
      </c>
      <c r="F27" s="5" t="n">
        <v>50</v>
      </c>
      <c r="G27" s="5"/>
      <c r="H27" s="6" t="n">
        <v>46325.7861111111</v>
      </c>
      <c r="I27" s="7" t="n">
        <v>43367</v>
      </c>
      <c r="J27" s="8" t="n">
        <f aca="false">ROUND(($B$59-I27)/365.25,1)</f>
        <v>8.1</v>
      </c>
      <c r="K27" s="5" t="n">
        <v>1006</v>
      </c>
      <c r="L27" s="4" t="n">
        <v>26</v>
      </c>
      <c r="M27" s="4" t="n">
        <v>0</v>
      </c>
      <c r="N27" s="4" t="s">
        <v>20</v>
      </c>
    </row>
    <row r="28" customFormat="false" ht="15" hidden="false" customHeight="false" outlineLevel="0" collapsed="false">
      <c r="A28" s="9" t="n">
        <v>24</v>
      </c>
      <c r="B28" s="9" t="s">
        <v>81</v>
      </c>
      <c r="C28" s="9" t="s">
        <v>82</v>
      </c>
      <c r="D28" s="9" t="s">
        <v>41</v>
      </c>
      <c r="E28" s="9" t="s">
        <v>19</v>
      </c>
      <c r="F28" s="10" t="n">
        <v>11</v>
      </c>
      <c r="G28" s="10" t="n">
        <v>30</v>
      </c>
      <c r="H28" s="11" t="n">
        <v>46325.7979166667</v>
      </c>
      <c r="I28" s="12" t="n">
        <v>45190</v>
      </c>
      <c r="J28" s="13" t="n">
        <f aca="false">ROUND(($B$59-I28)/365.25,1)</f>
        <v>3.1</v>
      </c>
      <c r="K28" s="10" t="n">
        <v>14</v>
      </c>
      <c r="L28" s="9" t="n">
        <v>0</v>
      </c>
      <c r="M28" s="9" t="n">
        <v>0</v>
      </c>
      <c r="N28" s="9" t="s">
        <v>83</v>
      </c>
    </row>
    <row r="29" customFormat="false" ht="15" hidden="false" customHeight="false" outlineLevel="0" collapsed="false">
      <c r="A29" s="4" t="n">
        <v>25</v>
      </c>
      <c r="B29" s="4" t="s">
        <v>84</v>
      </c>
      <c r="C29" s="4" t="s">
        <v>85</v>
      </c>
      <c r="D29" s="4" t="s">
        <v>27</v>
      </c>
      <c r="E29" s="4" t="s">
        <v>19</v>
      </c>
      <c r="F29" s="5" t="n">
        <v>11</v>
      </c>
      <c r="G29" s="5" t="n">
        <v>30</v>
      </c>
      <c r="H29" s="6" t="n">
        <v>46325.8013888889</v>
      </c>
      <c r="I29" s="7" t="n">
        <v>44095</v>
      </c>
      <c r="J29" s="8" t="n">
        <f aca="false">ROUND(($B$59-I29)/365.25,1)</f>
        <v>6.1</v>
      </c>
      <c r="K29" s="5" t="n">
        <v>796</v>
      </c>
      <c r="L29" s="4" t="n">
        <v>0</v>
      </c>
      <c r="M29" s="4" t="n">
        <v>0</v>
      </c>
      <c r="N29" s="4" t="s">
        <v>20</v>
      </c>
    </row>
    <row r="30" customFormat="false" ht="15" hidden="false" customHeight="false" outlineLevel="0" collapsed="false">
      <c r="A30" s="4" t="n">
        <v>26</v>
      </c>
      <c r="B30" s="4" t="s">
        <v>86</v>
      </c>
      <c r="C30" s="4" t="s">
        <v>87</v>
      </c>
      <c r="D30" s="4" t="s">
        <v>41</v>
      </c>
      <c r="E30" s="4" t="s">
        <v>19</v>
      </c>
      <c r="F30" s="5" t="n">
        <v>30</v>
      </c>
      <c r="G30" s="5" t="n">
        <v>40</v>
      </c>
      <c r="H30" s="6" t="n">
        <v>46325.8097222222</v>
      </c>
      <c r="I30" s="7" t="n">
        <v>44029</v>
      </c>
      <c r="J30" s="8" t="n">
        <f aca="false">ROUND(($B$59-I30)/365.25,1)</f>
        <v>6.3</v>
      </c>
      <c r="K30" s="5" t="n">
        <v>552</v>
      </c>
      <c r="L30" s="4" t="n">
        <v>0</v>
      </c>
      <c r="M30" s="4" t="n">
        <v>0</v>
      </c>
      <c r="N30" s="4" t="s">
        <v>20</v>
      </c>
    </row>
    <row r="31" customFormat="false" ht="15" hidden="false" customHeight="false" outlineLevel="0" collapsed="false">
      <c r="A31" s="4" t="n">
        <v>27</v>
      </c>
      <c r="B31" s="4" t="s">
        <v>88</v>
      </c>
      <c r="C31" s="4" t="s">
        <v>89</v>
      </c>
      <c r="D31" s="4" t="s">
        <v>41</v>
      </c>
      <c r="E31" s="4" t="s">
        <v>23</v>
      </c>
      <c r="F31" s="5" t="n">
        <v>50</v>
      </c>
      <c r="G31" s="5"/>
      <c r="H31" s="6" t="n">
        <v>46325.8118055556</v>
      </c>
      <c r="I31" s="7" t="n">
        <v>44828</v>
      </c>
      <c r="J31" s="8" t="n">
        <f aca="false">ROUND(($B$59-I31)/365.25,1)</f>
        <v>4.1</v>
      </c>
      <c r="K31" s="5" t="n">
        <v>14</v>
      </c>
      <c r="L31" s="4" t="n">
        <v>0</v>
      </c>
      <c r="M31" s="4" t="n">
        <v>0</v>
      </c>
      <c r="N31" s="4" t="s">
        <v>20</v>
      </c>
    </row>
    <row r="32" customFormat="false" ht="15" hidden="false" customHeight="false" outlineLevel="0" collapsed="false">
      <c r="A32" s="4" t="n">
        <v>28</v>
      </c>
      <c r="B32" s="4" t="s">
        <v>90</v>
      </c>
      <c r="C32" s="4" t="s">
        <v>91</v>
      </c>
      <c r="D32" s="4" t="s">
        <v>41</v>
      </c>
      <c r="E32" s="4" t="s">
        <v>19</v>
      </c>
      <c r="F32" s="5" t="n">
        <v>11</v>
      </c>
      <c r="G32" s="5" t="n">
        <v>30</v>
      </c>
      <c r="H32" s="6" t="n">
        <v>46325.8180555556</v>
      </c>
      <c r="I32" s="7" t="n">
        <v>45556</v>
      </c>
      <c r="J32" s="8" t="n">
        <f aca="false">ROUND(($B$59-I32)/365.25,1)</f>
        <v>2.1</v>
      </c>
      <c r="K32" s="5" t="n">
        <v>1218</v>
      </c>
      <c r="L32" s="4" t="n">
        <v>0</v>
      </c>
      <c r="M32" s="4" t="n">
        <v>1</v>
      </c>
      <c r="N32" s="4" t="s">
        <v>20</v>
      </c>
    </row>
    <row r="33" customFormat="false" ht="15" hidden="false" customHeight="false" outlineLevel="0" collapsed="false">
      <c r="A33" s="9" t="n">
        <v>29</v>
      </c>
      <c r="B33" s="9" t="s">
        <v>92</v>
      </c>
      <c r="C33" s="9" t="s">
        <v>93</v>
      </c>
      <c r="D33" s="9" t="s">
        <v>41</v>
      </c>
      <c r="E33" s="9" t="s">
        <v>19</v>
      </c>
      <c r="F33" s="10" t="n">
        <v>40</v>
      </c>
      <c r="G33" s="10" t="n">
        <v>50</v>
      </c>
      <c r="H33" s="11" t="n">
        <v>46325.8201388889</v>
      </c>
      <c r="I33" s="12" t="n">
        <v>44827</v>
      </c>
      <c r="J33" s="13" t="n">
        <f aca="false">ROUND(($B$59-I33)/365.25,1)</f>
        <v>4.1</v>
      </c>
      <c r="K33" s="10" t="n">
        <v>22</v>
      </c>
      <c r="L33" s="9" t="n">
        <v>1</v>
      </c>
      <c r="M33" s="9" t="n">
        <v>0</v>
      </c>
      <c r="N33" s="9" t="s">
        <v>94</v>
      </c>
    </row>
    <row r="34" customFormat="false" ht="15" hidden="false" customHeight="false" outlineLevel="0" collapsed="false">
      <c r="A34" s="4" t="n">
        <v>30</v>
      </c>
      <c r="B34" s="4" t="s">
        <v>95</v>
      </c>
      <c r="C34" s="4" t="s">
        <v>96</v>
      </c>
      <c r="D34" s="4" t="s">
        <v>18</v>
      </c>
      <c r="E34" s="4" t="s">
        <v>19</v>
      </c>
      <c r="F34" s="5" t="n">
        <v>30</v>
      </c>
      <c r="G34" s="5" t="n">
        <v>40</v>
      </c>
      <c r="H34" s="6" t="n">
        <v>46325.8326388889</v>
      </c>
      <c r="I34" s="7" t="n">
        <v>44461</v>
      </c>
      <c r="J34" s="8" t="n">
        <f aca="false">ROUND(($B$59-I34)/365.25,1)</f>
        <v>5.1</v>
      </c>
      <c r="K34" s="5" t="n">
        <v>569</v>
      </c>
      <c r="L34" s="4" t="n">
        <v>0</v>
      </c>
      <c r="M34" s="4" t="n">
        <v>0</v>
      </c>
      <c r="N34" s="4" t="s">
        <v>20</v>
      </c>
    </row>
    <row r="35" customFormat="false" ht="15" hidden="false" customHeight="false" outlineLevel="0" collapsed="false">
      <c r="A35" s="9" t="n">
        <v>31</v>
      </c>
      <c r="B35" s="9" t="s">
        <v>97</v>
      </c>
      <c r="C35" s="9" t="s">
        <v>98</v>
      </c>
      <c r="D35" s="9" t="s">
        <v>34</v>
      </c>
      <c r="E35" s="9" t="s">
        <v>23</v>
      </c>
      <c r="F35" s="10" t="n">
        <v>11</v>
      </c>
      <c r="G35" s="10"/>
      <c r="H35" s="11" t="n">
        <v>46325.8333333333</v>
      </c>
      <c r="I35" s="12" t="n">
        <v>43364</v>
      </c>
      <c r="J35" s="13" t="n">
        <f aca="false">ROUND(($B$59-I35)/365.25,1)</f>
        <v>8.1</v>
      </c>
      <c r="K35" s="10" t="n">
        <v>1199</v>
      </c>
      <c r="L35" s="9" t="n">
        <v>0</v>
      </c>
      <c r="M35" s="9" t="n">
        <v>0</v>
      </c>
      <c r="N35" s="9" t="s">
        <v>99</v>
      </c>
    </row>
    <row r="36" customFormat="false" ht="15" hidden="false" customHeight="false" outlineLevel="0" collapsed="false">
      <c r="A36" s="9" t="n">
        <v>32</v>
      </c>
      <c r="B36" s="9" t="s">
        <v>100</v>
      </c>
      <c r="C36" s="9" t="s">
        <v>101</v>
      </c>
      <c r="D36" s="9" t="s">
        <v>41</v>
      </c>
      <c r="E36" s="9" t="s">
        <v>23</v>
      </c>
      <c r="F36" s="10" t="n">
        <v>50</v>
      </c>
      <c r="G36" s="10"/>
      <c r="H36" s="11" t="n">
        <v>46325.8340277778</v>
      </c>
      <c r="I36" s="12" t="n">
        <v>43300</v>
      </c>
      <c r="J36" s="13" t="n">
        <f aca="false">ROUND(($B$59-I36)/365.25,1)</f>
        <v>8.3</v>
      </c>
      <c r="K36" s="10" t="n">
        <v>550</v>
      </c>
      <c r="L36" s="9" t="n">
        <v>0</v>
      </c>
      <c r="M36" s="9" t="n">
        <v>0</v>
      </c>
      <c r="N36" s="9" t="s">
        <v>102</v>
      </c>
    </row>
    <row r="37" customFormat="false" ht="15" hidden="false" customHeight="false" outlineLevel="0" collapsed="false">
      <c r="A37" s="4" t="n">
        <v>33</v>
      </c>
      <c r="B37" s="4" t="s">
        <v>103</v>
      </c>
      <c r="C37" s="4" t="s">
        <v>104</v>
      </c>
      <c r="D37" s="4" t="s">
        <v>41</v>
      </c>
      <c r="E37" s="4" t="s">
        <v>19</v>
      </c>
      <c r="F37" s="5" t="n">
        <v>30</v>
      </c>
      <c r="G37" s="5" t="n">
        <v>40</v>
      </c>
      <c r="H37" s="6" t="n">
        <v>46325.8381944444</v>
      </c>
      <c r="I37" s="7" t="n">
        <v>38982</v>
      </c>
      <c r="J37" s="8" t="n">
        <f aca="false">ROUND(($B$59-I37)/365.25,1)</f>
        <v>20.1</v>
      </c>
      <c r="K37" s="5" t="n">
        <v>1307</v>
      </c>
      <c r="L37" s="4" t="n">
        <v>121</v>
      </c>
      <c r="M37" s="4" t="n">
        <v>0</v>
      </c>
      <c r="N37" s="4" t="s">
        <v>20</v>
      </c>
    </row>
    <row r="38" customFormat="false" ht="15" hidden="false" customHeight="false" outlineLevel="0" collapsed="false">
      <c r="A38" s="4" t="n">
        <v>34</v>
      </c>
      <c r="B38" s="4" t="s">
        <v>105</v>
      </c>
      <c r="C38" s="4" t="s">
        <v>106</v>
      </c>
      <c r="D38" s="4" t="s">
        <v>18</v>
      </c>
      <c r="E38" s="4" t="s">
        <v>23</v>
      </c>
      <c r="F38" s="5" t="n">
        <v>50</v>
      </c>
      <c r="G38" s="5"/>
      <c r="H38" s="6" t="n">
        <v>46325.8388888889</v>
      </c>
      <c r="I38" s="7" t="n">
        <v>42204</v>
      </c>
      <c r="J38" s="8" t="n">
        <f aca="false">ROUND(($B$59-I38)/365.25,1)</f>
        <v>11.3</v>
      </c>
      <c r="K38" s="5" t="n">
        <v>624</v>
      </c>
      <c r="L38" s="4" t="n">
        <v>0</v>
      </c>
      <c r="M38" s="4" t="n">
        <v>0</v>
      </c>
      <c r="N38" s="4" t="s">
        <v>107</v>
      </c>
    </row>
    <row r="39" customFormat="false" ht="15" hidden="false" customHeight="false" outlineLevel="0" collapsed="false">
      <c r="A39" s="9" t="n">
        <v>35</v>
      </c>
      <c r="B39" s="9" t="s">
        <v>108</v>
      </c>
      <c r="C39" s="9" t="s">
        <v>109</v>
      </c>
      <c r="D39" s="9" t="s">
        <v>41</v>
      </c>
      <c r="E39" s="9" t="s">
        <v>19</v>
      </c>
      <c r="F39" s="10" t="n">
        <v>11</v>
      </c>
      <c r="G39" s="10" t="n">
        <v>30</v>
      </c>
      <c r="H39" s="11" t="n">
        <v>46325.8430555556</v>
      </c>
      <c r="I39" s="12" t="n">
        <v>44028</v>
      </c>
      <c r="J39" s="13" t="n">
        <f aca="false">ROUND(($B$59-I39)/365.25,1)</f>
        <v>6.3</v>
      </c>
      <c r="K39" s="10" t="n">
        <v>1199</v>
      </c>
      <c r="L39" s="9" t="n">
        <v>0</v>
      </c>
      <c r="M39" s="9" t="n">
        <v>0</v>
      </c>
      <c r="N39" s="9" t="s">
        <v>102</v>
      </c>
    </row>
    <row r="40" customFormat="false" ht="15" hidden="false" customHeight="false" outlineLevel="0" collapsed="false">
      <c r="A40" s="4" t="n">
        <v>36</v>
      </c>
      <c r="B40" s="4" t="s">
        <v>110</v>
      </c>
      <c r="C40" s="4" t="s">
        <v>111</v>
      </c>
      <c r="D40" s="4" t="s">
        <v>27</v>
      </c>
      <c r="E40" s="4" t="s">
        <v>23</v>
      </c>
      <c r="F40" s="5" t="n">
        <v>50</v>
      </c>
      <c r="G40" s="5"/>
      <c r="H40" s="6" t="n">
        <v>46325.8479166667</v>
      </c>
      <c r="I40" s="7" t="n">
        <v>44830</v>
      </c>
      <c r="J40" s="8" t="n">
        <f aca="false">ROUND(($B$59-I40)/365.25,1)</f>
        <v>4.1</v>
      </c>
      <c r="K40" s="5" t="n">
        <v>16</v>
      </c>
      <c r="L40" s="4" t="n">
        <v>0</v>
      </c>
      <c r="M40" s="4" t="n">
        <v>0</v>
      </c>
      <c r="N40" s="4" t="s">
        <v>20</v>
      </c>
    </row>
    <row r="41" customFormat="false" ht="15" hidden="false" customHeight="false" outlineLevel="0" collapsed="false">
      <c r="A41" s="4" t="n">
        <v>37</v>
      </c>
      <c r="B41" s="4" t="s">
        <v>112</v>
      </c>
      <c r="C41" s="4" t="s">
        <v>113</v>
      </c>
      <c r="D41" s="4" t="s">
        <v>41</v>
      </c>
      <c r="E41" s="4" t="s">
        <v>23</v>
      </c>
      <c r="F41" s="5" t="n">
        <v>11</v>
      </c>
      <c r="G41" s="5"/>
      <c r="H41" s="6" t="n">
        <v>46325.8479166667</v>
      </c>
      <c r="I41" s="7" t="n">
        <v>40442</v>
      </c>
      <c r="J41" s="8" t="n">
        <f aca="false">ROUND(($B$59-I41)/365.25,1)</f>
        <v>16.1</v>
      </c>
      <c r="K41" s="5" t="n">
        <v>623</v>
      </c>
      <c r="L41" s="4" t="n">
        <v>9</v>
      </c>
      <c r="M41" s="4" t="n">
        <v>0</v>
      </c>
      <c r="N41" s="4" t="s">
        <v>20</v>
      </c>
    </row>
    <row r="42" customFormat="false" ht="15" hidden="false" customHeight="false" outlineLevel="0" collapsed="false">
      <c r="A42" s="4" t="n">
        <v>38</v>
      </c>
      <c r="B42" s="4" t="s">
        <v>114</v>
      </c>
      <c r="C42" s="4" t="s">
        <v>115</v>
      </c>
      <c r="D42" s="4" t="s">
        <v>41</v>
      </c>
      <c r="E42" s="4" t="s">
        <v>19</v>
      </c>
      <c r="F42" s="5" t="n">
        <v>30</v>
      </c>
      <c r="G42" s="5" t="n">
        <v>40</v>
      </c>
      <c r="H42" s="6" t="n">
        <v>46325.8729166667</v>
      </c>
      <c r="I42" s="7" t="n">
        <v>45557</v>
      </c>
      <c r="J42" s="8" t="n">
        <f aca="false">ROUND(($B$59-I42)/365.25,1)</f>
        <v>2.1</v>
      </c>
      <c r="K42" s="5" t="n">
        <v>18</v>
      </c>
      <c r="L42" s="4" t="n">
        <v>0</v>
      </c>
      <c r="M42" s="4" t="n">
        <v>0</v>
      </c>
      <c r="N42" s="4" t="s">
        <v>20</v>
      </c>
    </row>
    <row r="43" customFormat="false" ht="15" hidden="false" customHeight="false" outlineLevel="0" collapsed="false">
      <c r="A43" s="4" t="n">
        <v>39</v>
      </c>
      <c r="B43" s="4" t="s">
        <v>116</v>
      </c>
      <c r="C43" s="4" t="s">
        <v>117</v>
      </c>
      <c r="D43" s="4" t="s">
        <v>34</v>
      </c>
      <c r="E43" s="4" t="s">
        <v>23</v>
      </c>
      <c r="F43" s="5" t="n">
        <v>50</v>
      </c>
      <c r="G43" s="5"/>
      <c r="H43" s="6" t="n">
        <v>46325.8777777778</v>
      </c>
      <c r="I43" s="7" t="n">
        <v>43889</v>
      </c>
      <c r="J43" s="8" t="n">
        <f aca="false">ROUND(($B$59-I43)/365.25,1)</f>
        <v>6.7</v>
      </c>
      <c r="K43" s="5" t="n">
        <v>1355</v>
      </c>
      <c r="L43" s="4" t="n">
        <v>25</v>
      </c>
      <c r="M43" s="4" t="n">
        <v>0</v>
      </c>
      <c r="N43" s="4" t="s">
        <v>118</v>
      </c>
    </row>
    <row r="44" customFormat="false" ht="15" hidden="false" customHeight="false" outlineLevel="0" collapsed="false">
      <c r="A44" s="4" t="n">
        <v>40</v>
      </c>
      <c r="B44" s="4" t="s">
        <v>119</v>
      </c>
      <c r="C44" s="4" t="s">
        <v>120</v>
      </c>
      <c r="D44" s="4" t="s">
        <v>31</v>
      </c>
      <c r="E44" s="4" t="s">
        <v>19</v>
      </c>
      <c r="F44" s="5" t="n">
        <v>11</v>
      </c>
      <c r="G44" s="5" t="n">
        <v>30</v>
      </c>
      <c r="H44" s="6" t="n">
        <v>46325.8784722222</v>
      </c>
      <c r="I44" s="7" t="n">
        <v>45556</v>
      </c>
      <c r="J44" s="8" t="n">
        <f aca="false">ROUND(($B$59-I44)/365.25,1)</f>
        <v>2.1</v>
      </c>
      <c r="K44" s="5" t="n">
        <v>23</v>
      </c>
      <c r="L44" s="4" t="n">
        <v>15</v>
      </c>
      <c r="M44" s="4" t="n">
        <v>1</v>
      </c>
      <c r="N44" s="4" t="s">
        <v>20</v>
      </c>
    </row>
    <row r="45" customFormat="false" ht="15" hidden="false" customHeight="false" outlineLevel="0" collapsed="false">
      <c r="A45" s="9" t="n">
        <v>41</v>
      </c>
      <c r="B45" s="9" t="s">
        <v>121</v>
      </c>
      <c r="C45" s="9" t="s">
        <v>122</v>
      </c>
      <c r="D45" s="9" t="s">
        <v>41</v>
      </c>
      <c r="E45" s="9" t="s">
        <v>19</v>
      </c>
      <c r="F45" s="10" t="n">
        <v>40</v>
      </c>
      <c r="G45" s="10" t="n">
        <v>50</v>
      </c>
      <c r="H45" s="11" t="n">
        <v>46325.8819444445</v>
      </c>
      <c r="I45" s="12" t="n">
        <v>44097</v>
      </c>
      <c r="J45" s="13" t="n">
        <f aca="false">ROUND(($B$59-I45)/365.25,1)</f>
        <v>6.1</v>
      </c>
      <c r="K45" s="10" t="n">
        <v>990</v>
      </c>
      <c r="L45" s="9" t="n">
        <v>0</v>
      </c>
      <c r="M45" s="9" t="n">
        <v>0</v>
      </c>
      <c r="N45" s="9" t="s">
        <v>123</v>
      </c>
    </row>
    <row r="46" customFormat="false" ht="15" hidden="false" customHeight="false" outlineLevel="0" collapsed="false">
      <c r="A46" s="9" t="n">
        <v>42</v>
      </c>
      <c r="B46" s="9" t="s">
        <v>124</v>
      </c>
      <c r="C46" s="9" t="s">
        <v>125</v>
      </c>
      <c r="D46" s="9" t="s">
        <v>31</v>
      </c>
      <c r="E46" s="9" t="s">
        <v>19</v>
      </c>
      <c r="F46" s="10" t="n">
        <v>11</v>
      </c>
      <c r="G46" s="10" t="n">
        <v>30</v>
      </c>
      <c r="H46" s="11" t="n">
        <v>46325.8833333333</v>
      </c>
      <c r="I46" s="12" t="n">
        <v>45190</v>
      </c>
      <c r="J46" s="13" t="n">
        <f aca="false">ROUND(($B$59-I46)/365.25,1)</f>
        <v>3.1</v>
      </c>
      <c r="K46" s="10" t="n">
        <v>906</v>
      </c>
      <c r="L46" s="9" t="n">
        <v>0</v>
      </c>
      <c r="M46" s="9" t="n">
        <v>0</v>
      </c>
      <c r="N46" s="9" t="s">
        <v>126</v>
      </c>
    </row>
    <row r="47" customFormat="false" ht="15" hidden="false" customHeight="false" outlineLevel="0" collapsed="false">
      <c r="A47" s="4" t="n">
        <v>43</v>
      </c>
      <c r="B47" s="4" t="s">
        <v>127</v>
      </c>
      <c r="C47" s="4" t="s">
        <v>128</v>
      </c>
      <c r="D47" s="4" t="s">
        <v>31</v>
      </c>
      <c r="E47" s="4" t="s">
        <v>23</v>
      </c>
      <c r="F47" s="5" t="n">
        <v>50</v>
      </c>
      <c r="G47" s="5"/>
      <c r="H47" s="6" t="n">
        <v>46325.8875</v>
      </c>
      <c r="I47" s="7" t="n">
        <v>45193</v>
      </c>
      <c r="J47" s="8" t="n">
        <f aca="false">ROUND(($B$59-I47)/365.25,1)</f>
        <v>3.1</v>
      </c>
      <c r="K47" s="5" t="n">
        <v>45</v>
      </c>
      <c r="L47" s="4" t="n">
        <v>2</v>
      </c>
      <c r="M47" s="4" t="n">
        <v>1</v>
      </c>
      <c r="N47" s="4" t="s">
        <v>20</v>
      </c>
    </row>
    <row r="48" customFormat="false" ht="15" hidden="false" customHeight="false" outlineLevel="0" collapsed="false">
      <c r="A48" s="9" t="n">
        <v>44</v>
      </c>
      <c r="B48" s="9" t="s">
        <v>129</v>
      </c>
      <c r="C48" s="9" t="s">
        <v>130</v>
      </c>
      <c r="D48" s="9" t="s">
        <v>34</v>
      </c>
      <c r="E48" s="9" t="s">
        <v>19</v>
      </c>
      <c r="F48" s="10" t="n">
        <v>11</v>
      </c>
      <c r="G48" s="10" t="n">
        <v>30</v>
      </c>
      <c r="H48" s="11" t="n">
        <v>46325.8944444444</v>
      </c>
      <c r="I48" s="12" t="n">
        <v>44462</v>
      </c>
      <c r="J48" s="13" t="n">
        <f aca="false">ROUND(($B$59-I48)/365.25,1)</f>
        <v>5.1</v>
      </c>
      <c r="K48" s="10" t="n">
        <v>630</v>
      </c>
      <c r="L48" s="9" t="n">
        <v>0</v>
      </c>
      <c r="M48" s="9" t="n">
        <v>1</v>
      </c>
      <c r="N48" s="9" t="s">
        <v>131</v>
      </c>
    </row>
    <row r="49" customFormat="false" ht="15" hidden="false" customHeight="false" outlineLevel="0" collapsed="false">
      <c r="A49" s="4" t="n">
        <v>45</v>
      </c>
      <c r="B49" s="4" t="s">
        <v>132</v>
      </c>
      <c r="C49" s="4" t="s">
        <v>133</v>
      </c>
      <c r="D49" s="4" t="s">
        <v>18</v>
      </c>
      <c r="E49" s="4" t="s">
        <v>19</v>
      </c>
      <c r="F49" s="5" t="n">
        <v>30</v>
      </c>
      <c r="G49" s="5" t="n">
        <v>40</v>
      </c>
      <c r="H49" s="6" t="n">
        <v>46325.8965277778</v>
      </c>
      <c r="I49" s="7" t="n">
        <v>45194</v>
      </c>
      <c r="J49" s="8" t="n">
        <f aca="false">ROUND(($B$59-I49)/365.25,1)</f>
        <v>3.1</v>
      </c>
      <c r="K49" s="5" t="n">
        <v>10</v>
      </c>
      <c r="L49" s="4" t="n">
        <v>0</v>
      </c>
      <c r="M49" s="4" t="n">
        <v>0</v>
      </c>
      <c r="N49" s="4" t="s">
        <v>20</v>
      </c>
    </row>
    <row r="50" customFormat="false" ht="15" hidden="false" customHeight="false" outlineLevel="0" collapsed="false">
      <c r="A50" s="4" t="n">
        <v>46</v>
      </c>
      <c r="B50" s="4" t="s">
        <v>134</v>
      </c>
      <c r="C50" s="4" t="s">
        <v>135</v>
      </c>
      <c r="D50" s="4" t="s">
        <v>34</v>
      </c>
      <c r="E50" s="4" t="s">
        <v>19</v>
      </c>
      <c r="F50" s="5" t="n">
        <v>11</v>
      </c>
      <c r="G50" s="5" t="n">
        <v>30</v>
      </c>
      <c r="H50" s="6" t="n">
        <v>46325.9125</v>
      </c>
      <c r="I50" s="7" t="n">
        <v>42999</v>
      </c>
      <c r="J50" s="8" t="n">
        <f aca="false">ROUND(($B$59-I50)/365.25,1)</f>
        <v>9.1</v>
      </c>
      <c r="K50" s="5" t="n">
        <v>990</v>
      </c>
      <c r="L50" s="4" t="n">
        <v>23</v>
      </c>
      <c r="M50" s="4" t="n">
        <v>0</v>
      </c>
      <c r="N50" s="4" t="s">
        <v>20</v>
      </c>
    </row>
    <row r="51" customFormat="false" ht="15" hidden="false" customHeight="false" outlineLevel="0" collapsed="false">
      <c r="A51" s="4" t="n">
        <v>47</v>
      </c>
      <c r="B51" s="4" t="s">
        <v>136</v>
      </c>
      <c r="C51" s="4" t="s">
        <v>137</v>
      </c>
      <c r="D51" s="4" t="s">
        <v>27</v>
      </c>
      <c r="E51" s="4" t="s">
        <v>19</v>
      </c>
      <c r="F51" s="5" t="n">
        <v>40</v>
      </c>
      <c r="G51" s="5" t="n">
        <v>50</v>
      </c>
      <c r="H51" s="6" t="n">
        <v>46325.9159722222</v>
      </c>
      <c r="I51" s="7" t="n">
        <v>45192</v>
      </c>
      <c r="J51" s="8" t="n">
        <f aca="false">ROUND(($B$59-I51)/365.25,1)</f>
        <v>3.1</v>
      </c>
      <c r="K51" s="5" t="n">
        <v>1073</v>
      </c>
      <c r="L51" s="4" t="n">
        <v>5</v>
      </c>
      <c r="M51" s="4" t="n">
        <v>0</v>
      </c>
      <c r="N51" s="4" t="s">
        <v>20</v>
      </c>
    </row>
    <row r="52" customFormat="false" ht="15" hidden="false" customHeight="false" outlineLevel="0" collapsed="false">
      <c r="A52" s="4" t="n">
        <v>48</v>
      </c>
      <c r="B52" s="4" t="s">
        <v>138</v>
      </c>
      <c r="C52" s="4" t="s">
        <v>139</v>
      </c>
      <c r="D52" s="4" t="s">
        <v>41</v>
      </c>
      <c r="E52" s="4" t="s">
        <v>19</v>
      </c>
      <c r="F52" s="5" t="n">
        <v>5</v>
      </c>
      <c r="G52" s="5" t="n">
        <v>11</v>
      </c>
      <c r="H52" s="6" t="n">
        <v>46325.9180555556</v>
      </c>
      <c r="I52" s="7" t="n">
        <v>44096</v>
      </c>
      <c r="J52" s="8" t="n">
        <f aca="false">ROUND(($B$59-I52)/365.25,1)</f>
        <v>6.1</v>
      </c>
      <c r="K52" s="5" t="n">
        <v>1008</v>
      </c>
      <c r="L52" s="4" t="n">
        <v>0</v>
      </c>
      <c r="M52" s="4" t="n">
        <v>0</v>
      </c>
      <c r="N52" s="4" t="s">
        <v>20</v>
      </c>
    </row>
    <row r="53" customFormat="false" ht="15" hidden="false" customHeight="false" outlineLevel="0" collapsed="false">
      <c r="A53" s="4" t="n">
        <v>49</v>
      </c>
      <c r="B53" s="4" t="s">
        <v>140</v>
      </c>
      <c r="C53" s="4" t="s">
        <v>141</v>
      </c>
      <c r="D53" s="4" t="s">
        <v>18</v>
      </c>
      <c r="E53" s="4" t="s">
        <v>23</v>
      </c>
      <c r="F53" s="5" t="n">
        <v>50</v>
      </c>
      <c r="G53" s="5"/>
      <c r="H53" s="6" t="n">
        <v>46325.9194444444</v>
      </c>
      <c r="I53" s="7" t="n">
        <v>45195</v>
      </c>
      <c r="J53" s="8" t="n">
        <f aca="false">ROUND(($B$59-I53)/365.25,1)</f>
        <v>3.1</v>
      </c>
      <c r="K53" s="5" t="n">
        <v>1166</v>
      </c>
      <c r="L53" s="4" t="n">
        <v>0</v>
      </c>
      <c r="M53" s="4" t="n">
        <v>0</v>
      </c>
      <c r="N53" s="4" t="s">
        <v>20</v>
      </c>
    </row>
    <row r="54" customFormat="false" ht="15" hidden="false" customHeight="false" outlineLevel="0" collapsed="false">
      <c r="A54" s="9" t="n">
        <v>50</v>
      </c>
      <c r="B54" s="9" t="s">
        <v>142</v>
      </c>
      <c r="C54" s="9" t="s">
        <v>143</v>
      </c>
      <c r="D54" s="9" t="s">
        <v>31</v>
      </c>
      <c r="E54" s="9" t="s">
        <v>23</v>
      </c>
      <c r="F54" s="10" t="n">
        <v>50</v>
      </c>
      <c r="G54" s="10"/>
      <c r="H54" s="11" t="n">
        <v>46325.9298611111</v>
      </c>
      <c r="I54" s="12" t="n">
        <v>45193</v>
      </c>
      <c r="J54" s="13" t="n">
        <f aca="false">ROUND(($B$59-I54)/365.25,1)</f>
        <v>3.1</v>
      </c>
      <c r="K54" s="10" t="n">
        <v>29</v>
      </c>
      <c r="L54" s="9" t="n">
        <v>0</v>
      </c>
      <c r="M54" s="9" t="n">
        <v>0</v>
      </c>
      <c r="N54" s="9" t="s">
        <v>144</v>
      </c>
    </row>
    <row r="55" customFormat="false" ht="15" hidden="false" customHeight="false" outlineLevel="0" collapsed="false">
      <c r="A55" s="4" t="n">
        <v>51</v>
      </c>
      <c r="B55" s="4" t="s">
        <v>145</v>
      </c>
      <c r="C55" s="4" t="s">
        <v>146</v>
      </c>
      <c r="D55" s="4" t="s">
        <v>18</v>
      </c>
      <c r="E55" s="4" t="s">
        <v>23</v>
      </c>
      <c r="F55" s="5" t="n">
        <v>50</v>
      </c>
      <c r="G55" s="5"/>
      <c r="H55" s="6" t="n">
        <v>46325.93125</v>
      </c>
      <c r="I55" s="7" t="n">
        <v>44464</v>
      </c>
      <c r="J55" s="8" t="n">
        <f aca="false">ROUND(($B$59-I55)/365.25,1)</f>
        <v>5.1</v>
      </c>
      <c r="K55" s="5" t="n">
        <v>894</v>
      </c>
      <c r="L55" s="4" t="n">
        <v>0</v>
      </c>
      <c r="M55" s="4" t="n">
        <v>0</v>
      </c>
      <c r="N55" s="4" t="s">
        <v>20</v>
      </c>
    </row>
    <row r="56" customFormat="false" ht="15" hidden="false" customHeight="false" outlineLevel="0" collapsed="false">
      <c r="A56" s="9" t="n">
        <v>52</v>
      </c>
      <c r="B56" s="9" t="s">
        <v>147</v>
      </c>
      <c r="C56" s="9" t="s">
        <v>148</v>
      </c>
      <c r="D56" s="9" t="s">
        <v>41</v>
      </c>
      <c r="E56" s="9" t="s">
        <v>19</v>
      </c>
      <c r="F56" s="10" t="n">
        <v>40</v>
      </c>
      <c r="G56" s="10" t="n">
        <v>50</v>
      </c>
      <c r="H56" s="11" t="n">
        <v>46325.9368055556</v>
      </c>
      <c r="I56" s="12" t="n">
        <v>44462</v>
      </c>
      <c r="J56" s="13" t="n">
        <f aca="false">ROUND(($B$59-I56)/365.25,1)</f>
        <v>5.1</v>
      </c>
      <c r="K56" s="10" t="n">
        <v>412</v>
      </c>
      <c r="L56" s="9" t="n">
        <v>0</v>
      </c>
      <c r="M56" s="9" t="n">
        <v>0</v>
      </c>
      <c r="N56" s="9" t="s">
        <v>149</v>
      </c>
    </row>
    <row r="57" customFormat="false" ht="15" hidden="false" customHeight="false" outlineLevel="0" collapsed="false">
      <c r="E57" s="14" t="s">
        <v>150</v>
      </c>
      <c r="F57" s="15" t="n">
        <f aca="false">SUM(F5:F56)</f>
        <v>1586</v>
      </c>
    </row>
    <row r="59" customFormat="false" ht="15" hidden="false" customHeight="false" outlineLevel="0" collapsed="false">
      <c r="A59" s="14" t="s">
        <v>151</v>
      </c>
      <c r="B59" s="16" t="n">
        <v>46325</v>
      </c>
    </row>
    <row r="60" customFormat="false" ht="15" hidden="false" customHeight="false" outlineLevel="0" collapsed="false">
      <c r="A60" s="17" t="s">
        <v>152</v>
      </c>
    </row>
    <row r="61" customFormat="false" ht="15" hidden="false" customHeight="false" outlineLevel="0" collapsed="false">
      <c r="A61" s="17" t="s">
        <v>153</v>
      </c>
    </row>
    <row r="62" customFormat="false" ht="15" hidden="false" customHeight="false" outlineLevel="0" collapsed="false">
      <c r="A62" s="17" t="s">
        <v>154</v>
      </c>
    </row>
    <row r="63" customFormat="false" ht="15" hidden="false" customHeight="false" outlineLevel="0" collapsed="false">
      <c r="A63" s="17" t="s">
        <v>155</v>
      </c>
    </row>
  </sheetData>
  <autoFilter ref="A4:N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2026-10-30T07:56:08Z</dcterms:created>
  <dc:creator>openpyxl</dc:creator>
  <dc:description/>
  <dc:language>en-US</dc:language>
  <cp:lastModifiedBy/>
  <dcterms:modified xsi:type="dcterms:W3CDTF">2026-10-30T07:56:08Z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