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Prijsvoorstel" sheetId="2" state="visible" r:id="rId4"/>
  </sheets>
  <definedNames>
    <definedName function="false" hidden="true" localSheetId="1" name="_xlnm._FilterDatabase" vbProcedure="false">Prijsvoorstel!$A$1:$N$353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<sst xmlns="http://schemas.openxmlformats.org/spreadsheetml/2006/main" count="1481" uniqueCount="771">
  <si>
    <t xml:space="preserve">Prijsvoorstel — alles onder $50 omhoog</t>
  </si>
  <si>
    <t xml:space="preserve">Bron: products_export_1.csv · 879 producten in de store · 352 producten (12.118 varianten) staan nu onder $50</t>
  </si>
  <si>
    <t xml:space="preserve">Producten in dit voorstel</t>
  </si>
  <si>
    <t xml:space="preserve">Waarvan geen stijging nodig</t>
  </si>
  <si>
    <t xml:space="preserve">Laagste prijs nu</t>
  </si>
  <si>
    <t xml:space="preserve">Laagste prijs na aanpassing</t>
  </si>
  <si>
    <t xml:space="preserve">Gemiddelde stijging</t>
  </si>
  <si>
    <t xml:space="preserve">Gemiddelde stijging in %</t>
  </si>
  <si>
    <t xml:space="preserve">Korting was gemiddeld</t>
  </si>
  <si>
    <t xml:space="preserve">Korting blijft gemiddeld</t>
  </si>
  <si>
    <t xml:space="preserve">Nieuwe prijspunten</t>
  </si>
  <si>
    <t xml:space="preserve">Prijsgroep</t>
  </si>
  <si>
    <t xml:space="preserve">Nieuwe prijs</t>
  </si>
  <si>
    <t xml:space="preserve">Nieuwe compare</t>
  </si>
  <si>
    <t xml:space="preserve">Producten</t>
  </si>
  <si>
    <t xml:space="preserve">basis</t>
  </si>
  <si>
    <t xml:space="preserve">midden</t>
  </si>
  <si>
    <t xml:space="preserve">premium</t>
  </si>
  <si>
    <t xml:space="preserve">Totaal</t>
  </si>
  <si>
    <t xml:space="preserve">Per categorie</t>
  </si>
  <si>
    <t xml:space="preserve">Categorie</t>
  </si>
  <si>
    <t xml:space="preserve">Mediaan nu</t>
  </si>
  <si>
    <t xml:space="preserve">Mediaan nieuw</t>
  </si>
  <si>
    <t xml:space="preserve">blouses</t>
  </si>
  <si>
    <t xml:space="preserve">boots</t>
  </si>
  <si>
    <t xml:space="preserve">casualdress</t>
  </si>
  <si>
    <t xml:space="preserve">formaldress</t>
  </si>
  <si>
    <t xml:space="preserve">graduation</t>
  </si>
  <si>
    <t xml:space="preserve">hoodies</t>
  </si>
  <si>
    <t xml:space="preserve">jackets</t>
  </si>
  <si>
    <t xml:space="preserve">jeans</t>
  </si>
  <si>
    <t xml:space="preserve">leggings</t>
  </si>
  <si>
    <t xml:space="preserve">menssandals</t>
  </si>
  <si>
    <t xml:space="preserve">mensshoes</t>
  </si>
  <si>
    <t xml:space="preserve">mensshorts</t>
  </si>
  <si>
    <t xml:space="preserve">menssweaters</t>
  </si>
  <si>
    <t xml:space="preserve">othertops</t>
  </si>
  <si>
    <t xml:space="preserve">sandals</t>
  </si>
  <si>
    <t xml:space="preserve">shoes</t>
  </si>
  <si>
    <t xml:space="preserve">shorts</t>
  </si>
  <si>
    <t xml:space="preserve">skirts</t>
  </si>
  <si>
    <t xml:space="preserve">sweaters</t>
  </si>
  <si>
    <t xml:space="preserve">swimwear</t>
  </si>
  <si>
    <t xml:space="preserve">tanktops</t>
  </si>
  <si>
    <t xml:space="preserve">trousers</t>
  </si>
  <si>
    <t xml:space="preserve">weddingguest</t>
  </si>
  <si>
    <t xml:space="preserve">Methode</t>
  </si>
  <si>
    <t xml:space="preserve">Basis $49,95 — tops, tanktops, blouses, rokken, shorts, leggings, swimwear, heren shorts.</t>
  </si>
  <si>
    <t xml:space="preserve">Midden $59,95 — jurken (ook shirt dresses), broeken, jeans, hoodies en sweatshirts, sandalen, schoenen, graduation.</t>
  </si>
  <si>
    <t xml:space="preserve">Premium $69,95 — wedding guest en formal dresses, cocktail, jassen en blazers, boots, sweaters, heren schoenen en loafers.</t>
  </si>
  <si>
    <t xml:space="preserve">Kolom Prijsgroep laat zien in welke groep een product valt; de groep komt van de tag, met de titel als correctie (een shirt dress met tag blouses gaat naar midden).</t>
  </si>
  <si>
    <t xml:space="preserve">Alle nieuwe prijzen eindigen op 4,95 of 9,95 en gaan alleen omhoog, nooit omlaag.</t>
  </si>
  <si>
    <t xml:space="preserve">Compare-at schaalt mee met dezelfde verhouding als nu (vrijwel overal 2x), afgerond op een heel bedrag, dus het kortingspercentage blijft gelijk.</t>
  </si>
  <si>
    <t xml:space="preserve">Vier producten zijn geel gemarkeerd in het tabblad Prijsvoorstel: daar staat de compare-at nu fout of afwijkend in de export.</t>
  </si>
  <si>
    <t xml:space="preserve">Handle</t>
  </si>
  <si>
    <t xml:space="preserve">Titel</t>
  </si>
  <si>
    <t xml:space="preserve">Prijs nu</t>
  </si>
  <si>
    <t xml:space="preserve">Compare nu</t>
  </si>
  <si>
    <t xml:space="preserve">Korting nu</t>
  </si>
  <si>
    <t xml:space="preserve">Nieuwe korting</t>
  </si>
  <si>
    <t xml:space="preserve">Stijging $</t>
  </si>
  <si>
    <t xml:space="preserve">Stijging %</t>
  </si>
  <si>
    <t xml:space="preserve">Varianten</t>
  </si>
  <si>
    <t xml:space="preserve">Opmerking</t>
  </si>
  <si>
    <t xml:space="preserve">womens-blouse-boho-floral-print-button-front</t>
  </si>
  <si>
    <t xml:space="preserve">Women's Blouse | Boho Floral Print Button Front</t>
  </si>
  <si>
    <t xml:space="preserve">womens-linen-shirt-floral-button-front-long-sleeve-blouse</t>
  </si>
  <si>
    <t xml:space="preserve">Women's Linen Shirt | Floral Button Front Long Sleeve Blouse</t>
  </si>
  <si>
    <t xml:space="preserve">womens-linen-shirt-short-sleeve-button-down</t>
  </si>
  <si>
    <t xml:space="preserve">Women's Linen Shirt | Short Sleeve Button Down</t>
  </si>
  <si>
    <t xml:space="preserve">womens-shirt-long-sleeve-button-front</t>
  </si>
  <si>
    <t xml:space="preserve">Women's Shirt | Long Sleeve Button Front</t>
  </si>
  <si>
    <t xml:space="preserve">womens-blouse-floral-eyelet-short-sleeve-button-front</t>
  </si>
  <si>
    <t xml:space="preserve">Women's Blouse | Floral Eyelet Short Sleeve Button Front</t>
  </si>
  <si>
    <t xml:space="preserve">womens-shirt-zebra-print-long-sleeve-button-down</t>
  </si>
  <si>
    <t xml:space="preserve">Women's Shirt | Zebra Print Long Sleeve Button Down</t>
  </si>
  <si>
    <t xml:space="preserve">womens-blouse-button-front-long-sleeve</t>
  </si>
  <si>
    <t xml:space="preserve">Women's Blouse | Button Front Long Sleeve</t>
  </si>
  <si>
    <t xml:space="preserve">womens-blouse-floral-embroidered-sheer-sleeve-button-front</t>
  </si>
  <si>
    <t xml:space="preserve">Women's Blouse | Floral Embroidered Sheer Sleeve Button Front</t>
  </si>
  <si>
    <t xml:space="preserve">womens-blouse-floral-print-v-neck-short-sleeve</t>
  </si>
  <si>
    <t xml:space="preserve">Women's Blouse | Floral Print V-Neck Short Sleeve</t>
  </si>
  <si>
    <t xml:space="preserve">womens-blouse-long-sleeve-v-neck</t>
  </si>
  <si>
    <t xml:space="preserve">Women's Blouse | Long Sleeve V-Neck</t>
  </si>
  <si>
    <t xml:space="preserve">womens-blouse-polka-dot-color-block-v-neck-short-sleeve</t>
  </si>
  <si>
    <t xml:space="preserve">Women's Blouse | Polka Dot Color Block V-Neck Short Sleeve</t>
  </si>
  <si>
    <t xml:space="preserve">womens-blouse-summer-beach-cover-up-short-sleeve</t>
  </si>
  <si>
    <t xml:space="preserve">Women's Blouse | Summer Beach Cover Up Short Sleeve</t>
  </si>
  <si>
    <t xml:space="preserve">womens-blouse-waffle-knit-polo-short-sleeve</t>
  </si>
  <si>
    <t xml:space="preserve">Women's Blouse | Waffle Knit Polo Short Sleeve</t>
  </si>
  <si>
    <t xml:space="preserve">womens-linen-shirt-floral-print-long-sleeve</t>
  </si>
  <si>
    <t xml:space="preserve">Women's Linen Shirt | Floral Print Long Sleeve</t>
  </si>
  <si>
    <t xml:space="preserve">womens-linen-shirt-midi-button-front-short-sleeve</t>
  </si>
  <si>
    <t xml:space="preserve">Women's Linen shirt | Midi Button Front Short Sleeve</t>
  </si>
  <si>
    <t xml:space="preserve">womens-shirt-oversized-button-up-long-sleeve</t>
  </si>
  <si>
    <t xml:space="preserve">Women's Shirt | Oversized Button-Up Long Sleeve</t>
  </si>
  <si>
    <t xml:space="preserve">womens-shirt-striped-button-down-roll-tab-sleeve</t>
  </si>
  <si>
    <t xml:space="preserve">Women's Shirt | Striped Button Down Roll Tab Sleeve</t>
  </si>
  <si>
    <t xml:space="preserve">womens-leggings-fleece-lined-high-waisted</t>
  </si>
  <si>
    <t xml:space="preserve">Women's Leggings | Fleece Lined High Waisted</t>
  </si>
  <si>
    <t xml:space="preserve">womens-leggings-tummy-control-butt-lift</t>
  </si>
  <si>
    <t xml:space="preserve">Women's Leggings | Tummy Control Butt Lift</t>
  </si>
  <si>
    <t xml:space="preserve">womens-leggings-high-waist-black-faux-leather</t>
  </si>
  <si>
    <t xml:space="preserve">Women's Leggings | High Waist Black Faux Leather</t>
  </si>
  <si>
    <t xml:space="preserve">womens-leggings-high-waisted-ruched-halter-set</t>
  </si>
  <si>
    <t xml:space="preserve">Women's Leggings | High Waisted Ruched Halter Set</t>
  </si>
  <si>
    <t xml:space="preserve">womens-leggings-skinny-pu-leather-bowknot</t>
  </si>
  <si>
    <t xml:space="preserve">Women's Leggings | Skinny PU Leather Bowknot</t>
  </si>
  <si>
    <t xml:space="preserve">womens-leggings-stirrup-high-waist-black</t>
  </si>
  <si>
    <t xml:space="preserve">Women's Leggings | Stirrup High Waist Black</t>
  </si>
  <si>
    <t xml:space="preserve">Compare-at stond op 1,5x (33% korting) en blijft 1,5x</t>
  </si>
  <si>
    <t xml:space="preserve">womens-leggings-cargo-pocket-high-waist-biker</t>
  </si>
  <si>
    <t xml:space="preserve">Women's Leggings | Cargo Pocket High Waist Biker</t>
  </si>
  <si>
    <t xml:space="preserve">womens-leggings-cargo-pocket-high-waisted</t>
  </si>
  <si>
    <t xml:space="preserve">Women's Leggings | Cargo Pocket High Waisted</t>
  </si>
  <si>
    <t xml:space="preserve">womens-leggings-fleece-lined-thermal-winter</t>
  </si>
  <si>
    <t xml:space="preserve">Women's Leggings | Fleece Lined Thermal Winter</t>
  </si>
  <si>
    <t xml:space="preserve">womens-leggings-high-waist-zipper-shaping</t>
  </si>
  <si>
    <t xml:space="preserve">Women's Leggings | High Waist Zipper Shaping</t>
  </si>
  <si>
    <t xml:space="preserve">womens-leggings-winter-fleece-lined-high-waist</t>
  </si>
  <si>
    <t xml:space="preserve">Women's Leggings | Winter Fleece Lined High Waist</t>
  </si>
  <si>
    <t xml:space="preserve">mens-shorts-corduroy-elastic-waist-drawstring</t>
  </si>
  <si>
    <t xml:space="preserve">Men's Shorts | Corduroy Elastic Waist Drawstring</t>
  </si>
  <si>
    <t xml:space="preserve">mens-shorts-fit-drawstring-corduroy</t>
  </si>
  <si>
    <t xml:space="preserve">Men's Shorts | Fit Drawstring Corduroy</t>
  </si>
  <si>
    <t xml:space="preserve">mens-shorts-fit-drawstring</t>
  </si>
  <si>
    <t xml:space="preserve">Men's Shorts | Fit Drawstring</t>
  </si>
  <si>
    <t xml:space="preserve">mens-shorts-floral-print-drawstring</t>
  </si>
  <si>
    <t xml:space="preserve">Men's Shorts | Floral Print Drawstring</t>
  </si>
  <si>
    <t xml:space="preserve">womens-tunic-top-long-sleeve-patchwork-ribbed-cuffs</t>
  </si>
  <si>
    <t xml:space="preserve">Women's Tunic Top | Long Sleeve Patchwork Ribbed Cuffs</t>
  </si>
  <si>
    <t xml:space="preserve">womens-tunic-blouse-split-v-neck-short-sleeve-side-slit</t>
  </si>
  <si>
    <t xml:space="preserve">Women's Tunic Blouse | Split V-Neck Short Sleeve Side Slit</t>
  </si>
  <si>
    <t xml:space="preserve">womens-tunic-top-v-neck-wrap-denim-short-sleeve</t>
  </si>
  <si>
    <t xml:space="preserve">Women's Tunic Top | V-Neck Wrap Denim Short Sleeve</t>
  </si>
  <si>
    <t xml:space="preserve">womens-tunic-long-sleeve-crewneck-pockets</t>
  </si>
  <si>
    <t xml:space="preserve">Women's Tunic | Long Sleeve Crewneck Pockets</t>
  </si>
  <si>
    <t xml:space="preserve">womens-shorts-high-waist-belted-pleated</t>
  </si>
  <si>
    <t xml:space="preserve">Women's Shorts | High Waist Belted Pleated</t>
  </si>
  <si>
    <t xml:space="preserve">womens-shorts-elastic-waist-pockets</t>
  </si>
  <si>
    <t xml:space="preserve">Women's Shorts | Elastic Waist Pockets</t>
  </si>
  <si>
    <t xml:space="preserve">womens-shorts-drawstring-pockets-rolled-cuff</t>
  </si>
  <si>
    <t xml:space="preserve">Women's Shorts | Drawstring Pockets Rolled Cuff</t>
  </si>
  <si>
    <t xml:space="preserve">womens-shorts-wide-leg-elastic-waist</t>
  </si>
  <si>
    <t xml:space="preserve">Women's Shorts | Wide Leg Elastic Waist</t>
  </si>
  <si>
    <t xml:space="preserve">womens-shorts-high-waisted-leather-biker</t>
  </si>
  <si>
    <t xml:space="preserve">Women's Shorts | High-Waisted Leather Biker</t>
  </si>
  <si>
    <t xml:space="preserve">womens-shorts-cargo-drawstring-elastic-waist</t>
  </si>
  <si>
    <t xml:space="preserve">Women's Shorts | Cargo Drawstring Elastic Waist</t>
  </si>
  <si>
    <t xml:space="preserve">womens-shorts-denim-rolled-hem-distressed</t>
  </si>
  <si>
    <t xml:space="preserve">Women's Shorts | Denim Rolled Hem Distressed</t>
  </si>
  <si>
    <t xml:space="preserve">womens-shorts-high-waisted-faux-leather-pleated</t>
  </si>
  <si>
    <t xml:space="preserve">Women's Shorts | High Waisted Faux Leather Pleated</t>
  </si>
  <si>
    <t xml:space="preserve">womens-shorts-set-high-waisted-v-neck-bikini-wrap-front</t>
  </si>
  <si>
    <t xml:space="preserve">Women's Shorts Set | High-Waisted V-Neck Bikini Wrap Front</t>
  </si>
  <si>
    <t xml:space="preserve">womens-shorts-tie-belt-high-waist-paperbag</t>
  </si>
  <si>
    <t xml:space="preserve">Women's Shorts | Tie Belt High Waist Paperbag</t>
  </si>
  <si>
    <t xml:space="preserve">womens-shorts-paperbag-waist-tie-front-linen-blend</t>
  </si>
  <si>
    <t xml:space="preserve">Women's Shorts | Paperbag Waist Tie Front Linen Blend</t>
  </si>
  <si>
    <t xml:space="preserve">womens-shorts-striped-elastic-waistband</t>
  </si>
  <si>
    <t xml:space="preserve">Women's Shorts | Striped Elastic Waistband</t>
  </si>
  <si>
    <t xml:space="preserve">womens-shorts-high-waist-fitness-seamless</t>
  </si>
  <si>
    <t xml:space="preserve">Women's Shorts | High Waist Fitness Seamless</t>
  </si>
  <si>
    <t xml:space="preserve">womens-shorts-elastic-waist-drawstring</t>
  </si>
  <si>
    <t xml:space="preserve">Women's Shorts | Elastic Waist Drawstring</t>
  </si>
  <si>
    <t xml:space="preserve">womens-shorts-asymmetric-button-detail-high-waisted</t>
  </si>
  <si>
    <t xml:space="preserve">Women's Shorts | Asymmetric Button Detail High Waisted</t>
  </si>
  <si>
    <t xml:space="preserve">womens-shorts-asymmetrical-denim-distressed</t>
  </si>
  <si>
    <t xml:space="preserve">Women's Shorts | Asymmetrical Denim Distressed</t>
  </si>
  <si>
    <t xml:space="preserve">womens-shorts-black-gold-chevron-drawstring</t>
  </si>
  <si>
    <t xml:space="preserve">Women's Shorts | Black Gold Chevron Drawstring</t>
  </si>
  <si>
    <t xml:space="preserve">womens-shorts-distressed-denim-frayed-hem</t>
  </si>
  <si>
    <t xml:space="preserve">Women's Shorts | Distressed Denim Frayed Hem</t>
  </si>
  <si>
    <t xml:space="preserve">womens-shorts-double-button-pleated-wide-leg</t>
  </si>
  <si>
    <t xml:space="preserve">Women's Shorts | Double Button Pleated Wide Leg</t>
  </si>
  <si>
    <t xml:space="preserve">womens-shorts-elastic-waist-frayed-hem-denim</t>
  </si>
  <si>
    <t xml:space="preserve">Women's Shorts | Elastic Waist Frayed Hem Denim</t>
  </si>
  <si>
    <t xml:space="preserve">womens-shorts-elasticated-waist-drawstring-frayed-hem</t>
  </si>
  <si>
    <t xml:space="preserve">Women's Shorts | Elasticated Waist Drawstring Frayed Hem</t>
  </si>
  <si>
    <t xml:space="preserve">womens-shorts-high-waist-wide-leg-pleated</t>
  </si>
  <si>
    <t xml:space="preserve">Women's Shorts | High Waist Wide Leg Pleated</t>
  </si>
  <si>
    <t xml:space="preserve">womens-shorts-high-waist-tummy-control-seamless-fitness</t>
  </si>
  <si>
    <t xml:space="preserve">Women's Shorts | High Waist Tummy Control Seamless Fitness</t>
  </si>
  <si>
    <t xml:space="preserve">FOUT in export: compare-at ($36) lag onder de prijs; voorstel 2x</t>
  </si>
  <si>
    <t xml:space="preserve">womens-skirt-midi-leopard-print-wrap-high-slit</t>
  </si>
  <si>
    <t xml:space="preserve">Women's Skirt | Midi Leopard Print Wrap High Slit</t>
  </si>
  <si>
    <t xml:space="preserve">womens-skirt-maxi-boho-print-tie-waist-tiered</t>
  </si>
  <si>
    <t xml:space="preserve">Women's Skirt | Maxi Boho Print Tie Waist Tiered</t>
  </si>
  <si>
    <t xml:space="preserve">womens-skirt-mini-deep-v-neck-halter-black</t>
  </si>
  <si>
    <t xml:space="preserve">Women's Skirt | Mini Deep V-Neck Halter Black</t>
  </si>
  <si>
    <t xml:space="preserve">womens-tiered-skirt-maxi-wrap-v-neck-flutter-sleeve</t>
  </si>
  <si>
    <t xml:space="preserve">Women's Tiered Skirt | Maxi Wrap V-Neck Flutter Sleeve</t>
  </si>
  <si>
    <t xml:space="preserve">womens-skirt-midi-spaghetti-strap-fit-and-flare</t>
  </si>
  <si>
    <t xml:space="preserve">Women's Skirt | Midi Spaghetti Strap Fit and Flare</t>
  </si>
  <si>
    <t xml:space="preserve">womens-skirt-mini-tiered-ruffle-print</t>
  </si>
  <si>
    <t xml:space="preserve">Women's Skirt | Mini Tiered Ruffle Print</t>
  </si>
  <si>
    <t xml:space="preserve">womens-maxi-skirt-denim-button-front-a-line</t>
  </si>
  <si>
    <t xml:space="preserve">Women's Maxi Skirt | Denim Button Front A-Line</t>
  </si>
  <si>
    <t xml:space="preserve">womens-maxi-skirt-ruched-bodice-square-neck</t>
  </si>
  <si>
    <t xml:space="preserve">Women's Maxi Skirt | Ruched Bodice Square Neck</t>
  </si>
  <si>
    <t xml:space="preserve">womens-skirt-midi-square-neck-sleeveless</t>
  </si>
  <si>
    <t xml:space="preserve">Women's Skirt | Midi Square Neck Sleeveless</t>
  </si>
  <si>
    <t xml:space="preserve">womens-skirt-midi-v-neck-empire-waist-long-sleeve</t>
  </si>
  <si>
    <t xml:space="preserve">Women's Skirt | Midi V-Neck Empire Waist Long Sleeve</t>
  </si>
  <si>
    <t xml:space="preserve">womens-skirt-mini-ruched-flared-hem-sleeveless</t>
  </si>
  <si>
    <t xml:space="preserve">Women's Skirt | Mini Ruched Flared Hem Sleeveless</t>
  </si>
  <si>
    <t xml:space="preserve">womens-skirt-maxi-off-shoulder-tiered-ruffle-puff-sleeve</t>
  </si>
  <si>
    <t xml:space="preserve">Women's Skirt | Maxi Off-Shoulder Tiered Ruffle Puff Sleeve</t>
  </si>
  <si>
    <t xml:space="preserve">womens-skirt-maxi-smocked-tiered-ruffle-sleeve-gingham</t>
  </si>
  <si>
    <t xml:space="preserve">Women's Skirt | Maxi Smocked Tiered Ruffle Sleeve Gingham</t>
  </si>
  <si>
    <t xml:space="preserve">womens-skirt-midi-pencil-front-slit-leather</t>
  </si>
  <si>
    <t xml:space="preserve">Women's Skirt | Midi Pencil Front Slit Leather</t>
  </si>
  <si>
    <t xml:space="preserve">womens-denim-skirt-midi-front-split-raw-hem</t>
  </si>
  <si>
    <t xml:space="preserve">Women's Denim Skirt | Midi Front Split Raw Hem</t>
  </si>
  <si>
    <t xml:space="preserve">womens-one-piece-swimsuit-halter-neck-wrap-style</t>
  </si>
  <si>
    <t xml:space="preserve">Women's One Piece Swimsuit | Halter Neck Wrap Style</t>
  </si>
  <si>
    <t xml:space="preserve">womens-bathing-suit-halter-neck-plunging-v-neck</t>
  </si>
  <si>
    <t xml:space="preserve">Women's Bathing Suit | Halter Neck Plunging V-Neck</t>
  </si>
  <si>
    <t xml:space="preserve">womens-one-piece-swimsuit-ruched-square-neck-shirred-bodice</t>
  </si>
  <si>
    <t xml:space="preserve">Women's One-Piece Swimsuit | Ruched Square Neck Shirred Bodice</t>
  </si>
  <si>
    <t xml:space="preserve">womens-swimsuit-athletic-geometric-print-tankini-shorts</t>
  </si>
  <si>
    <t xml:space="preserve">Women's Swimsuit | Athletic Geometric Print Tankini Shorts</t>
  </si>
  <si>
    <t xml:space="preserve">womens-swimsuit-halter-neck-deep-v-neck-ruched-backless</t>
  </si>
  <si>
    <t xml:space="preserve">Women's Swimsuit | Halter Neck Deep V-Neck Ruched Backless</t>
  </si>
  <si>
    <t xml:space="preserve">womens-swimsuit-halter-neck-high-waisted</t>
  </si>
  <si>
    <t xml:space="preserve">Women's Swimsuit | Halter Neck High Waisted</t>
  </si>
  <si>
    <t xml:space="preserve">womens-swimsuit-high-waist-ruched-halter-neck-trim</t>
  </si>
  <si>
    <t xml:space="preserve">Women's Swimsuit | High Waist Ruched Halter Neck Trim</t>
  </si>
  <si>
    <t xml:space="preserve">womens-swimsuit-athletic-scoop-neck-racerback-one-piece</t>
  </si>
  <si>
    <t xml:space="preserve">Women's Swimsuit | Athletic Scoop Neck Racerback One Piece</t>
  </si>
  <si>
    <t xml:space="preserve">womens-one-piece-swimsuit-scoop-neck-crisscross-back</t>
  </si>
  <si>
    <t xml:space="preserve">Women's One-Piece Swimsuit | Scoop Neck Crisscross Back</t>
  </si>
  <si>
    <t xml:space="preserve">womens-one-piece-swimsuit-tummy-control-wrap-shirred-v-neck</t>
  </si>
  <si>
    <t xml:space="preserve">Women's One-Piece Swimsuit | Tummy Control Wrap Shirred V-Neck</t>
  </si>
  <si>
    <t xml:space="preserve">womens-swimsuit-ruched-wrap-v-neck-one-piece</t>
  </si>
  <si>
    <t xml:space="preserve">Women's Swimsuit | Ruched Wrap V-Neck One-Piece</t>
  </si>
  <si>
    <t xml:space="preserve">womens-swimsuit-square-neck-shirred-tummy-control</t>
  </si>
  <si>
    <t xml:space="preserve">Women's Swimsuit | Square Neck Shirred Tummy Control</t>
  </si>
  <si>
    <t xml:space="preserve">womens-swimsuit-tankini-floral-print-adjustable-straps</t>
  </si>
  <si>
    <t xml:space="preserve">Women's Swimsuit | Tankini Floral Print Adjustable Straps</t>
  </si>
  <si>
    <t xml:space="preserve">womens-swimsuit-tankini-lace-overlay-adjustable-straps</t>
  </si>
  <si>
    <t xml:space="preserve">Women's Swimsuit | Tankini Lace Overlay Adjustable Straps</t>
  </si>
  <si>
    <t xml:space="preserve">womens-swimsuit-tankini-v-neck-crisscross-strap-printed-shorts</t>
  </si>
  <si>
    <t xml:space="preserve">Women's Swimsuit | Tankini V-Neck Crisscross Strap Printed Shorts</t>
  </si>
  <si>
    <t xml:space="preserve">womens-bathing-suit-ruched-bust-tankini-swimsuit</t>
  </si>
  <si>
    <t xml:space="preserve">Women's Bathing Suit | Ruched Bust Tankini Swimsuit</t>
  </si>
  <si>
    <t xml:space="preserve">womens-swimsuit-ruched-floral-print-adjustable-strap</t>
  </si>
  <si>
    <t xml:space="preserve">Women's Swimsuit | Ruched Floral Print Adjustable Strap</t>
  </si>
  <si>
    <t xml:space="preserve">womens-swimsuit-ruffle-lace-skirt-tankini</t>
  </si>
  <si>
    <t xml:space="preserve">Women's Swimsuit | Ruffle Lace Skirt Tankini</t>
  </si>
  <si>
    <t xml:space="preserve">womens-swimsuit-ruffled-v-neck-striped-one-piece</t>
  </si>
  <si>
    <t xml:space="preserve">Women's Swimsuit | Ruffled V-Neck Striped One Piece</t>
  </si>
  <si>
    <t xml:space="preserve">womens-swimsuit-scoop-neck-printed-athletic</t>
  </si>
  <si>
    <t xml:space="preserve">Women's Swimsuit | Scoop Neck Printed Athletic</t>
  </si>
  <si>
    <t xml:space="preserve">womens-swimsuit-v-neck-front-knot-tie-dye</t>
  </si>
  <si>
    <t xml:space="preserve">Women's Swimsuit | V-Neck Front Knot Tie Dye</t>
  </si>
  <si>
    <t xml:space="preserve">womens-swimsuit-v-neck-ruched-spaghetti-strap</t>
  </si>
  <si>
    <t xml:space="preserve">Women's Swimsuit | V-Neck Ruched Spaghetti Strap</t>
  </si>
  <si>
    <t xml:space="preserve">womens-swimsuit-wrap-ruched-side-tie</t>
  </si>
  <si>
    <t xml:space="preserve">Women's Swimsuit | Wrap Ruched Side Tie</t>
  </si>
  <si>
    <t xml:space="preserve">womens-swimsuit-tankini-spaghetti-strap-pleated-tunic-style</t>
  </si>
  <si>
    <t xml:space="preserve">Women's Swimsuit | Tankini Spaghetti Strap Pleated Tunic Style</t>
  </si>
  <si>
    <t xml:space="preserve">womens-swimsuit-contrast-trim-one-piece</t>
  </si>
  <si>
    <t xml:space="preserve">Women's Swimsuit | Contrast Trim One Piece</t>
  </si>
  <si>
    <t xml:space="preserve">womens-halter-top-deep-v-neck-ribbed</t>
  </si>
  <si>
    <t xml:space="preserve">Women's Halter Top | Deep V-Neck Ribbed</t>
  </si>
  <si>
    <t xml:space="preserve">womens-halter-top-lace-trim-asymmetric-sleeveless-black</t>
  </si>
  <si>
    <t xml:space="preserve">Women's Halter Top | Lace Trim Asymmetric Sleeveless Black</t>
  </si>
  <si>
    <t xml:space="preserve">womens-halter-top-plunging-neck-back-tie-sleeveless</t>
  </si>
  <si>
    <t xml:space="preserve">Women's Halter Top | Plunging Neck Back Tie Sleeveless</t>
  </si>
  <si>
    <t xml:space="preserve">womens-halter-top-cut-out-bow-sleeveless</t>
  </si>
  <si>
    <t xml:space="preserve">Women's Halter Top | Cut Out Bow Sleeveless</t>
  </si>
  <si>
    <t xml:space="preserve">womens-halter-top-sleeveless-cowl-neck-plunge-satin</t>
  </si>
  <si>
    <t xml:space="preserve">Women's Halter Top | Sleeveless Cowl Neck Plunge Satin</t>
  </si>
  <si>
    <t xml:space="preserve">womens-tank-top-geometric-print-ring-detail-sleeveless</t>
  </si>
  <si>
    <t xml:space="preserve">Women's Tank Top | Geometric Print Ring Detail Sleeveless</t>
  </si>
  <si>
    <t xml:space="preserve">womens-tank-top-halter-neck-textured-knit</t>
  </si>
  <si>
    <t xml:space="preserve">Women's Tank Top | Halter Neck Textured Knit</t>
  </si>
  <si>
    <t xml:space="preserve">womens-tank-top-ring-detail-strappy-neck</t>
  </si>
  <si>
    <t xml:space="preserve">Women's Tank Top | Ring Detail Strappy Neck</t>
  </si>
  <si>
    <t xml:space="preserve">womens-tank-top-scallop-trim-v-neck-spaghetti-strap</t>
  </si>
  <si>
    <t xml:space="preserve">Women's Tank Top | Scallop Trim V-Neck Spaghetti Strap</t>
  </si>
  <si>
    <t xml:space="preserve">womens-tank-top-sequin-v-neck-sleeveless</t>
  </si>
  <si>
    <t xml:space="preserve">Women's Tank Top | Sequin V-Neck Sleeveless</t>
  </si>
  <si>
    <t xml:space="preserve">womens-tank-top-v-neck-sleeveless-wrap-crossover</t>
  </si>
  <si>
    <t xml:space="preserve">Women's Tank Top | V-Neck Sleeveless Wrap Crossover</t>
  </si>
  <si>
    <t xml:space="preserve">womens-halter-top-crisscross-strap-contrast-trim</t>
  </si>
  <si>
    <t xml:space="preserve">Women's Halter Top | Crisscross Strap Contrast Trim</t>
  </si>
  <si>
    <t xml:space="preserve">womens-halter-top-crossover-fringe-eyelet-white</t>
  </si>
  <si>
    <t xml:space="preserve">Women's Halter Top | Crossover Fringe Eyelet White</t>
  </si>
  <si>
    <t xml:space="preserve">womens-halter-top-eyelet-sleeveless-shirred</t>
  </si>
  <si>
    <t xml:space="preserve">Women's Halter Top | Eyelet Sleeveless Shirred</t>
  </si>
  <si>
    <t xml:space="preserve">womens-halter-top-retro-print-halter-neck-sleeveless</t>
  </si>
  <si>
    <t xml:space="preserve">Women's Halter Top | Retro Print Halter Neck Sleeveless</t>
  </si>
  <si>
    <t xml:space="preserve">womens-tank-top-lace-v-neck-spaghetti-strap</t>
  </si>
  <si>
    <t xml:space="preserve">Women's Tank Top | Lace V-Neck Spaghetti Strap</t>
  </si>
  <si>
    <t xml:space="preserve">womens-tank-top-ribbed-texture-built-in-bra-racerback</t>
  </si>
  <si>
    <t xml:space="preserve">Women's Tank Top | Ribbed Texture Built-in Bra Racerback</t>
  </si>
  <si>
    <t xml:space="preserve">womens-tank-top-sleeveless-collar-sleeveless</t>
  </si>
  <si>
    <t xml:space="preserve">Women's Tank Top | Sleeveless Collar Sleeveless</t>
  </si>
  <si>
    <t xml:space="preserve">womens-tank-top-v-neck-button-front-sleeveless-tunic</t>
  </si>
  <si>
    <t xml:space="preserve">Women's Tank Top | V-Neck Button Front Sleeveless Tunic</t>
  </si>
  <si>
    <t xml:space="preserve">womens-tank-top-v-neck-sleeveless-loose-fit</t>
  </si>
  <si>
    <t xml:space="preserve">Women's Tank Top | V-Neck Sleeveless Loose Fit</t>
  </si>
  <si>
    <t xml:space="preserve">womens-bikini-halter-top-high-waist-wrap-set</t>
  </si>
  <si>
    <t xml:space="preserve">Women's Bikini | Halter Top High Waist Wrap Set</t>
  </si>
  <si>
    <t xml:space="preserve">womens-halter-top-bikini-set-striped-high-waist</t>
  </si>
  <si>
    <t xml:space="preserve">Women's Halter Top Bikini Set | Striped High Waist</t>
  </si>
  <si>
    <t xml:space="preserve">womens-halter-top-blue-stripe-button-front-tie</t>
  </si>
  <si>
    <t xml:space="preserve">Women's Halter Top | Blue Stripe Button Front Tie</t>
  </si>
  <si>
    <t xml:space="preserve">womens-halter-top-ruffled-tiered-sleeveless</t>
  </si>
  <si>
    <t xml:space="preserve">Women's Halter Top | Ruffled Tiered Sleeveless</t>
  </si>
  <si>
    <t xml:space="preserve">womens-halter-top-sleeveless-wrap-tie-waist</t>
  </si>
  <si>
    <t xml:space="preserve">Women's Halter Top | Sleeveless Wrap Tie Waist</t>
  </si>
  <si>
    <t xml:space="preserve">womens-tank-top-sleeveless-v-neck-leaf-print-button-front</t>
  </si>
  <si>
    <t xml:space="preserve">Women's Tank Top | Sleeveless V-Neck Leaf Print Button Front</t>
  </si>
  <si>
    <t xml:space="preserve">womens-tank-top-striped-v-neck-button-front</t>
  </si>
  <si>
    <t xml:space="preserve">Women's Tank Top | Striped V-Neck Button Front</t>
  </si>
  <si>
    <t xml:space="preserve">womens-tank-top-multicolor-striped-button-front-v-neck</t>
  </si>
  <si>
    <t xml:space="preserve">Women's Tank Top | Multicolor Striped Button Front V-Neck</t>
  </si>
  <si>
    <t xml:space="preserve">womens-linen-shirt-dress-midi-button-down-long-sleeve</t>
  </si>
  <si>
    <t xml:space="preserve">Women's Linen Shirt Dress | Midi Button Down Long Sleeve</t>
  </si>
  <si>
    <t xml:space="preserve">womens-sweatshirt-floral-print-hooded-pullover</t>
  </si>
  <si>
    <t xml:space="preserve">Women's Sweatshirt | Floral Print Hooded Pullover</t>
  </si>
  <si>
    <t xml:space="preserve">womens-sweatshirt-mock-neck-oversized-graphic</t>
  </si>
  <si>
    <t xml:space="preserve">Women's Sweatshirt | Mock Neck Oversized Graphic</t>
  </si>
  <si>
    <t xml:space="preserve">womens-shirt-dress-midi-button-down-collared-short-sleeve</t>
  </si>
  <si>
    <t xml:space="preserve">Women's Shirt Dress | Midi Button-Down Collared Short Sleeve</t>
  </si>
  <si>
    <t xml:space="preserve">womens-shirt-dress-midi-belted-button-front</t>
  </si>
  <si>
    <t xml:space="preserve">Women's Shirt Dress | Midi Belted Button Front</t>
  </si>
  <si>
    <t xml:space="preserve">womens-sweatshirt-zip-front-hooded-plush-fleece</t>
  </si>
  <si>
    <t xml:space="preserve">Women's Sweatshirt | Zip-Front Hooded Plush Fleece</t>
  </si>
  <si>
    <t xml:space="preserve">womens-linen-shirt-dress-midi-short-sleeve-collar-button-front</t>
  </si>
  <si>
    <t xml:space="preserve">Women's Linen Shirt Dress | Midi Short Sleeve Collar Button Front</t>
  </si>
  <si>
    <t xml:space="preserve">womens-shirt-dress-midi-button-front-a-line</t>
  </si>
  <si>
    <t xml:space="preserve">Women's Shirt Dress | Midi Button Front A-Line</t>
  </si>
  <si>
    <t xml:space="preserve">womens-shirt-dress-midi-button-front-tie-waist</t>
  </si>
  <si>
    <t xml:space="preserve">Women's Shirt Dress | Midi Button Front Tie Waist</t>
  </si>
  <si>
    <t xml:space="preserve">womens-plus-size-dress-midi-linen-button-front</t>
  </si>
  <si>
    <t xml:space="preserve">Women's Plus Size Dress | Midi Linen Button Front</t>
  </si>
  <si>
    <t xml:space="preserve">womens-red-dress-mini-strapless-ruffle-hem-summer-party</t>
  </si>
  <si>
    <t xml:space="preserve">Women's Red Dress | Mini Strapless Ruffle Hem Summer Party</t>
  </si>
  <si>
    <t xml:space="preserve">womens-sundress-mini-spaghetti-strap-sun-print</t>
  </si>
  <si>
    <t xml:space="preserve">Women's Sundress | Mini Spaghetti Strap Sun Print</t>
  </si>
  <si>
    <t xml:space="preserve">womens-polka-dot-dress-mini-halter-open-back-spaghetti-strap</t>
  </si>
  <si>
    <t xml:space="preserve">Women's Polka Dot Dress | Mini Halter Open Back Spaghetti Strap</t>
  </si>
  <si>
    <t xml:space="preserve">womens-black-dress-mini-halterneck-polka-dot</t>
  </si>
  <si>
    <t xml:space="preserve">Women's Black Dress | Mini Halterneck Polka Dot</t>
  </si>
  <si>
    <t xml:space="preserve">womens-dress-maxi-sleeveless-ruched-bodice-spaghetti-strap</t>
  </si>
  <si>
    <t xml:space="preserve">Women's Dress | Maxi Sleeveless Ruched Bodice Spaghetti Strap</t>
  </si>
  <si>
    <t xml:space="preserve">womens-midi-dress-smocked-waist-balloon-sleeve</t>
  </si>
  <si>
    <t xml:space="preserve">Women's Midi Dress | Smocked Waist Balloon Sleeve</t>
  </si>
  <si>
    <t xml:space="preserve">womens-plus-size-dress-midi-floral-tankini-swim-skirt-red</t>
  </si>
  <si>
    <t xml:space="preserve">Women's Plus Size Dress | Midi Floral Tankini Swim Skirt Red</t>
  </si>
  <si>
    <t xml:space="preserve">womens-sundress-midi-corset-spaghetti-strap</t>
  </si>
  <si>
    <t xml:space="preserve">Women's Sundress | Midi Corset Spaghetti Strap</t>
  </si>
  <si>
    <t xml:space="preserve">womens-sundress-midi-print-ruffle-sleeve</t>
  </si>
  <si>
    <t xml:space="preserve">Women's Sundress | Midi Print Ruffle Sleeve</t>
  </si>
  <si>
    <t xml:space="preserve">womens-sweater-dress-midi-mock-neck-long-sleeve-side-slit-belted</t>
  </si>
  <si>
    <t xml:space="preserve">Women's Sweater Dress | Midi Mock Neck Long Sleeve Side Slit Belted</t>
  </si>
  <si>
    <t xml:space="preserve">womens-denim-dress-maxi-v-neck-button-front-ruched-short-sleeve</t>
  </si>
  <si>
    <t xml:space="preserve">Women's Denim Dress | Maxi V-Neck Button Front Ruched Short Sleeve</t>
  </si>
  <si>
    <t xml:space="preserve">womens-plus-size-dress-maxi-v-neck-pockets-bishop-sleeve</t>
  </si>
  <si>
    <t xml:space="preserve">Women's Plus Size Dress | Maxi V-Neck Pockets Bishop Sleeve</t>
  </si>
  <si>
    <t xml:space="preserve">womens-black-dress-midi-lace-sleeve-wrap</t>
  </si>
  <si>
    <t xml:space="preserve">Women's Black Dress | Midi Lace Sleeve Wrap</t>
  </si>
  <si>
    <t xml:space="preserve">womens-black-dress-mini-strapless-bodycon-leather</t>
  </si>
  <si>
    <t xml:space="preserve">Women's Black Dress | Mini Strapless Bodycon Leather</t>
  </si>
  <si>
    <t xml:space="preserve">womens-jumpsuit-wide-leg-strappy-pockets</t>
  </si>
  <si>
    <t xml:space="preserve">Women's Jumpsuit | Wide Leg Strappy Pockets</t>
  </si>
  <si>
    <t xml:space="preserve">womens-long-sleeve-dress-midi-printed-wrap-v-neck</t>
  </si>
  <si>
    <t xml:space="preserve">Women's Long Sleeve Dress | Midi Printed Wrap V-Neck</t>
  </si>
  <si>
    <t xml:space="preserve">womens-maxi-dress-boho-paisley-print-v-neck-short-sleeve</t>
  </si>
  <si>
    <t xml:space="preserve">Women's Maxi Dress | Boho Paisley Print V-Neck Short Sleeve</t>
  </si>
  <si>
    <t xml:space="preserve">womens-midi-dress-white-v-neck-short-sleeve-wrap-skirt</t>
  </si>
  <si>
    <t xml:space="preserve">Women's Midi Dress | White V-Neck Short Sleeve Wrap Skirt</t>
  </si>
  <si>
    <t xml:space="preserve">womens-pink-dress-maxi-pleated-floral-spaghetti-strap</t>
  </si>
  <si>
    <t xml:space="preserve">Women's Pink Dress | Maxi Pleated Floral Spaghetti Strap</t>
  </si>
  <si>
    <t xml:space="preserve">womens-shirt-dress-maxi-button-down-long-sleeve-side-slit</t>
  </si>
  <si>
    <t xml:space="preserve">Women's Shirt Dress | Maxi Button Down Long Sleeve Side Slit</t>
  </si>
  <si>
    <t xml:space="preserve">womens-sundress-maxi-floral-lace-trim</t>
  </si>
  <si>
    <t xml:space="preserve">Women's Sundress | Maxi Floral Lace Trim</t>
  </si>
  <si>
    <t xml:space="preserve">womens-sundress-maxi-floral-sleeveless-round-neck</t>
  </si>
  <si>
    <t xml:space="preserve">Women's Sundress | Maxi Floral Sleeveless Round Neck</t>
  </si>
  <si>
    <t xml:space="preserve">womens-sundress-midi-floral-v-neck-short-sleeve-wrap</t>
  </si>
  <si>
    <t xml:space="preserve">Women's Sundress | Midi Floral V-Neck Short Sleeve Wrap</t>
  </si>
  <si>
    <t xml:space="preserve">womens-sundress-midi-v-neck-short-sleeve</t>
  </si>
  <si>
    <t xml:space="preserve">Women's Sundress | Midi V-Neck Short Sleeve</t>
  </si>
  <si>
    <t xml:space="preserve">womens-sundress-mini-ruched-bodycon-sleeveless-tank</t>
  </si>
  <si>
    <t xml:space="preserve">Women's Sundress | Mini Ruched Bodycon Sleeveless Tank</t>
  </si>
  <si>
    <t xml:space="preserve">womens-sundress-short-sleeve-collared-button-front-pocket</t>
  </si>
  <si>
    <t xml:space="preserve">Women's Sundress | Short Sleeve Collared Button Front Pocket</t>
  </si>
  <si>
    <t xml:space="preserve">womens-white-dress-midi-wrap-v-neck-belted</t>
  </si>
  <si>
    <t xml:space="preserve">Women's White Dress | Midi Wrap V-Neck Belted</t>
  </si>
  <si>
    <t xml:space="preserve">womens-summer-dress-midi-floral-v-neck-short-sleeve</t>
  </si>
  <si>
    <t xml:space="preserve">Women's Summer Dress | Midi Floral V-Neck Short Sleeve</t>
  </si>
  <si>
    <t xml:space="preserve">womens-summer-dress-midi-wrap-v-neck-flutter-sleeve</t>
  </si>
  <si>
    <t xml:space="preserve">Women's Summer Dress | Midi Wrap V-Neck Flutter Sleeve</t>
  </si>
  <si>
    <t xml:space="preserve">womens-bodycon-dress-mini-long-sleeve-glitter</t>
  </si>
  <si>
    <t xml:space="preserve">Women's Bodycon Dress | Mini Long Sleeve Glitter</t>
  </si>
  <si>
    <t xml:space="preserve">womens-shirt-dress-maxi-button-front-tie-waist-draped</t>
  </si>
  <si>
    <t xml:space="preserve">Women's Shirt Dress | Maxi Button Front Tie Waist Draped</t>
  </si>
  <si>
    <t xml:space="preserve">womens-summer-dress-maxi-open-back-spaghetti-strap</t>
  </si>
  <si>
    <t xml:space="preserve">Women's Summer Dress | Maxi Open Back Spaghetti Strap</t>
  </si>
  <si>
    <t xml:space="preserve">womens-summer-dress-maxi-spaghetti-strap-printed</t>
  </si>
  <si>
    <t xml:space="preserve">Women's Summer Dress | Maxi Spaghetti Strap Printed</t>
  </si>
  <si>
    <t xml:space="preserve">womens-summer-dress-maxi-square-neck-spaghetti-strap-cutout</t>
  </si>
  <si>
    <t xml:space="preserve">Women's Summer Dress | Maxi Square Neck Spaghetti Strap Cutout</t>
  </si>
  <si>
    <t xml:space="preserve">womens-summer-dress-midi-square-neck-tie-strap-tiered</t>
  </si>
  <si>
    <t xml:space="preserve">Women's Summer Dress | Midi Square Neck Tie Strap Tiered</t>
  </si>
  <si>
    <t xml:space="preserve">womens-black-dress-midi-v-neck-button-front-floral</t>
  </si>
  <si>
    <t xml:space="preserve">Women's Black Dress | Midi V-Neck Button Front Floral</t>
  </si>
  <si>
    <t xml:space="preserve">womens-denim-dress-midi-short-sleeve-button-front-frayed-hem</t>
  </si>
  <si>
    <t xml:space="preserve">Women's Denim Dress | Midi Short Sleeve Button Front Frayed Hem</t>
  </si>
  <si>
    <t xml:space="preserve">womens-dress-maxi-floral-spaghetti-strap-ruffle</t>
  </si>
  <si>
    <t xml:space="preserve">Women's Dress | Maxi Floral Spaghetti Strap Ruffle</t>
  </si>
  <si>
    <t xml:space="preserve">womens-dress-maxi-ruffle-trim-side-slit-spaghetti-strap</t>
  </si>
  <si>
    <t xml:space="preserve">Women's Dress | Maxi Ruffle Trim Side Slit Spaghetti Strap</t>
  </si>
  <si>
    <t xml:space="preserve">womens-dress-midi-lace-puff-sleeve-high-neck</t>
  </si>
  <si>
    <t xml:space="preserve">Women's Dress | Midi Lace Puff Sleeve High Neck</t>
  </si>
  <si>
    <t xml:space="preserve">womens-dress-midi-long-sleeve-v-neck-twist-front-print</t>
  </si>
  <si>
    <t xml:space="preserve">Women's Dress | Midi Long Sleeve V-Neck Twist Front Print</t>
  </si>
  <si>
    <t xml:space="preserve">womens-midi-dress-long-sleeve-wrap-purple-swirl-print</t>
  </si>
  <si>
    <t xml:space="preserve">Women's Midi Dress | Long Sleeve Wrap Purple Swirl Print</t>
  </si>
  <si>
    <t xml:space="preserve">womens-midi-dress-wrap-v-neck-long-sleeve</t>
  </si>
  <si>
    <t xml:space="preserve">Women's Midi Dress | Wrap V-Neck Long Sleeve</t>
  </si>
  <si>
    <t xml:space="preserve">womens-plus-size-dress-maxi-puff-sleeve-floral-square-neck</t>
  </si>
  <si>
    <t xml:space="preserve">Women's Plus Size Dress | Maxi Puff Sleeve Floral Square Neck</t>
  </si>
  <si>
    <t xml:space="preserve">womens-plus-size-dress-midi-wrap-collar-long-sleeve</t>
  </si>
  <si>
    <t xml:space="preserve">Women's Plus Size Dress | Midi Wrap Collar Long Sleeve</t>
  </si>
  <si>
    <t xml:space="preserve">womens-polka-dot-dress-midi-v-neck-button-front-tie-sleeve</t>
  </si>
  <si>
    <t xml:space="preserve">Women's Polka Dot Dress | Midi V-Neck Button Front Tie Sleeve</t>
  </si>
  <si>
    <t xml:space="preserve">womens-red-dress-midi-floral-linen-sleeveless</t>
  </si>
  <si>
    <t xml:space="preserve">Women's Red Dress | Midi Floral Linen Sleeveless</t>
  </si>
  <si>
    <t xml:space="preserve">womens-summer-dress-maxi-ruched-floral-sleeveless</t>
  </si>
  <si>
    <t xml:space="preserve">Women's Summer Dress | Maxi Ruched Floral Sleeveless</t>
  </si>
  <si>
    <t xml:space="preserve">womens-white-dress-midi-floral-print-ruffle-sleeve-button-front</t>
  </si>
  <si>
    <t xml:space="preserve">Women's White Dress | Midi Floral Print Ruffle Sleeve Button Front</t>
  </si>
  <si>
    <t xml:space="preserve">womens-white-dress-midi-square-neck-elbow-sleeve</t>
  </si>
  <si>
    <t xml:space="preserve">Women's White Dress | Midi Square Neck Elbow Sleeve</t>
  </si>
  <si>
    <t xml:space="preserve">womens-grad-dress-maxi-sequin-spaghetti-strap-backless</t>
  </si>
  <si>
    <t xml:space="preserve">Women's Grad Dress | Maxi Sequin Spaghetti Strap Backless</t>
  </si>
  <si>
    <t xml:space="preserve">womens-grad-dress-midi-asymmetric-black-pleated</t>
  </si>
  <si>
    <t xml:space="preserve">Women's Grad Dress | Midi Asymmetric Black Pleated</t>
  </si>
  <si>
    <t xml:space="preserve">womens-grad-dress-midi-asymmetric-sequin-one-shoulder</t>
  </si>
  <si>
    <t xml:space="preserve">Women's Grad Dress | Midi Asymmetric Sequin One Shoulder</t>
  </si>
  <si>
    <t xml:space="preserve">womens-graduation-dress-mini-white-sheath</t>
  </si>
  <si>
    <t xml:space="preserve">Women's Graduation Dress | Mini White Sheath</t>
  </si>
  <si>
    <t xml:space="preserve">womens-grad-dress-maxi-tiered-ruffle-flowy</t>
  </si>
  <si>
    <t xml:space="preserve">Women's Grad Dress | Maxi Tiered Ruffle Flowy</t>
  </si>
  <si>
    <t xml:space="preserve">womens-hoodie-v-neck-long-sleeve-drawstring-pocket</t>
  </si>
  <si>
    <t xml:space="preserve">Women's Hoodie | V-Neck Long Sleeve Drawstring Pocket</t>
  </si>
  <si>
    <t xml:space="preserve">womens-hoodie-waffle-knit-drawstring-kangaroo-pocket</t>
  </si>
  <si>
    <t xml:space="preserve">Women's Hoodie | Waffle Knit Drawstring Kangaroo Pocket</t>
  </si>
  <si>
    <t xml:space="preserve">womens-crewneck-sweater-patchwork-knit-long-sleeve</t>
  </si>
  <si>
    <t xml:space="preserve">Women's Crewneck Sweater | Patchwork Knit Long Sleeve</t>
  </si>
  <si>
    <t xml:space="preserve">womens-hoodie-contrast-denim-long-sleeve-button-henley</t>
  </si>
  <si>
    <t xml:space="preserve">Women's Hoodie | Contrast Denim Long Sleeve Button Henley</t>
  </si>
  <si>
    <t xml:space="preserve">womens-hoodie-fleece-lined-pullover</t>
  </si>
  <si>
    <t xml:space="preserve">Women's Hoodie | Fleece Lined Pullover</t>
  </si>
  <si>
    <t xml:space="preserve">womens-crewneck-sweater-fair-isle-pattern-long-sleeve-knit</t>
  </si>
  <si>
    <t xml:space="preserve">Women's Crewneck Sweater | Fair Isle Pattern Long Sleeve Knit</t>
  </si>
  <si>
    <t xml:space="preserve">womens-crewneck-sweater-striped-long-sleeve</t>
  </si>
  <si>
    <t xml:space="preserve">Women's Crewneck Sweater | Striped Long Sleeve</t>
  </si>
  <si>
    <t xml:space="preserve">womens-crewneck-sweatshirt-varsity-graphic-oversized</t>
  </si>
  <si>
    <t xml:space="preserve">Women's Crewneck Sweatshirt | Varsity Graphic Oversized</t>
  </si>
  <si>
    <t xml:space="preserve">womens-hoodie-oversized-graphic-print</t>
  </si>
  <si>
    <t xml:space="preserve">Women's Hoodie | Oversized Graphic Print</t>
  </si>
  <si>
    <t xml:space="preserve">womens-crewneck-blouse-peter-pan-collar-puff-sleeve-embroidered</t>
  </si>
  <si>
    <t xml:space="preserve">Women's Crewneck Blouse | Peter Pan Collar Puff Sleeve Embroidered</t>
  </si>
  <si>
    <t xml:space="preserve">womens-crewneck-top-loose-fit-short-sleeve-scoop-neck</t>
  </si>
  <si>
    <t xml:space="preserve">Women's Crewneck Top | Loose Fit Short Sleeve Scoop Neck</t>
  </si>
  <si>
    <t xml:space="preserve">womens-hoodie-button-front-long-sleeve-lightweight</t>
  </si>
  <si>
    <t xml:space="preserve">Women's Hoodie | Button Front Long Sleeve Lightweight</t>
  </si>
  <si>
    <t xml:space="preserve">womens-hoodie-button-placket-long-sleeve-kangaroo-pocket</t>
  </si>
  <si>
    <t xml:space="preserve">Women's Hoodie | Button Placket Long Sleeve Kangaroo Pocket</t>
  </si>
  <si>
    <t xml:space="preserve">womens-hoodie-cropped-zip-front-dropped-shoulder</t>
  </si>
  <si>
    <t xml:space="preserve">Women's Hoodie | Cropped Zip Front Dropped Shoulder</t>
  </si>
  <si>
    <t xml:space="preserve">womens-hoodie-full-zip-front-pocket-ribbed-hem</t>
  </si>
  <si>
    <t xml:space="preserve">Women's Hoodie | Full Zip Front Pocket Ribbed Hem</t>
  </si>
  <si>
    <t xml:space="preserve">womens-hoodie-zip-front-long-sleeve-kangaroo-pocket</t>
  </si>
  <si>
    <t xml:space="preserve">Women's Hoodie | Zip Front Long Sleeve Kangaroo Pocket</t>
  </si>
  <si>
    <t xml:space="preserve">womens-jeans-straight-leg-embellished-denim</t>
  </si>
  <si>
    <t xml:space="preserve">Women's Jeans | Straight Leg Embellished Denim</t>
  </si>
  <si>
    <t xml:space="preserve">womens-jeans-slim-fit-sculpting-denim</t>
  </si>
  <si>
    <t xml:space="preserve">Women's Jeans | Slim Fit Sculpting Denim</t>
  </si>
  <si>
    <t xml:space="preserve">womens-jeans-high-waist-flared-floral-print</t>
  </si>
  <si>
    <t xml:space="preserve">Women's Jeans | High Waist Flared Floral Print</t>
  </si>
  <si>
    <t xml:space="preserve">womens-jeans-wide-leg-flared-denim</t>
  </si>
  <si>
    <t xml:space="preserve">Women's Jeans | Wide Leg Flared Denim</t>
  </si>
  <si>
    <t xml:space="preserve">womens-baggy-jeans-graffiti-print-wide-leg</t>
  </si>
  <si>
    <t xml:space="preserve">Women's Baggy Jeans | Graffiti Print Wide Leg</t>
  </si>
  <si>
    <t xml:space="preserve">womens-jeans-wide-leg-high-rise</t>
  </si>
  <si>
    <t xml:space="preserve">Women's Jeans | Wide Leg High Rise</t>
  </si>
  <si>
    <t xml:space="preserve">womens-jeans-high-rise-flared-denim</t>
  </si>
  <si>
    <t xml:space="preserve">Women's Jeans | High Rise Flared Denim</t>
  </si>
  <si>
    <t xml:space="preserve">womens-jeans-high-waist-flare-light-wash-frayed-hem</t>
  </si>
  <si>
    <t xml:space="preserve">Women's Jeans | High Waist Flare Light Wash Frayed Hem</t>
  </si>
  <si>
    <t xml:space="preserve">womens-jeans-high-waist-wide-leg-classic</t>
  </si>
  <si>
    <t xml:space="preserve">Women's Jeans | High Waist Wide Leg Classic</t>
  </si>
  <si>
    <t xml:space="preserve">womens-jeans-high-waisted-flared-floral-print-button-front</t>
  </si>
  <si>
    <t xml:space="preserve">Women's Jeans | High Waisted Flared Floral Print Button Front</t>
  </si>
  <si>
    <t xml:space="preserve">womens-jeans-high-waisted-wide-leg-pleated-fluid</t>
  </si>
  <si>
    <t xml:space="preserve">Women's Jeans | High Waisted Wide Leg Pleated Fluid</t>
  </si>
  <si>
    <t xml:space="preserve">womens-jeans-high-waisted-wide-leg-pull-on</t>
  </si>
  <si>
    <t xml:space="preserve">Women's Jeans | High Waisted Wide Leg Pull-On</t>
  </si>
  <si>
    <t xml:space="preserve">sandals-for-men-adjustable-strap-comfort</t>
  </si>
  <si>
    <t xml:space="preserve">Sandals For Men | Adjustable Strap Comfort</t>
  </si>
  <si>
    <t xml:space="preserve">womens-shirt-dress-midi-short-sleeve-button-front</t>
  </si>
  <si>
    <t xml:space="preserve">Women's Shirt Dress | Midi Short Sleeve Button Front</t>
  </si>
  <si>
    <t xml:space="preserve">sandals-for-women-lace-up-block-heel-open-toe</t>
  </si>
  <si>
    <t xml:space="preserve">Sandals For Women | Lace Up Block Heel Open Toe</t>
  </si>
  <si>
    <t xml:space="preserve">platform-sandals-for-women-open-toe-elastic-strap</t>
  </si>
  <si>
    <t xml:space="preserve">Platform Sandals For Women | Open Toe Elastic Strap</t>
  </si>
  <si>
    <t xml:space="preserve">womens-flip-flops-orthopedic-arch-support-adjustable-strap</t>
  </si>
  <si>
    <t xml:space="preserve">Women's Flip Flops | Orthopedic Arch Support Adjustable Strap</t>
  </si>
  <si>
    <t xml:space="preserve">womens-flip-flops-orthopedic-comfort-thong-strap</t>
  </si>
  <si>
    <t xml:space="preserve">Women's Flip Flops | Orthopedic Comfort Thong Strap</t>
  </si>
  <si>
    <t xml:space="preserve">sandals-for-women-orthopedic-open-toe-flat</t>
  </si>
  <si>
    <t xml:space="preserve">Sandals For Women | Orthopedic Open Toe Flat</t>
  </si>
  <si>
    <t xml:space="preserve">platform-sandals-for-women-open-toe-lace-up-chunky-sole</t>
  </si>
  <si>
    <t xml:space="preserve">Platform Sandals For Women | Open Toe Lace Up Chunky Sole</t>
  </si>
  <si>
    <t xml:space="preserve">sandals-for-women-ankle-strap-wedge-braided-sole</t>
  </si>
  <si>
    <t xml:space="preserve">Sandals For Women | Ankle Strap Wedge Braided Sole</t>
  </si>
  <si>
    <t xml:space="preserve">sandals-for-women-double-buckle-cut-out-pattern</t>
  </si>
  <si>
    <t xml:space="preserve">Sandals For Women | Double Buckle Cut-Out Pattern</t>
  </si>
  <si>
    <t xml:space="preserve">sandals-for-women-double-strap-slip-on-platform-wedge</t>
  </si>
  <si>
    <t xml:space="preserve">Sandals For Women | Double Strap Slip On Platform Wedge</t>
  </si>
  <si>
    <t xml:space="preserve">sandals-for-women-open-toe-arch-support-strap</t>
  </si>
  <si>
    <t xml:space="preserve">Sandals For Women | Open Toe Arch Support Strap</t>
  </si>
  <si>
    <t xml:space="preserve">sandals-for-women-wedge-cork-platform-ankle-strap</t>
  </si>
  <si>
    <t xml:space="preserve">Sandals For Women | Wedge Cork Platform Ankle Strap</t>
  </si>
  <si>
    <t xml:space="preserve">sandals-for-women-orthopedic-wedge-open-toe</t>
  </si>
  <si>
    <t xml:space="preserve">Sandals For Women | Orthopedic Wedge Open Toe</t>
  </si>
  <si>
    <t xml:space="preserve">sandals-for-women-ankle-strap-platform-wedge-open-toe</t>
  </si>
  <si>
    <t xml:space="preserve">Sandals For Women | Ankle Strap Platform Wedge Open Toe</t>
  </si>
  <si>
    <t xml:space="preserve">sandals-for-women-asymmetrical-strap-flat-open-toe</t>
  </si>
  <si>
    <t xml:space="preserve">Sandals For Women | Asymmetrical Strap Flat Open Toe</t>
  </si>
  <si>
    <t xml:space="preserve">sandals-for-women-orthopedic-retro-fisherman-strap-closure</t>
  </si>
  <si>
    <t xml:space="preserve">Sandals For Women | Orthopedic Retro Fisherman Strap Closure</t>
  </si>
  <si>
    <t xml:space="preserve">platform-sandals-for-women-open-toe-crisscross-strap-orthopedic</t>
  </si>
  <si>
    <t xml:space="preserve">Platform Sandals For Women | Open Toe Crisscross Strap Orthopedic</t>
  </si>
  <si>
    <t xml:space="preserve">platform-sandals-for-women-wedge-ankle-strap-studded-open-toe</t>
  </si>
  <si>
    <t xml:space="preserve">Platform Sandals For Women | Wedge Ankle Strap Studded Open Toe</t>
  </si>
  <si>
    <t xml:space="preserve">sandals-for-women-block-heel-open-toe-knit</t>
  </si>
  <si>
    <t xml:space="preserve">Sandals For Women | Block Heel Open Toe Knit</t>
  </si>
  <si>
    <t xml:space="preserve">sandals-for-women-block-heel-slingback-croc-embossed</t>
  </si>
  <si>
    <t xml:space="preserve">Sandals For Women | Block Heel Slingback Croc-Embossed</t>
  </si>
  <si>
    <t xml:space="preserve">sandals-for-women-buckle-slide-cork-footbed</t>
  </si>
  <si>
    <t xml:space="preserve">Sandals For Women | Buckle Slide Cork Footbed</t>
  </si>
  <si>
    <t xml:space="preserve">sandals-for-women-open-toe-slingback-wedge</t>
  </si>
  <si>
    <t xml:space="preserve">Sandals For Women | Open Toe Slingback Wedge</t>
  </si>
  <si>
    <t xml:space="preserve">sandals-for-women-woven-slingback-pointed-toe-flat</t>
  </si>
  <si>
    <t xml:space="preserve">Sandals For Women | Woven Slingback Pointed Toe Flat</t>
  </si>
  <si>
    <t xml:space="preserve">womens-flip-flops-braided-strap-espadrille</t>
  </si>
  <si>
    <t xml:space="preserve">Women's Flip Flops | Braided Strap Espadrille</t>
  </si>
  <si>
    <t xml:space="preserve">womens-flip-flops-floral-applique-toe-post-sandals</t>
  </si>
  <si>
    <t xml:space="preserve">Women's Flip Flops | Floral Appliqué Toe Post Sandals</t>
  </si>
  <si>
    <t xml:space="preserve">sandals-for-women-chunky-heel-thong-open-toe</t>
  </si>
  <si>
    <t xml:space="preserve">Sandals For Women | Chunky Heel Thong Open Toe</t>
  </si>
  <si>
    <t xml:space="preserve">sandals-for-women-wedge-floral-slingback-hook-and-loop</t>
  </si>
  <si>
    <t xml:space="preserve">Sandals For Women | Wedge Floral Slingback Hook and Loop</t>
  </si>
  <si>
    <t xml:space="preserve">womens-flip-flops-thong-strap-denim-brown</t>
  </si>
  <si>
    <t xml:space="preserve">Women's Flip Flops | Thong Strap Denim Brown</t>
  </si>
  <si>
    <t xml:space="preserve">sandals-for-women-strappy-wedge-ankle</t>
  </si>
  <si>
    <t xml:space="preserve">Sandals For Women | Strappy Wedge Ankle</t>
  </si>
  <si>
    <t xml:space="preserve">platform-sandals-for-women-glitter-straps-open-toe</t>
  </si>
  <si>
    <t xml:space="preserve">Platform Sandals For Women | Glitter Straps Open Toe</t>
  </si>
  <si>
    <t xml:space="preserve">platform-sandals-for-women-orthopedic-comfort-cross-strap</t>
  </si>
  <si>
    <t xml:space="preserve">Platform Sandals For Women | Orthopedic Comfort Cross Strap</t>
  </si>
  <si>
    <t xml:space="preserve">sandals-for-women-braided-strap-flat</t>
  </si>
  <si>
    <t xml:space="preserve">Sandals For Women | Braided Strap Flat</t>
  </si>
  <si>
    <t xml:space="preserve">sandals-for-women-orthopedic-buckle-slip-on</t>
  </si>
  <si>
    <t xml:space="preserve">Sandals For Women | Orthopedic Buckle Slip On</t>
  </si>
  <si>
    <t xml:space="preserve">sandals-for-women-orthopedic-buckle-slip-on-1</t>
  </si>
  <si>
    <t xml:space="preserve">sandals-for-women-toe-separator-flip-flop-flat-comfort</t>
  </si>
  <si>
    <t xml:space="preserve">Sandals For Women | Toe Separator Flip Flop Flat Comfort</t>
  </si>
  <si>
    <t xml:space="preserve">sandals-for-women-wedge-open-toe-ankle-strap</t>
  </si>
  <si>
    <t xml:space="preserve">Sandals For Women | Wedge Open Toe Ankle Strap</t>
  </si>
  <si>
    <t xml:space="preserve">womens-flip-flops-braided-strap-platform</t>
  </si>
  <si>
    <t xml:space="preserve">Women's Flip Flops | Braided Strap Platform</t>
  </si>
  <si>
    <t xml:space="preserve">FOUT in export: compare-at ($40) lag onder de prijs; voorstel 2x</t>
  </si>
  <si>
    <t xml:space="preserve">orthopedic-shoes-for-women-slip-on-comfort-knit</t>
  </si>
  <si>
    <t xml:space="preserve">Orthopedic Shoes For Women | Slip On Comfort Knit</t>
  </si>
  <si>
    <t xml:space="preserve">shoes-for-women-low-top-lace-up-sneakers</t>
  </si>
  <si>
    <t xml:space="preserve">Shoes For Women | Low Top Lace Up Sneakers</t>
  </si>
  <si>
    <t xml:space="preserve">mary-jane-shoes-for-women-orthopedic-block-heel-strap</t>
  </si>
  <si>
    <t xml:space="preserve">Mary Jane Shoes For Women | Orthopedic Block Heel Strap</t>
  </si>
  <si>
    <t xml:space="preserve">shoes-for-women-platform-lace-up-sneakers</t>
  </si>
  <si>
    <t xml:space="preserve">Shoes For Women | Platform Lace Up Sneakers</t>
  </si>
  <si>
    <t xml:space="preserve">shoes-for-women-rhinestone-embellished-sneakers-lace-up</t>
  </si>
  <si>
    <t xml:space="preserve">Shoes For Women | Rhinestone Embellished Sneakers Lace Up</t>
  </si>
  <si>
    <t xml:space="preserve">shoes-for-women-slip-on-espadrille-flat</t>
  </si>
  <si>
    <t xml:space="preserve">Shoes For Women | Slip-On Espadrille Flat</t>
  </si>
  <si>
    <t xml:space="preserve">sandals-for-women-orthopedic-adjustable-strap-flat</t>
  </si>
  <si>
    <t xml:space="preserve">Sandals For Women | Orthopedic Adjustable Strap Flat</t>
  </si>
  <si>
    <t xml:space="preserve">shoes-for-women-orthopedic-slip-on-flat</t>
  </si>
  <si>
    <t xml:space="preserve">Shoes For Women | Orthopedic Slip On Flat</t>
  </si>
  <si>
    <t xml:space="preserve">mary-jane-shoes-for-women-pointed-toe-ballet-flats-cross-strap</t>
  </si>
  <si>
    <t xml:space="preserve">Mary Jane Shoes For Women | Pointed Toe Ballet Flats Cross Strap</t>
  </si>
  <si>
    <t xml:space="preserve">mary-jane-shoes-for-women-wedge-buckle-strap</t>
  </si>
  <si>
    <t xml:space="preserve">Mary Jane Shoes For Women | Wedge Buckle Strap</t>
  </si>
  <si>
    <t xml:space="preserve">running-shoes-for-women-orthopedic-mesh-lace-up-sneakers</t>
  </si>
  <si>
    <t xml:space="preserve">Running Shoes For Women | Orthopedic Mesh Lace Up Sneakers</t>
  </si>
  <si>
    <t xml:space="preserve">sandals-for-women-orthopedic-embellished-slingback-flat</t>
  </si>
  <si>
    <t xml:space="preserve">Sandals For Women | Orthopedic Embellished Slingback Flat</t>
  </si>
  <si>
    <t xml:space="preserve">shoes-for-women-comfort-slip-on-mocassin-flat</t>
  </si>
  <si>
    <t xml:space="preserve">Shoes For Women | Comfort Slip On Mocassin Flat</t>
  </si>
  <si>
    <t xml:space="preserve">shoes-for-women-mary-jane-wedge-ankle-strap</t>
  </si>
  <si>
    <t xml:space="preserve">Shoes For Women | Mary Jane Wedge Ankle Strap</t>
  </si>
  <si>
    <t xml:space="preserve">shoes-for-women-mesh-breathable-lace-up</t>
  </si>
  <si>
    <t xml:space="preserve">Shoes For Women | Mesh Breathable Lace Up</t>
  </si>
  <si>
    <t xml:space="preserve">shoes-for-women-orthopedic-arch-support-sneakers</t>
  </si>
  <si>
    <t xml:space="preserve">Shoes For Women | Orthopedic Arch Support Sneakers</t>
  </si>
  <si>
    <t xml:space="preserve">shoes-for-women-slip-on-orthopedic-knit-lightweight-breathable</t>
  </si>
  <si>
    <t xml:space="preserve">Shoes For Women | Slip On Orthopedic Knit Lightweight Breathable</t>
  </si>
  <si>
    <t xml:space="preserve">shoes-for-women-slip-on-orthopedic-knit-sneakers</t>
  </si>
  <si>
    <t xml:space="preserve">Shoes For Women | Slip-On Orthopedic Knit Sneakers</t>
  </si>
  <si>
    <t xml:space="preserve">black-shoes-for-women-peep-toe-stiletto-bow-mules</t>
  </si>
  <si>
    <t xml:space="preserve">Black Shoes For Women | Peep Toe Stiletto Bow Mules</t>
  </si>
  <si>
    <t xml:space="preserve">flat-shoes-for-women-slip-on-comfort</t>
  </si>
  <si>
    <t xml:space="preserve">Flat shoes For Women | Slip On Comfort</t>
  </si>
  <si>
    <t xml:space="preserve">mary-jane-shoes-for-women-strap-low-block-heel</t>
  </si>
  <si>
    <t xml:space="preserve">Mary Jane Shoes For Women | Strap Low Block Heel</t>
  </si>
  <si>
    <t xml:space="preserve">mary-jane-shoes-for-women-strap-orthopedic-block-heel</t>
  </si>
  <si>
    <t xml:space="preserve">Mary Jane Shoes For Women | Strap Orthopedic Block Heel</t>
  </si>
  <si>
    <t xml:space="preserve">sandals-for-women-arch-support-wedge-open-toe</t>
  </si>
  <si>
    <t xml:space="preserve">Sandals For Women | Arch Support Wedge Open Toe</t>
  </si>
  <si>
    <t xml:space="preserve">shoes-for-women-orthopedic-slip-on-knit</t>
  </si>
  <si>
    <t xml:space="preserve">Shoes For Women | Orthopedic Slip On Knit</t>
  </si>
  <si>
    <t xml:space="preserve">shoes-for-women-orthopedic-slip-on-suede-lace-up</t>
  </si>
  <si>
    <t xml:space="preserve">Shoes For Women | Orthopedic Slip On Suede Lace Up</t>
  </si>
  <si>
    <t xml:space="preserve">shoes-for-women-slingback-pointed-toe-low-heel</t>
  </si>
  <si>
    <t xml:space="preserve">Shoes For Women | Slingback Pointed Toe Low Heel</t>
  </si>
  <si>
    <t xml:space="preserve">shoes-for-women-slip-on-knit-perforated-comfort</t>
  </si>
  <si>
    <t xml:space="preserve">Shoes For Women | Slip On Knit Perforated Comfort</t>
  </si>
  <si>
    <t xml:space="preserve">womens-cargo-pants-wide-leg-drawstring-street-style</t>
  </si>
  <si>
    <t xml:space="preserve">Women's Cargo Pants | Wide Leg Drawstring Street Style</t>
  </si>
  <si>
    <t xml:space="preserve">womens-linen-pants-drawstring-elastic-waist</t>
  </si>
  <si>
    <t xml:space="preserve">Women's Linen Pants | Drawstring Elastic Waist</t>
  </si>
  <si>
    <t xml:space="preserve">womens-cargo-pants-wide-leg-side-pocket</t>
  </si>
  <si>
    <t xml:space="preserve">Women's Cargo Pants | Wide Leg Side Pocket</t>
  </si>
  <si>
    <t xml:space="preserve">womens-linen-pants-cropped-straight-leg-turn-up-cuff</t>
  </si>
  <si>
    <t xml:space="preserve">Women's Linen Pants | Cropped Straight Leg Turn Up Cuff</t>
  </si>
  <si>
    <t xml:space="preserve">womens-linen-pants-drawstring-wide-leg</t>
  </si>
  <si>
    <t xml:space="preserve">Women's Linen Pants | Drawstring Wide Leg</t>
  </si>
  <si>
    <t xml:space="preserve">womens-linen-pants-wide-leg-paperbag-waist-tie-front</t>
  </si>
  <si>
    <t xml:space="preserve">Women's Linen Pants | Wide Leg Paperbag Waist Tie Front</t>
  </si>
  <si>
    <t xml:space="preserve">womens-pants-drawstring-waist-jogger-cropped-side-pockets</t>
  </si>
  <si>
    <t xml:space="preserve">Women's Pants | Drawstring Waist Jogger Cropped Side Pockets</t>
  </si>
  <si>
    <t xml:space="preserve">womens-pants-striped-wide-leg-jogger</t>
  </si>
  <si>
    <t xml:space="preserve">Women's Pants | Striped Wide-Leg Jogger</t>
  </si>
  <si>
    <t xml:space="preserve">womens-cargo-pants-wide-leg-drawstring-side-pocket</t>
  </si>
  <si>
    <t xml:space="preserve">Women's Cargo Pants | Wide Leg Drawstring Side Pocket</t>
  </si>
  <si>
    <t xml:space="preserve">womens-linen-pants-wide-leg-tie-front-elasticated-waist</t>
  </si>
  <si>
    <t xml:space="preserve">Women's Linen Pants | Wide Leg Tie Front Elasticated Waist</t>
  </si>
  <si>
    <t xml:space="preserve">womens-pants-cropped-straight-leg-side-pockets</t>
  </si>
  <si>
    <t xml:space="preserve">Women's Pants | Cropped Straight Leg Side Pockets</t>
  </si>
  <si>
    <t xml:space="preserve">womens-sweatpants-baggy-elasticated-waist-cuffed-hem</t>
  </si>
  <si>
    <t xml:space="preserve">Women's Sweatpants | Baggy Elasticated Waist Cuffed Hem</t>
  </si>
  <si>
    <t xml:space="preserve">womens-pants-loose-wide-leg-pleated-linen-blend</t>
  </si>
  <si>
    <t xml:space="preserve">Women's Pants | Loose Wide-Leg Pleated Linen Blend</t>
  </si>
  <si>
    <t xml:space="preserve">womens-cargo-pants-wide-leg-cargo-pockets</t>
  </si>
  <si>
    <t xml:space="preserve">Women's Cargo Pants | Wide Leg Cargo Pockets</t>
  </si>
  <si>
    <t xml:space="preserve">womens-linen-pants-set-linen-top-wide-leg</t>
  </si>
  <si>
    <t xml:space="preserve">Women's Linen Pants Set | Linen Top Wide Leg</t>
  </si>
  <si>
    <t xml:space="preserve">womens-linen-pants-drawstring-waist-cropped-length</t>
  </si>
  <si>
    <t xml:space="preserve">Women's Linen Pants | Drawstring Waist Cropped Length</t>
  </si>
  <si>
    <t xml:space="preserve">womens-linen-pants-wide-leg-cropped</t>
  </si>
  <si>
    <t xml:space="preserve">Women's Linen Pants | Wide Leg Cropped</t>
  </si>
  <si>
    <t xml:space="preserve">womens-pants-elastic-waist-drawstring</t>
  </si>
  <si>
    <t xml:space="preserve">Women's Pants | Elastic Waist Drawstring</t>
  </si>
  <si>
    <t xml:space="preserve">winter-boots-for-women-round-toe-side-zip</t>
  </si>
  <si>
    <t xml:space="preserve">Winter Boots For Women | Round Toe Side Zip</t>
  </si>
  <si>
    <t xml:space="preserve">fall-boots-for-women-ankle-block-heel-sock</t>
  </si>
  <si>
    <t xml:space="preserve">Fall Boots For Women | Ankle Block Heel Sock</t>
  </si>
  <si>
    <t xml:space="preserve">winter-boots-for-women-insulated-quilted-water-resistant</t>
  </si>
  <si>
    <t xml:space="preserve">Winter Boots For Women | Insulated Quilted Water-Resistant</t>
  </si>
  <si>
    <t xml:space="preserve">boots-for-women-ankle-side-zip-wedge</t>
  </si>
  <si>
    <t xml:space="preserve">Boots For Women | Ankle Side Zip Wedge</t>
  </si>
  <si>
    <t xml:space="preserve">winter-boots-for-women-ankle-zipper-padded-collar</t>
  </si>
  <si>
    <t xml:space="preserve">Winter Boots For Women | Ankle Zipper Padded Collar</t>
  </si>
  <si>
    <t xml:space="preserve">womens-wedding-guest-dress-maxi-floral-v-neck</t>
  </si>
  <si>
    <t xml:space="preserve">Women's Wedding Guest Dress | Maxi Floral V-Neck</t>
  </si>
  <si>
    <t xml:space="preserve">womens-cocktail-dress-mini-bodycon-ruched-spaghetti-strap</t>
  </si>
  <si>
    <t xml:space="preserve">Women's Cocktail Dress | Mini Bodycon Ruched Spaghetti Strap</t>
  </si>
  <si>
    <t xml:space="preserve">womens-cocktail-dress-maxi-floral-v-neck-ruffle-sleeve</t>
  </si>
  <si>
    <t xml:space="preserve">Women's Cocktail Dress | Maxi Floral V-Neck Ruffle Sleeve</t>
  </si>
  <si>
    <t xml:space="preserve">womens-cocktail-dress-maxi-high-neck-cut-out-sleeveless</t>
  </si>
  <si>
    <t xml:space="preserve">Women's Cocktail Dress | Maxi High Neck Cut Out Sleeveless</t>
  </si>
  <si>
    <t xml:space="preserve">womens-cocktail-dress-mini-feather-sequin-v-neck</t>
  </si>
  <si>
    <t xml:space="preserve">Women's Cocktail Dress | Mini Feather Sequin V-Neck</t>
  </si>
  <si>
    <t xml:space="preserve">womens-formal-dress-midi-v-neck-puff-sleeve</t>
  </si>
  <si>
    <t xml:space="preserve">Women's Formal Dress | Midi V-Neck Puff Sleeve</t>
  </si>
  <si>
    <t xml:space="preserve">womens-cocktail-dress-midi-layered-asymmetrical-short-sleeve</t>
  </si>
  <si>
    <t xml:space="preserve">Women's Cocktail Dress | Midi Layered Asymmetrical Short Sleeve</t>
  </si>
  <si>
    <t xml:space="preserve">womens-cocktail-dress-midi-ruffle-v-neck-ruched</t>
  </si>
  <si>
    <t xml:space="preserve">Women's Cocktail Dress | Midi Ruffle V-Neck Ruched</t>
  </si>
  <si>
    <t xml:space="preserve">womens-cocktail-dress-midi-bow-detail-sleeveless-side-slit</t>
  </si>
  <si>
    <t xml:space="preserve">Women's Cocktail Dress | Midi Bow Detail Sleeveless Side Slit</t>
  </si>
  <si>
    <t xml:space="preserve">womens-grad-dress-midi-sequin-mesh-sleeve-cocktail</t>
  </si>
  <si>
    <t xml:space="preserve">Women's Grad Dress | Midi Sequin Mesh Sleeve Cocktail</t>
  </si>
  <si>
    <t xml:space="preserve">womens-dog-winter-jacket-padded-harness-leash-attachment-quilted</t>
  </si>
  <si>
    <t xml:space="preserve">Women's Dog Winter Jacket | Padded Harness Leash Attachment Quilted</t>
  </si>
  <si>
    <t xml:space="preserve">Gemengde varianten ($35,95-$55,95); compare-at hier op 2x gezet</t>
  </si>
  <si>
    <t xml:space="preserve">womens-bomber-jacket-cropped-button-front-stand-collar-ribbed</t>
  </si>
  <si>
    <t xml:space="preserve">Women's Bomber Jacket | Cropped Button Front Stand Collar Ribbed</t>
  </si>
  <si>
    <t xml:space="preserve">womens-bomber-jacket-zip-up-long-sleeve-ribbed</t>
  </si>
  <si>
    <t xml:space="preserve">Women's Bomber Jacket | Zip-Up Long Sleeve Ribbed</t>
  </si>
  <si>
    <t xml:space="preserve">womens-trench-coat-denim-suede-long-sleeve-double-breasted</t>
  </si>
  <si>
    <t xml:space="preserve">Women's Trench Coat | Denim Suede Long Sleeve Double Breasted</t>
  </si>
  <si>
    <t xml:space="preserve">womens-bomber-jacket-cropped-zip-front-long-sleeve</t>
  </si>
  <si>
    <t xml:space="preserve">Women's Bomber Jacket | Cropped Zip Front Long Sleeve</t>
  </si>
  <si>
    <t xml:space="preserve">womens-cropped-jacket-textured-boucle-zip-front-utility-pockets</t>
  </si>
  <si>
    <t xml:space="preserve">Women's Cropped Jacket | Textured Bouclé Zip Front Utility Pockets</t>
  </si>
  <si>
    <t xml:space="preserve">womens-jacket-faux-suede-moto-zip-front</t>
  </si>
  <si>
    <t xml:space="preserve">Women's Jacket | Faux Suede Moto Zip Front</t>
  </si>
  <si>
    <t xml:space="preserve">womens-rain-jacket-hooded-zip-front-long-sleeve</t>
  </si>
  <si>
    <t xml:space="preserve">Women's Rain Jacket | Hooded Zip Front Long Sleeve</t>
  </si>
  <si>
    <t xml:space="preserve">womens-windbreaker-hooded-rain-jacket-long-sleeve</t>
  </si>
  <si>
    <t xml:space="preserve">Women's Windbreaker | Hooded Rain Jacket Long Sleeve</t>
  </si>
  <si>
    <t xml:space="preserve">womens-windbreaker-hooded-zip-front-long-sleeve</t>
  </si>
  <si>
    <t xml:space="preserve">Women's Windbreaker | Hooded Zip Front Long Sleeve</t>
  </si>
  <si>
    <t xml:space="preserve">shoes-insoles-for-men-heated-electric-thermal-usb</t>
  </si>
  <si>
    <t xml:space="preserve">Shoes Insoles For Men | Heated Electric Thermal USB</t>
  </si>
  <si>
    <t xml:space="preserve">shoes-for-men-athletic-water-aqua-socks</t>
  </si>
  <si>
    <t xml:space="preserve">Shoes For Men | Athletic Water Aqua Socks</t>
  </si>
  <si>
    <t xml:space="preserve">shoes-for-men-lace-up-patent-leather-derby</t>
  </si>
  <si>
    <t xml:space="preserve">Shoes For Men | Lace-Up Patent Leather Derby</t>
  </si>
  <si>
    <t xml:space="preserve">running-shoes-for-men-supportive-athletic-lace-up</t>
  </si>
  <si>
    <t xml:space="preserve">Running Shoes For Men | Supportive Athletic Lace Up</t>
  </si>
  <si>
    <t xml:space="preserve">mens-sweater-patchwork-knit-round-neck</t>
  </si>
  <si>
    <t xml:space="preserve">Men's Sweater | Patchwork Knit Round Neck</t>
  </si>
  <si>
    <t xml:space="preserve">womens-shorts-suit-oversize-blazer-high-waist</t>
  </si>
  <si>
    <t xml:space="preserve">Women's Shorts Suit | Oversize Blazer High Waist</t>
  </si>
  <si>
    <t xml:space="preserve">womens-skirt-mini-cape-sleeve-cocktail-dress</t>
  </si>
  <si>
    <t xml:space="preserve">Women's Skirt | Mini Cape Sleeve Cocktail Dress</t>
  </si>
  <si>
    <t xml:space="preserve">womens-sweater-colorblock-cat-crew-neck-long-sleeve</t>
  </si>
  <si>
    <t xml:space="preserve">Women's Sweater | Colorblock Cat Crew Neck Long Sleeve</t>
  </si>
  <si>
    <t xml:space="preserve">womens-sweater-striped-lace-up-hooded</t>
  </si>
  <si>
    <t xml:space="preserve">Women's Sweater | Striped Lace Up Hooded</t>
  </si>
  <si>
    <t xml:space="preserve">womens-wedding-guest-dress-maxi-pleated-halter-neck</t>
  </si>
  <si>
    <t xml:space="preserve">Women's Wedding Guest Dress | Maxi Pleated Halter Neck</t>
  </si>
  <si>
    <t xml:space="preserve">womens-wedding-guest-dress-maxi-cream-sleeveless-cowl-neck</t>
  </si>
  <si>
    <t xml:space="preserve">Women's Wedding Guest Dress | Maxi Cream Sleeveless Cowl Neck</t>
  </si>
  <si>
    <t xml:space="preserve">womens-wedding-guest-dress-maxi-strapless-high-slit</t>
  </si>
  <si>
    <t xml:space="preserve">Women's Wedding Guest Dress | Maxi Strapless High Slit</t>
  </si>
  <si>
    <t xml:space="preserve">womens-wedding-guest-dress-mini-floral-ruffle-sleeve-v-neck</t>
  </si>
  <si>
    <t xml:space="preserve">Women's Wedding Guest Dress | Mini Floral Ruffle Sleeve V-Neck</t>
  </si>
  <si>
    <t xml:space="preserve">womens-fall-wedding-guest-dress-maxi-floral-v-neck-tie-waist</t>
  </si>
  <si>
    <t xml:space="preserve">Women's Fall Wedding Guest Dress | Maxi Floral V-Neck Tie Waist</t>
  </si>
  <si>
    <t xml:space="preserve">womens-fall-wedding-guest-dress-maxi-one-shoulder-straight</t>
  </si>
  <si>
    <t xml:space="preserve">Women's Fall Wedding Guest Dress | Maxi One Shoulder Straight</t>
  </si>
  <si>
    <t xml:space="preserve">womens-mother-of-the-bride-dress-maxi-lace-cap-sleeve-chiffon</t>
  </si>
  <si>
    <t xml:space="preserve">Women's Mother of the Bride Dress | Maxi Lace Cap Sleeve Chiffon</t>
  </si>
  <si>
    <t xml:space="preserve">womens-wedding-guest-dress-midi-pleated-v-neck-cap-sleeve</t>
  </si>
  <si>
    <t xml:space="preserve">Women's Wedding Guest Dress | Midi Pleated V-Neck Cap Sleeve</t>
  </si>
  <si>
    <t xml:space="preserve">womens-fall-wedding-guest-dress-maxi-floral-wrap-v-neck</t>
  </si>
  <si>
    <t xml:space="preserve">Women's Fall Wedding Guest Dress | Maxi Floral Wrap V-Neck</t>
  </si>
  <si>
    <t xml:space="preserve">womens-fall-wedding-guest-dress-maxi-halter-open-back</t>
  </si>
  <si>
    <t xml:space="preserve">Women's Fall Wedding Guest Dress | Maxi Halter Open Back</t>
  </si>
  <si>
    <t xml:space="preserve">womens-wedding-guest-dress-maxi-floral-halter-tiered</t>
  </si>
  <si>
    <t xml:space="preserve">Women's Wedding Guest Dress | Maxi Floral Halter Tiered</t>
  </si>
  <si>
    <t xml:space="preserve">womens-wedding-guest-dress-maxi-halter-ruffled-long</t>
  </si>
  <si>
    <t xml:space="preserve">Women's Wedding Guest Dress | Maxi Halter Ruffled Long</t>
  </si>
  <si>
    <t xml:space="preserve">womens-autumn-wedding-guest-dress-maxi-black-velvet-v-neck-long-sleeve</t>
  </si>
  <si>
    <t xml:space="preserve">Women's Autumn Wedding Guest Dress | Maxi Black Velvet V-Neck Long Sleeve</t>
  </si>
  <si>
    <t xml:space="preserve">womens-autumn-wedding-guest-dress-maxi-velvet-round-neck-long-sleeve-belted</t>
  </si>
  <si>
    <t xml:space="preserve">Women's Autumn Wedding Guest Dress | Maxi Velvet Round Neck Long Sleeve Belted</t>
  </si>
  <si>
    <t xml:space="preserve">womens-wedding-guest-dress-midi-peplum-ruffle-sleeve</t>
  </si>
  <si>
    <t xml:space="preserve">Women's Wedding Guest Dress | Midi Peplum Ruffle Sleeve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</si>
</sst>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"/>
    <numFmt numFmtId="167" formatCode="0%"/>
    <numFmt numFmtId="168" formatCode="0.0%"/>
    <numFmt numFmtId="169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3743"/>
      <name val="Arial"/>
      <family val="0"/>
      <charset val="1"/>
    </font>
    <font>
      <sz val="9"/>
      <color rgb="FF6E6862"/>
      <name val="Arial"/>
      <family val="0"/>
      <charset val="1"/>
    </font>
    <font>
      <sz val="10"/>
      <color rgb="FF2A3743"/>
      <name val="Arial"/>
      <family val="0"/>
      <charset val="1"/>
    </font>
    <font>
      <b val="true"/>
      <sz val="10"/>
      <color rgb="FF2A3743"/>
      <name val="Arial"/>
      <family val="0"/>
      <charset val="1"/>
    </font>
    <font>
      <b val="true"/>
      <sz val="11"/>
      <color rgb="FF2A374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3743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3CD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D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A3743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5F5F5"/>
      <rgbColor rgb="FF660066"/>
      <rgbColor rgb="FFFF8080"/>
      <rgbColor rgb="FF0066CC"/>
      <rgbColor rgb="FFE0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COUNTA(Prijsvoorstel!A2:A353)</f>
        <v>352</v>
      </c>
    </row>
    <row r="5" customFormat="false" ht="15" hidden="false" customHeight="false" outlineLevel="0" collapsed="false">
      <c r="A5" s="3" t="s">
        <v>3</v>
      </c>
      <c r="B5" s="4" t="n">
        <f aca="false">COUNTIF(Prijsvoorstel!K2:K353,0)</f>
        <v>19</v>
      </c>
    </row>
    <row r="6" customFormat="false" ht="15" hidden="false" customHeight="false" outlineLevel="0" collapsed="false">
      <c r="A6" s="3" t="s">
        <v>4</v>
      </c>
      <c r="B6" s="5" t="n">
        <f aca="false">MIN(Prijsvoorstel!E2:E353)</f>
        <v>27.95</v>
      </c>
    </row>
    <row r="7" customFormat="false" ht="15" hidden="false" customHeight="false" outlineLevel="0" collapsed="false">
      <c r="A7" s="3" t="s">
        <v>5</v>
      </c>
      <c r="B7" s="5" t="n">
        <f aca="false">MIN(Prijsvoorstel!H2:H353)</f>
        <v>49.95</v>
      </c>
    </row>
    <row r="8" customFormat="false" ht="15" hidden="false" customHeight="false" outlineLevel="0" collapsed="false">
      <c r="A8" s="3" t="s">
        <v>6</v>
      </c>
      <c r="B8" s="5" t="n">
        <f aca="false">AVERAGE(Prijsvoorstel!K2:K353)</f>
        <v>14.1306818181818</v>
      </c>
    </row>
    <row r="9" customFormat="false" ht="15" hidden="false" customHeight="false" outlineLevel="0" collapsed="false">
      <c r="A9" s="3" t="s">
        <v>7</v>
      </c>
      <c r="B9" s="6" t="n">
        <f aca="false">AVERAGE(Prijsvoorstel!L2:L353)</f>
        <v>0.3445549107458</v>
      </c>
    </row>
    <row r="10" customFormat="false" ht="15" hidden="false" customHeight="false" outlineLevel="0" collapsed="false">
      <c r="A10" s="3" t="s">
        <v>8</v>
      </c>
      <c r="B10" s="7" t="n">
        <f aca="false">AVERAGE(Prijsvoorstel!G2:G353)</f>
        <v>0.495965488577966</v>
      </c>
    </row>
    <row r="11" customFormat="false" ht="15" hidden="false" customHeight="false" outlineLevel="0" collapsed="false">
      <c r="A11" s="3" t="s">
        <v>9</v>
      </c>
      <c r="B11" s="7" t="n">
        <f aca="false">AVERAGE(Prijsvoorstel!J2:J353)</f>
        <v>0.499965435606061</v>
      </c>
    </row>
    <row r="13" customFormat="false" ht="15" hidden="false" customHeight="false" outlineLevel="0" collapsed="false">
      <c r="A13" s="8" t="s">
        <v>10</v>
      </c>
    </row>
    <row r="14" customFormat="false" ht="15" hidden="false" customHeight="false" outlineLevel="0" collapsed="false">
      <c r="A14" s="9" t="s">
        <v>11</v>
      </c>
      <c r="B14" s="9" t="s">
        <v>12</v>
      </c>
      <c r="C14" s="9" t="s">
        <v>13</v>
      </c>
      <c r="D14" s="9" t="s">
        <v>14</v>
      </c>
    </row>
    <row r="15" customFormat="false" ht="15" hidden="false" customHeight="false" outlineLevel="0" collapsed="false">
      <c r="A15" s="10" t="s">
        <v>15</v>
      </c>
      <c r="B15" s="11" t="n">
        <v>49.95</v>
      </c>
      <c r="C15" s="12" t="n">
        <v>100</v>
      </c>
      <c r="D15" s="10" t="n">
        <f aca="false">COUNTIF(Prijsvoorstel!$H$2:$H$353,B15)</f>
        <v>127</v>
      </c>
    </row>
    <row r="16" customFormat="false" ht="15" hidden="false" customHeight="false" outlineLevel="0" collapsed="false">
      <c r="A16" s="10" t="s">
        <v>16</v>
      </c>
      <c r="B16" s="11" t="n">
        <v>59.95</v>
      </c>
      <c r="C16" s="12" t="n">
        <v>120</v>
      </c>
      <c r="D16" s="10" t="n">
        <f aca="false">COUNTIF(Prijsvoorstel!$H$2:$H$353,B16)</f>
        <v>176</v>
      </c>
    </row>
    <row r="17" customFormat="false" ht="15" hidden="false" customHeight="false" outlineLevel="0" collapsed="false">
      <c r="A17" s="10" t="s">
        <v>17</v>
      </c>
      <c r="B17" s="11" t="n">
        <v>69.95</v>
      </c>
      <c r="C17" s="12" t="n">
        <v>140</v>
      </c>
      <c r="D17" s="10" t="n">
        <f aca="false">COUNTIF(Prijsvoorstel!$H$2:$H$353,B17)</f>
        <v>49</v>
      </c>
    </row>
    <row r="18" customFormat="false" ht="15" hidden="false" customHeight="false" outlineLevel="0" collapsed="false">
      <c r="A18" s="13" t="s">
        <v>18</v>
      </c>
      <c r="D18" s="13" t="n">
        <f aca="false">SUM(D15:D17)</f>
        <v>352</v>
      </c>
    </row>
    <row r="20" customFormat="false" ht="15" hidden="false" customHeight="false" outlineLevel="0" collapsed="false">
      <c r="A20" s="8" t="s">
        <v>19</v>
      </c>
    </row>
    <row r="21" customFormat="false" ht="15" hidden="false" customHeight="false" outlineLevel="0" collapsed="false">
      <c r="A21" s="9" t="s">
        <v>20</v>
      </c>
      <c r="B21" s="9" t="s">
        <v>14</v>
      </c>
      <c r="C21" s="9" t="s">
        <v>21</v>
      </c>
      <c r="D21" s="9" t="s">
        <v>22</v>
      </c>
    </row>
    <row r="22" customFormat="false" ht="15" hidden="false" customHeight="false" outlineLevel="0" collapsed="false">
      <c r="A22" s="14" t="s">
        <v>23</v>
      </c>
      <c r="B22" s="14" t="n">
        <f aca="false">COUNTIF(Prijsvoorstel!$C$2:$C$353,A22)</f>
        <v>26</v>
      </c>
      <c r="C22" s="15" t="n">
        <v>45.45</v>
      </c>
      <c r="D22" s="15" t="n">
        <v>49.95</v>
      </c>
    </row>
    <row r="23" customFormat="false" ht="15" hidden="false" customHeight="false" outlineLevel="0" collapsed="false">
      <c r="A23" s="10" t="s">
        <v>24</v>
      </c>
      <c r="B23" s="10" t="n">
        <f aca="false">COUNTIF(Prijsvoorstel!$C$2:$C$353,A23)</f>
        <v>5</v>
      </c>
      <c r="C23" s="11" t="n">
        <v>42.95</v>
      </c>
      <c r="D23" s="11" t="n">
        <v>69.95</v>
      </c>
    </row>
    <row r="24" customFormat="false" ht="15" hidden="false" customHeight="false" outlineLevel="0" collapsed="false">
      <c r="A24" s="14" t="s">
        <v>25</v>
      </c>
      <c r="B24" s="14" t="n">
        <f aca="false">COUNTIF(Prijsvoorstel!$C$2:$C$353,A24)</f>
        <v>52</v>
      </c>
      <c r="C24" s="15" t="n">
        <v>44.95</v>
      </c>
      <c r="D24" s="15" t="n">
        <v>59.95</v>
      </c>
    </row>
    <row r="25" customFormat="false" ht="15" hidden="false" customHeight="false" outlineLevel="0" collapsed="false">
      <c r="A25" s="10" t="s">
        <v>26</v>
      </c>
      <c r="B25" s="10" t="n">
        <f aca="false">COUNTIF(Prijsvoorstel!$C$2:$C$353,A25)</f>
        <v>8</v>
      </c>
      <c r="C25" s="11" t="n">
        <v>39.95</v>
      </c>
      <c r="D25" s="11" t="n">
        <v>69.95</v>
      </c>
    </row>
    <row r="26" customFormat="false" ht="15" hidden="false" customHeight="false" outlineLevel="0" collapsed="false">
      <c r="A26" s="14" t="s">
        <v>27</v>
      </c>
      <c r="B26" s="14" t="n">
        <f aca="false">COUNTIF(Prijsvoorstel!$C$2:$C$353,A26)</f>
        <v>6</v>
      </c>
      <c r="C26" s="15" t="n">
        <v>39.95</v>
      </c>
      <c r="D26" s="15" t="n">
        <v>59.95</v>
      </c>
    </row>
    <row r="27" customFormat="false" ht="15" hidden="false" customHeight="false" outlineLevel="0" collapsed="false">
      <c r="A27" s="10" t="s">
        <v>28</v>
      </c>
      <c r="B27" s="10" t="n">
        <f aca="false">COUNTIF(Prijsvoorstel!$C$2:$C$353,A27)</f>
        <v>16</v>
      </c>
      <c r="C27" s="11" t="n">
        <v>42.95</v>
      </c>
      <c r="D27" s="11" t="n">
        <v>59.95</v>
      </c>
    </row>
    <row r="28" customFormat="false" ht="15" hidden="false" customHeight="false" outlineLevel="0" collapsed="false">
      <c r="A28" s="14" t="s">
        <v>29</v>
      </c>
      <c r="B28" s="14" t="n">
        <f aca="false">COUNTIF(Prijsvoorstel!$C$2:$C$353,A28)</f>
        <v>10</v>
      </c>
      <c r="C28" s="15" t="n">
        <v>49.95</v>
      </c>
      <c r="D28" s="15" t="n">
        <v>69.95</v>
      </c>
    </row>
    <row r="29" customFormat="false" ht="15" hidden="false" customHeight="false" outlineLevel="0" collapsed="false">
      <c r="A29" s="10" t="s">
        <v>30</v>
      </c>
      <c r="B29" s="10" t="n">
        <f aca="false">COUNTIF(Prijsvoorstel!$C$2:$C$353,A29)</f>
        <v>12</v>
      </c>
      <c r="C29" s="11" t="n">
        <v>49.45</v>
      </c>
      <c r="D29" s="11" t="n">
        <v>59.95</v>
      </c>
    </row>
    <row r="30" customFormat="false" ht="15" hidden="false" customHeight="false" outlineLevel="0" collapsed="false">
      <c r="A30" s="14" t="s">
        <v>31</v>
      </c>
      <c r="B30" s="14" t="n">
        <f aca="false">COUNTIF(Prijsvoorstel!$C$2:$C$353,A30)</f>
        <v>11</v>
      </c>
      <c r="C30" s="15" t="n">
        <v>39.95</v>
      </c>
      <c r="D30" s="15" t="n">
        <v>49.95</v>
      </c>
    </row>
    <row r="31" customFormat="false" ht="15" hidden="false" customHeight="false" outlineLevel="0" collapsed="false">
      <c r="A31" s="10" t="s">
        <v>32</v>
      </c>
      <c r="B31" s="10" t="n">
        <f aca="false">COUNTIF(Prijsvoorstel!$C$2:$C$353,A31)</f>
        <v>1</v>
      </c>
      <c r="C31" s="11" t="n">
        <v>47.95</v>
      </c>
      <c r="D31" s="11" t="n">
        <v>59.95</v>
      </c>
    </row>
    <row r="32" customFormat="false" ht="15" hidden="false" customHeight="false" outlineLevel="0" collapsed="false">
      <c r="A32" s="14" t="s">
        <v>33</v>
      </c>
      <c r="B32" s="14" t="n">
        <f aca="false">COUNTIF(Prijsvoorstel!$C$2:$C$353,A32)</f>
        <v>4</v>
      </c>
      <c r="C32" s="15" t="n">
        <v>42.45</v>
      </c>
      <c r="D32" s="15" t="n">
        <v>69.95</v>
      </c>
    </row>
    <row r="33" customFormat="false" ht="15" hidden="false" customHeight="false" outlineLevel="0" collapsed="false">
      <c r="A33" s="10" t="s">
        <v>34</v>
      </c>
      <c r="B33" s="10" t="n">
        <f aca="false">COUNTIF(Prijsvoorstel!$C$2:$C$353,A33)</f>
        <v>4</v>
      </c>
      <c r="C33" s="11" t="n">
        <v>46.45</v>
      </c>
      <c r="D33" s="11" t="n">
        <v>49.95</v>
      </c>
    </row>
    <row r="34" customFormat="false" ht="15" hidden="false" customHeight="false" outlineLevel="0" collapsed="false">
      <c r="A34" s="14" t="s">
        <v>35</v>
      </c>
      <c r="B34" s="14" t="n">
        <f aca="false">COUNTIF(Prijsvoorstel!$C$2:$C$353,A34)</f>
        <v>1</v>
      </c>
      <c r="C34" s="15" t="n">
        <v>44.95</v>
      </c>
      <c r="D34" s="15" t="n">
        <v>69.95</v>
      </c>
    </row>
    <row r="35" customFormat="false" ht="15" hidden="false" customHeight="false" outlineLevel="0" collapsed="false">
      <c r="A35" s="10" t="s">
        <v>36</v>
      </c>
      <c r="B35" s="10" t="n">
        <f aca="false">COUNTIF(Prijsvoorstel!$C$2:$C$353,A35)</f>
        <v>5</v>
      </c>
      <c r="C35" s="11" t="n">
        <v>49.95</v>
      </c>
      <c r="D35" s="11" t="n">
        <v>49.95</v>
      </c>
    </row>
    <row r="36" customFormat="false" ht="15" hidden="false" customHeight="false" outlineLevel="0" collapsed="false">
      <c r="A36" s="14" t="s">
        <v>37</v>
      </c>
      <c r="B36" s="14" t="n">
        <f aca="false">COUNTIF(Prijsvoorstel!$C$2:$C$353,A36)</f>
        <v>36</v>
      </c>
      <c r="C36" s="15" t="n">
        <v>44.95</v>
      </c>
      <c r="D36" s="15" t="n">
        <v>59.95</v>
      </c>
    </row>
    <row r="37" customFormat="false" ht="15" hidden="false" customHeight="false" outlineLevel="0" collapsed="false">
      <c r="A37" s="10" t="s">
        <v>38</v>
      </c>
      <c r="B37" s="10" t="n">
        <f aca="false">COUNTIF(Prijsvoorstel!$C$2:$C$353,A37)</f>
        <v>27</v>
      </c>
      <c r="C37" s="11" t="n">
        <v>44.95</v>
      </c>
      <c r="D37" s="11" t="n">
        <v>59.95</v>
      </c>
    </row>
    <row r="38" customFormat="false" ht="15" hidden="false" customHeight="false" outlineLevel="0" collapsed="false">
      <c r="A38" s="14" t="s">
        <v>39</v>
      </c>
      <c r="B38" s="14" t="n">
        <f aca="false">COUNTIF(Prijsvoorstel!$C$2:$C$353,A38)</f>
        <v>24</v>
      </c>
      <c r="C38" s="15" t="n">
        <v>45.45</v>
      </c>
      <c r="D38" s="15" t="n">
        <v>49.95</v>
      </c>
    </row>
    <row r="39" customFormat="false" ht="15" hidden="false" customHeight="false" outlineLevel="0" collapsed="false">
      <c r="A39" s="10" t="s">
        <v>40</v>
      </c>
      <c r="B39" s="10" t="n">
        <f aca="false">COUNTIF(Prijsvoorstel!$C$2:$C$353,A39)</f>
        <v>16</v>
      </c>
      <c r="C39" s="11" t="n">
        <v>45.45</v>
      </c>
      <c r="D39" s="11" t="n">
        <v>49.95</v>
      </c>
    </row>
    <row r="40" customFormat="false" ht="15" hidden="false" customHeight="false" outlineLevel="0" collapsed="false">
      <c r="A40" s="14" t="s">
        <v>41</v>
      </c>
      <c r="B40" s="14" t="n">
        <f aca="false">COUNTIF(Prijsvoorstel!$C$2:$C$353,A40)</f>
        <v>2</v>
      </c>
      <c r="C40" s="15" t="n">
        <v>49.95</v>
      </c>
      <c r="D40" s="15" t="n">
        <v>69.95</v>
      </c>
    </row>
    <row r="41" customFormat="false" ht="15" hidden="false" customHeight="false" outlineLevel="0" collapsed="false">
      <c r="A41" s="10" t="s">
        <v>42</v>
      </c>
      <c r="B41" s="10" t="n">
        <f aca="false">COUNTIF(Prijsvoorstel!$C$2:$C$353,A41)</f>
        <v>25</v>
      </c>
      <c r="C41" s="11" t="n">
        <v>39.95</v>
      </c>
      <c r="D41" s="11" t="n">
        <v>49.95</v>
      </c>
    </row>
    <row r="42" customFormat="false" ht="15" hidden="false" customHeight="false" outlineLevel="0" collapsed="false">
      <c r="A42" s="14" t="s">
        <v>43</v>
      </c>
      <c r="B42" s="14" t="n">
        <f aca="false">COUNTIF(Prijsvoorstel!$C$2:$C$353,A42)</f>
        <v>28</v>
      </c>
      <c r="C42" s="15" t="n">
        <v>39.95</v>
      </c>
      <c r="D42" s="15" t="n">
        <v>49.95</v>
      </c>
    </row>
    <row r="43" customFormat="false" ht="15" hidden="false" customHeight="false" outlineLevel="0" collapsed="false">
      <c r="A43" s="10" t="s">
        <v>44</v>
      </c>
      <c r="B43" s="10" t="n">
        <f aca="false">COUNTIF(Prijsvoorstel!$C$2:$C$353,A43)</f>
        <v>18</v>
      </c>
      <c r="C43" s="11" t="n">
        <v>44.95</v>
      </c>
      <c r="D43" s="11" t="n">
        <v>59.95</v>
      </c>
    </row>
    <row r="44" customFormat="false" ht="15" hidden="false" customHeight="false" outlineLevel="0" collapsed="false">
      <c r="A44" s="14" t="s">
        <v>45</v>
      </c>
      <c r="B44" s="14" t="n">
        <f aca="false">COUNTIF(Prijsvoorstel!$C$2:$C$353,A44)</f>
        <v>15</v>
      </c>
      <c r="C44" s="15" t="n">
        <v>44.95</v>
      </c>
      <c r="D44" s="15" t="n">
        <v>69.95</v>
      </c>
    </row>
    <row r="47" customFormat="false" ht="15" hidden="false" customHeight="false" outlineLevel="0" collapsed="false">
      <c r="A47" s="8" t="s">
        <v>46</v>
      </c>
    </row>
    <row r="48" customFormat="false" ht="15" hidden="false" customHeight="false" outlineLevel="0" collapsed="false">
      <c r="A48" s="2" t="s">
        <v>47</v>
      </c>
    </row>
    <row r="49" customFormat="false" ht="15" hidden="false" customHeight="false" outlineLevel="0" collapsed="false">
      <c r="A49" s="2" t="s">
        <v>48</v>
      </c>
    </row>
    <row r="50" customFormat="false" ht="15" hidden="false" customHeight="false" outlineLevel="0" collapsed="false">
      <c r="A50" s="2" t="s">
        <v>49</v>
      </c>
    </row>
    <row r="51" customFormat="false" ht="15" hidden="false" customHeight="false" outlineLevel="0" collapsed="false">
      <c r="A51" s="2" t="s">
        <v>50</v>
      </c>
    </row>
    <row r="52" customFormat="false" ht="15" hidden="false" customHeight="false" outlineLevel="0" collapsed="false">
      <c r="A52" s="2" t="s">
        <v>51</v>
      </c>
    </row>
    <row r="53" customFormat="false" ht="15" hidden="false" customHeight="false" outlineLevel="0" collapsed="false">
      <c r="A53" s="2" t="s">
        <v>52</v>
      </c>
    </row>
    <row r="54" customFormat="false" ht="15" hidden="false" customHeight="false" outlineLevel="0" collapsed="false">
      <c r="A54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10"/>
    <col collapsed="false" customWidth="true" hidden="false" outlineLevel="0" max="14" min="14" style="0" width="56"/>
  </cols>
  <sheetData>
    <row r="1" customFormat="false" ht="24" hidden="false" customHeight="true" outlineLevel="0" collapsed="false">
      <c r="A1" s="16" t="s">
        <v>54</v>
      </c>
      <c r="B1" s="16" t="s">
        <v>55</v>
      </c>
      <c r="C1" s="16" t="s">
        <v>20</v>
      </c>
      <c r="D1" s="16" t="s">
        <v>11</v>
      </c>
      <c r="E1" s="16" t="s">
        <v>56</v>
      </c>
      <c r="F1" s="16" t="s">
        <v>57</v>
      </c>
      <c r="G1" s="16" t="s">
        <v>58</v>
      </c>
      <c r="H1" s="16" t="s">
        <v>12</v>
      </c>
      <c r="I1" s="16" t="s">
        <v>13</v>
      </c>
      <c r="J1" s="16" t="s">
        <v>59</v>
      </c>
      <c r="K1" s="16" t="s">
        <v>60</v>
      </c>
      <c r="L1" s="16" t="s">
        <v>61</v>
      </c>
      <c r="M1" s="16" t="s">
        <v>62</v>
      </c>
      <c r="N1" s="16" t="s">
        <v>63</v>
      </c>
    </row>
    <row r="2" customFormat="false" ht="15" hidden="false" customHeight="false" outlineLevel="0" collapsed="false">
      <c r="A2" s="14" t="s">
        <v>64</v>
      </c>
      <c r="B2" s="14" t="s">
        <v>65</v>
      </c>
      <c r="C2" s="14" t="s">
        <v>23</v>
      </c>
      <c r="D2" s="14" t="s">
        <v>15</v>
      </c>
      <c r="E2" s="15" t="n">
        <v>39.95</v>
      </c>
      <c r="F2" s="15" t="n">
        <v>80</v>
      </c>
      <c r="G2" s="17" t="n">
        <f aca="false">IFERROR(1-E2/F2,"")</f>
        <v>0.500625</v>
      </c>
      <c r="H2" s="15" t="n">
        <v>49.95</v>
      </c>
      <c r="I2" s="18" t="n">
        <f aca="false">ROUND(H2*F2/E2,0)</f>
        <v>100</v>
      </c>
      <c r="J2" s="17" t="n">
        <f aca="false">IFERROR(1-H2/I2,"")</f>
        <v>0.5005</v>
      </c>
      <c r="K2" s="15" t="n">
        <f aca="false">H2-E2</f>
        <v>10</v>
      </c>
      <c r="L2" s="19" t="n">
        <f aca="false">IFERROR(H2/E2-1,"")</f>
        <v>0.250312891113892</v>
      </c>
      <c r="M2" s="20" t="n">
        <v>40</v>
      </c>
      <c r="N2" s="14"/>
    </row>
    <row r="3" customFormat="false" ht="15" hidden="false" customHeight="false" outlineLevel="0" collapsed="false">
      <c r="A3" s="10" t="s">
        <v>66</v>
      </c>
      <c r="B3" s="10" t="s">
        <v>67</v>
      </c>
      <c r="C3" s="10" t="s">
        <v>23</v>
      </c>
      <c r="D3" s="10" t="s">
        <v>15</v>
      </c>
      <c r="E3" s="11" t="n">
        <v>39.95</v>
      </c>
      <c r="F3" s="11" t="n">
        <v>80</v>
      </c>
      <c r="G3" s="21" t="n">
        <f aca="false">IFERROR(1-E3/F3,"")</f>
        <v>0.500625</v>
      </c>
      <c r="H3" s="11" t="n">
        <v>49.95</v>
      </c>
      <c r="I3" s="12" t="n">
        <f aca="false">ROUND(H3*F3/E3,0)</f>
        <v>100</v>
      </c>
      <c r="J3" s="21" t="n">
        <f aca="false">IFERROR(1-H3/I3,"")</f>
        <v>0.5005</v>
      </c>
      <c r="K3" s="11" t="n">
        <f aca="false">H3-E3</f>
        <v>10</v>
      </c>
      <c r="L3" s="22" t="n">
        <f aca="false">IFERROR(H3/E3-1,"")</f>
        <v>0.250312891113892</v>
      </c>
      <c r="M3" s="23" t="n">
        <v>54</v>
      </c>
      <c r="N3" s="10"/>
    </row>
    <row r="4" customFormat="false" ht="15" hidden="false" customHeight="false" outlineLevel="0" collapsed="false">
      <c r="A4" s="14" t="s">
        <v>68</v>
      </c>
      <c r="B4" s="14" t="s">
        <v>69</v>
      </c>
      <c r="C4" s="14" t="s">
        <v>23</v>
      </c>
      <c r="D4" s="14" t="s">
        <v>15</v>
      </c>
      <c r="E4" s="15" t="n">
        <v>39.95</v>
      </c>
      <c r="F4" s="15" t="n">
        <v>80</v>
      </c>
      <c r="G4" s="17" t="n">
        <f aca="false">IFERROR(1-E4/F4,"")</f>
        <v>0.500625</v>
      </c>
      <c r="H4" s="15" t="n">
        <v>49.95</v>
      </c>
      <c r="I4" s="18" t="n">
        <f aca="false">ROUND(H4*F4/E4,0)</f>
        <v>100</v>
      </c>
      <c r="J4" s="17" t="n">
        <f aca="false">IFERROR(1-H4/I4,"")</f>
        <v>0.5005</v>
      </c>
      <c r="K4" s="15" t="n">
        <f aca="false">H4-E4</f>
        <v>10</v>
      </c>
      <c r="L4" s="19" t="n">
        <f aca="false">IFERROR(H4/E4-1,"")</f>
        <v>0.250312891113892</v>
      </c>
      <c r="M4" s="20" t="n">
        <v>88</v>
      </c>
      <c r="N4" s="14"/>
    </row>
    <row r="5" customFormat="false" ht="15" hidden="false" customHeight="false" outlineLevel="0" collapsed="false">
      <c r="A5" s="10" t="s">
        <v>70</v>
      </c>
      <c r="B5" s="10" t="s">
        <v>71</v>
      </c>
      <c r="C5" s="10" t="s">
        <v>23</v>
      </c>
      <c r="D5" s="10" t="s">
        <v>15</v>
      </c>
      <c r="E5" s="11" t="n">
        <v>39.95</v>
      </c>
      <c r="F5" s="11" t="n">
        <v>80</v>
      </c>
      <c r="G5" s="21" t="n">
        <f aca="false">IFERROR(1-E5/F5,"")</f>
        <v>0.500625</v>
      </c>
      <c r="H5" s="11" t="n">
        <v>49.95</v>
      </c>
      <c r="I5" s="12" t="n">
        <f aca="false">ROUND(H5*F5/E5,0)</f>
        <v>100</v>
      </c>
      <c r="J5" s="21" t="n">
        <f aca="false">IFERROR(1-H5/I5,"")</f>
        <v>0.5005</v>
      </c>
      <c r="K5" s="11" t="n">
        <f aca="false">H5-E5</f>
        <v>10</v>
      </c>
      <c r="L5" s="22" t="n">
        <f aca="false">IFERROR(H5/E5-1,"")</f>
        <v>0.250312891113892</v>
      </c>
      <c r="M5" s="23" t="n">
        <v>24</v>
      </c>
      <c r="N5" s="10"/>
    </row>
    <row r="6" customFormat="false" ht="15" hidden="false" customHeight="false" outlineLevel="0" collapsed="false">
      <c r="A6" s="14" t="s">
        <v>72</v>
      </c>
      <c r="B6" s="14" t="s">
        <v>73</v>
      </c>
      <c r="C6" s="14" t="s">
        <v>23</v>
      </c>
      <c r="D6" s="14" t="s">
        <v>15</v>
      </c>
      <c r="E6" s="15" t="n">
        <v>44.95</v>
      </c>
      <c r="F6" s="15" t="n">
        <v>90</v>
      </c>
      <c r="G6" s="17" t="n">
        <f aca="false">IFERROR(1-E6/F6,"")</f>
        <v>0.500555555555556</v>
      </c>
      <c r="H6" s="15" t="n">
        <v>49.95</v>
      </c>
      <c r="I6" s="18" t="n">
        <f aca="false">ROUND(H6*F6/E6,0)</f>
        <v>100</v>
      </c>
      <c r="J6" s="17" t="n">
        <f aca="false">IFERROR(1-H6/I6,"")</f>
        <v>0.5005</v>
      </c>
      <c r="K6" s="15" t="n">
        <f aca="false">H6-E6</f>
        <v>5</v>
      </c>
      <c r="L6" s="19" t="n">
        <f aca="false">IFERROR(H6/E6-1,"")</f>
        <v>0.111234705228031</v>
      </c>
      <c r="M6" s="20" t="n">
        <v>72</v>
      </c>
      <c r="N6" s="14"/>
    </row>
    <row r="7" customFormat="false" ht="15" hidden="false" customHeight="false" outlineLevel="0" collapsed="false">
      <c r="A7" s="10" t="s">
        <v>74</v>
      </c>
      <c r="B7" s="10" t="s">
        <v>75</v>
      </c>
      <c r="C7" s="10" t="s">
        <v>23</v>
      </c>
      <c r="D7" s="10" t="s">
        <v>15</v>
      </c>
      <c r="E7" s="11" t="n">
        <v>45.95</v>
      </c>
      <c r="F7" s="11" t="n">
        <v>92</v>
      </c>
      <c r="G7" s="21" t="n">
        <f aca="false">IFERROR(1-E7/F7,"")</f>
        <v>0.50054347826087</v>
      </c>
      <c r="H7" s="11" t="n">
        <v>49.95</v>
      </c>
      <c r="I7" s="12" t="n">
        <f aca="false">ROUND(H7*F7/E7,0)</f>
        <v>100</v>
      </c>
      <c r="J7" s="21" t="n">
        <f aca="false">IFERROR(1-H7/I7,"")</f>
        <v>0.5005</v>
      </c>
      <c r="K7" s="11" t="n">
        <f aca="false">H7-E7</f>
        <v>4</v>
      </c>
      <c r="L7" s="22" t="n">
        <f aca="false">IFERROR(H7/E7-1,"")</f>
        <v>0.0870511425462459</v>
      </c>
      <c r="M7" s="23" t="n">
        <v>10</v>
      </c>
      <c r="N7" s="10"/>
    </row>
    <row r="8" customFormat="false" ht="15" hidden="false" customHeight="false" outlineLevel="0" collapsed="false">
      <c r="A8" s="14" t="s">
        <v>76</v>
      </c>
      <c r="B8" s="14" t="s">
        <v>77</v>
      </c>
      <c r="C8" s="14" t="s">
        <v>23</v>
      </c>
      <c r="D8" s="14" t="s">
        <v>15</v>
      </c>
      <c r="E8" s="15" t="n">
        <v>49.95</v>
      </c>
      <c r="F8" s="15" t="n">
        <v>100</v>
      </c>
      <c r="G8" s="17" t="n">
        <f aca="false">IFERROR(1-E8/F8,"")</f>
        <v>0.5005</v>
      </c>
      <c r="H8" s="15" t="n">
        <v>49.95</v>
      </c>
      <c r="I8" s="18" t="n">
        <f aca="false">ROUND(H8*F8/E8,0)</f>
        <v>100</v>
      </c>
      <c r="J8" s="17" t="n">
        <f aca="false">IFERROR(1-H8/I8,"")</f>
        <v>0.5005</v>
      </c>
      <c r="K8" s="15" t="n">
        <f aca="false">H8-E8</f>
        <v>0</v>
      </c>
      <c r="L8" s="19" t="n">
        <f aca="false">IFERROR(H8/E8-1,"")</f>
        <v>0</v>
      </c>
      <c r="M8" s="20" t="n">
        <v>40</v>
      </c>
      <c r="N8" s="14"/>
    </row>
    <row r="9" customFormat="false" ht="15" hidden="false" customHeight="false" outlineLevel="0" collapsed="false">
      <c r="A9" s="10" t="s">
        <v>78</v>
      </c>
      <c r="B9" s="10" t="s">
        <v>79</v>
      </c>
      <c r="C9" s="10" t="s">
        <v>23</v>
      </c>
      <c r="D9" s="10" t="s">
        <v>15</v>
      </c>
      <c r="E9" s="11" t="n">
        <v>49.95</v>
      </c>
      <c r="F9" s="11" t="n">
        <v>100</v>
      </c>
      <c r="G9" s="21" t="n">
        <f aca="false">IFERROR(1-E9/F9,"")</f>
        <v>0.5005</v>
      </c>
      <c r="H9" s="11" t="n">
        <v>49.95</v>
      </c>
      <c r="I9" s="12" t="n">
        <f aca="false">ROUND(H9*F9/E9,0)</f>
        <v>100</v>
      </c>
      <c r="J9" s="21" t="n">
        <f aca="false">IFERROR(1-H9/I9,"")</f>
        <v>0.5005</v>
      </c>
      <c r="K9" s="11" t="n">
        <f aca="false">H9-E9</f>
        <v>0</v>
      </c>
      <c r="L9" s="22" t="n">
        <f aca="false">IFERROR(H9/E9-1,"")</f>
        <v>0</v>
      </c>
      <c r="M9" s="23" t="n">
        <v>16</v>
      </c>
      <c r="N9" s="10"/>
    </row>
    <row r="10" customFormat="false" ht="15" hidden="false" customHeight="false" outlineLevel="0" collapsed="false">
      <c r="A10" s="14" t="s">
        <v>80</v>
      </c>
      <c r="B10" s="14" t="s">
        <v>81</v>
      </c>
      <c r="C10" s="14" t="s">
        <v>23</v>
      </c>
      <c r="D10" s="14" t="s">
        <v>15</v>
      </c>
      <c r="E10" s="15" t="n">
        <v>49.95</v>
      </c>
      <c r="F10" s="15" t="n">
        <v>100</v>
      </c>
      <c r="G10" s="17" t="n">
        <f aca="false">IFERROR(1-E10/F10,"")</f>
        <v>0.5005</v>
      </c>
      <c r="H10" s="15" t="n">
        <v>49.95</v>
      </c>
      <c r="I10" s="18" t="n">
        <f aca="false">ROUND(H10*F10/E10,0)</f>
        <v>100</v>
      </c>
      <c r="J10" s="17" t="n">
        <f aca="false">IFERROR(1-H10/I10,"")</f>
        <v>0.5005</v>
      </c>
      <c r="K10" s="15" t="n">
        <f aca="false">H10-E10</f>
        <v>0</v>
      </c>
      <c r="L10" s="19" t="n">
        <f aca="false">IFERROR(H10/E10-1,"")</f>
        <v>0</v>
      </c>
      <c r="M10" s="20" t="n">
        <v>8</v>
      </c>
      <c r="N10" s="14"/>
    </row>
    <row r="11" customFormat="false" ht="15" hidden="false" customHeight="false" outlineLevel="0" collapsed="false">
      <c r="A11" s="10" t="s">
        <v>82</v>
      </c>
      <c r="B11" s="10" t="s">
        <v>83</v>
      </c>
      <c r="C11" s="10" t="s">
        <v>23</v>
      </c>
      <c r="D11" s="10" t="s">
        <v>15</v>
      </c>
      <c r="E11" s="11" t="n">
        <v>49.95</v>
      </c>
      <c r="F11" s="11" t="n">
        <v>100</v>
      </c>
      <c r="G11" s="21" t="n">
        <f aca="false">IFERROR(1-E11/F11,"")</f>
        <v>0.5005</v>
      </c>
      <c r="H11" s="11" t="n">
        <v>49.95</v>
      </c>
      <c r="I11" s="12" t="n">
        <f aca="false">ROUND(H11*F11/E11,0)</f>
        <v>100</v>
      </c>
      <c r="J11" s="21" t="n">
        <f aca="false">IFERROR(1-H11/I11,"")</f>
        <v>0.5005</v>
      </c>
      <c r="K11" s="11" t="n">
        <f aca="false">H11-E11</f>
        <v>0</v>
      </c>
      <c r="L11" s="22" t="n">
        <f aca="false">IFERROR(H11/E11-1,"")</f>
        <v>0</v>
      </c>
      <c r="M11" s="23" t="n">
        <v>8</v>
      </c>
      <c r="N11" s="10"/>
    </row>
    <row r="12" customFormat="false" ht="15" hidden="false" customHeight="false" outlineLevel="0" collapsed="false">
      <c r="A12" s="14" t="s">
        <v>84</v>
      </c>
      <c r="B12" s="14" t="s">
        <v>85</v>
      </c>
      <c r="C12" s="14" t="s">
        <v>23</v>
      </c>
      <c r="D12" s="14" t="s">
        <v>15</v>
      </c>
      <c r="E12" s="15" t="n">
        <v>49.95</v>
      </c>
      <c r="F12" s="15" t="n">
        <v>100</v>
      </c>
      <c r="G12" s="17" t="n">
        <f aca="false">IFERROR(1-E12/F12,"")</f>
        <v>0.5005</v>
      </c>
      <c r="H12" s="15" t="n">
        <v>49.95</v>
      </c>
      <c r="I12" s="18" t="n">
        <f aca="false">ROUND(H12*F12/E12,0)</f>
        <v>100</v>
      </c>
      <c r="J12" s="17" t="n">
        <f aca="false">IFERROR(1-H12/I12,"")</f>
        <v>0.5005</v>
      </c>
      <c r="K12" s="15" t="n">
        <f aca="false">H12-E12</f>
        <v>0</v>
      </c>
      <c r="L12" s="19" t="n">
        <f aca="false">IFERROR(H12/E12-1,"")</f>
        <v>0</v>
      </c>
      <c r="M12" s="20" t="n">
        <v>8</v>
      </c>
      <c r="N12" s="14"/>
    </row>
    <row r="13" customFormat="false" ht="15" hidden="false" customHeight="false" outlineLevel="0" collapsed="false">
      <c r="A13" s="10" t="s">
        <v>86</v>
      </c>
      <c r="B13" s="10" t="s">
        <v>87</v>
      </c>
      <c r="C13" s="10" t="s">
        <v>23</v>
      </c>
      <c r="D13" s="10" t="s">
        <v>15</v>
      </c>
      <c r="E13" s="11" t="n">
        <v>49.95</v>
      </c>
      <c r="F13" s="11" t="n">
        <v>100</v>
      </c>
      <c r="G13" s="21" t="n">
        <f aca="false">IFERROR(1-E13/F13,"")</f>
        <v>0.5005</v>
      </c>
      <c r="H13" s="11" t="n">
        <v>49.95</v>
      </c>
      <c r="I13" s="12" t="n">
        <f aca="false">ROUND(H13*F13/E13,0)</f>
        <v>100</v>
      </c>
      <c r="J13" s="21" t="n">
        <f aca="false">IFERROR(1-H13/I13,"")</f>
        <v>0.5005</v>
      </c>
      <c r="K13" s="11" t="n">
        <f aca="false">H13-E13</f>
        <v>0</v>
      </c>
      <c r="L13" s="22" t="n">
        <f aca="false">IFERROR(H13/E13-1,"")</f>
        <v>0</v>
      </c>
      <c r="M13" s="23" t="n">
        <v>56</v>
      </c>
      <c r="N13" s="10"/>
    </row>
    <row r="14" customFormat="false" ht="15" hidden="false" customHeight="false" outlineLevel="0" collapsed="false">
      <c r="A14" s="14" t="s">
        <v>88</v>
      </c>
      <c r="B14" s="14" t="s">
        <v>89</v>
      </c>
      <c r="C14" s="14" t="s">
        <v>23</v>
      </c>
      <c r="D14" s="14" t="s">
        <v>15</v>
      </c>
      <c r="E14" s="15" t="n">
        <v>49.95</v>
      </c>
      <c r="F14" s="15" t="n">
        <v>100</v>
      </c>
      <c r="G14" s="17" t="n">
        <f aca="false">IFERROR(1-E14/F14,"")</f>
        <v>0.5005</v>
      </c>
      <c r="H14" s="15" t="n">
        <v>49.95</v>
      </c>
      <c r="I14" s="18" t="n">
        <f aca="false">ROUND(H14*F14/E14,0)</f>
        <v>100</v>
      </c>
      <c r="J14" s="17" t="n">
        <f aca="false">IFERROR(1-H14/I14,"")</f>
        <v>0.5005</v>
      </c>
      <c r="K14" s="15" t="n">
        <f aca="false">H14-E14</f>
        <v>0</v>
      </c>
      <c r="L14" s="19" t="n">
        <f aca="false">IFERROR(H14/E14-1,"")</f>
        <v>0</v>
      </c>
      <c r="M14" s="20" t="n">
        <v>64</v>
      </c>
      <c r="N14" s="14"/>
    </row>
    <row r="15" customFormat="false" ht="15" hidden="false" customHeight="false" outlineLevel="0" collapsed="false">
      <c r="A15" s="10" t="s">
        <v>90</v>
      </c>
      <c r="B15" s="10" t="s">
        <v>91</v>
      </c>
      <c r="C15" s="10" t="s">
        <v>23</v>
      </c>
      <c r="D15" s="10" t="s">
        <v>15</v>
      </c>
      <c r="E15" s="11" t="n">
        <v>49.95</v>
      </c>
      <c r="F15" s="11" t="n">
        <v>100</v>
      </c>
      <c r="G15" s="21" t="n">
        <f aca="false">IFERROR(1-E15/F15,"")</f>
        <v>0.5005</v>
      </c>
      <c r="H15" s="11" t="n">
        <v>49.95</v>
      </c>
      <c r="I15" s="12" t="n">
        <f aca="false">ROUND(H15*F15/E15,0)</f>
        <v>100</v>
      </c>
      <c r="J15" s="21" t="n">
        <f aca="false">IFERROR(1-H15/I15,"")</f>
        <v>0.5005</v>
      </c>
      <c r="K15" s="11" t="n">
        <f aca="false">H15-E15</f>
        <v>0</v>
      </c>
      <c r="L15" s="22" t="n">
        <f aca="false">IFERROR(H15/E15-1,"")</f>
        <v>0</v>
      </c>
      <c r="M15" s="23" t="n">
        <v>6</v>
      </c>
      <c r="N15" s="10"/>
    </row>
    <row r="16" customFormat="false" ht="15" hidden="false" customHeight="false" outlineLevel="0" collapsed="false">
      <c r="A16" s="14" t="s">
        <v>92</v>
      </c>
      <c r="B16" s="14" t="s">
        <v>93</v>
      </c>
      <c r="C16" s="14" t="s">
        <v>23</v>
      </c>
      <c r="D16" s="14" t="s">
        <v>15</v>
      </c>
      <c r="E16" s="15" t="n">
        <v>49.95</v>
      </c>
      <c r="F16" s="15" t="n">
        <v>100</v>
      </c>
      <c r="G16" s="17" t="n">
        <f aca="false">IFERROR(1-E16/F16,"")</f>
        <v>0.5005</v>
      </c>
      <c r="H16" s="15" t="n">
        <v>49.95</v>
      </c>
      <c r="I16" s="18" t="n">
        <f aca="false">ROUND(H16*F16/E16,0)</f>
        <v>100</v>
      </c>
      <c r="J16" s="17" t="n">
        <f aca="false">IFERROR(1-H16/I16,"")</f>
        <v>0.5005</v>
      </c>
      <c r="K16" s="15" t="n">
        <f aca="false">H16-E16</f>
        <v>0</v>
      </c>
      <c r="L16" s="19" t="n">
        <f aca="false">IFERROR(H16/E16-1,"")</f>
        <v>0</v>
      </c>
      <c r="M16" s="20" t="n">
        <v>30</v>
      </c>
      <c r="N16" s="14"/>
    </row>
    <row r="17" customFormat="false" ht="15" hidden="false" customHeight="false" outlineLevel="0" collapsed="false">
      <c r="A17" s="10" t="s">
        <v>94</v>
      </c>
      <c r="B17" s="10" t="s">
        <v>95</v>
      </c>
      <c r="C17" s="10" t="s">
        <v>23</v>
      </c>
      <c r="D17" s="10" t="s">
        <v>15</v>
      </c>
      <c r="E17" s="11" t="n">
        <v>49.95</v>
      </c>
      <c r="F17" s="11" t="n">
        <v>100</v>
      </c>
      <c r="G17" s="21" t="n">
        <f aca="false">IFERROR(1-E17/F17,"")</f>
        <v>0.5005</v>
      </c>
      <c r="H17" s="11" t="n">
        <v>49.95</v>
      </c>
      <c r="I17" s="12" t="n">
        <f aca="false">ROUND(H17*F17/E17,0)</f>
        <v>100</v>
      </c>
      <c r="J17" s="21" t="n">
        <f aca="false">IFERROR(1-H17/I17,"")</f>
        <v>0.5005</v>
      </c>
      <c r="K17" s="11" t="n">
        <f aca="false">H17-E17</f>
        <v>0</v>
      </c>
      <c r="L17" s="22" t="n">
        <f aca="false">IFERROR(H17/E17-1,"")</f>
        <v>0</v>
      </c>
      <c r="M17" s="23" t="n">
        <v>72</v>
      </c>
      <c r="N17" s="10"/>
    </row>
    <row r="18" customFormat="false" ht="15" hidden="false" customHeight="false" outlineLevel="0" collapsed="false">
      <c r="A18" s="14" t="s">
        <v>96</v>
      </c>
      <c r="B18" s="14" t="s">
        <v>97</v>
      </c>
      <c r="C18" s="14" t="s">
        <v>23</v>
      </c>
      <c r="D18" s="14" t="s">
        <v>15</v>
      </c>
      <c r="E18" s="15" t="n">
        <v>49.95</v>
      </c>
      <c r="F18" s="15" t="n">
        <v>100</v>
      </c>
      <c r="G18" s="17" t="n">
        <f aca="false">IFERROR(1-E18/F18,"")</f>
        <v>0.5005</v>
      </c>
      <c r="H18" s="15" t="n">
        <v>49.95</v>
      </c>
      <c r="I18" s="18" t="n">
        <f aca="false">ROUND(H18*F18/E18,0)</f>
        <v>100</v>
      </c>
      <c r="J18" s="17" t="n">
        <f aca="false">IFERROR(1-H18/I18,"")</f>
        <v>0.5005</v>
      </c>
      <c r="K18" s="15" t="n">
        <f aca="false">H18-E18</f>
        <v>0</v>
      </c>
      <c r="L18" s="19" t="n">
        <f aca="false">IFERROR(H18/E18-1,"")</f>
        <v>0</v>
      </c>
      <c r="M18" s="20" t="n">
        <v>24</v>
      </c>
      <c r="N18" s="14"/>
    </row>
    <row r="19" customFormat="false" ht="15" hidden="false" customHeight="false" outlineLevel="0" collapsed="false">
      <c r="A19" s="10" t="s">
        <v>98</v>
      </c>
      <c r="B19" s="10" t="s">
        <v>99</v>
      </c>
      <c r="C19" s="10" t="s">
        <v>31</v>
      </c>
      <c r="D19" s="10" t="s">
        <v>15</v>
      </c>
      <c r="E19" s="11" t="n">
        <v>29.95</v>
      </c>
      <c r="F19" s="11" t="n">
        <v>60</v>
      </c>
      <c r="G19" s="21" t="n">
        <f aca="false">IFERROR(1-E19/F19,"")</f>
        <v>0.500833333333333</v>
      </c>
      <c r="H19" s="11" t="n">
        <v>49.95</v>
      </c>
      <c r="I19" s="12" t="n">
        <f aca="false">ROUND(H19*F19/E19,0)</f>
        <v>100</v>
      </c>
      <c r="J19" s="21" t="n">
        <f aca="false">IFERROR(1-H19/I19,"")</f>
        <v>0.5005</v>
      </c>
      <c r="K19" s="11" t="n">
        <f aca="false">H19-E19</f>
        <v>20</v>
      </c>
      <c r="L19" s="22" t="n">
        <f aca="false">IFERROR(H19/E19-1,"")</f>
        <v>0.667779632721202</v>
      </c>
      <c r="M19" s="23" t="n">
        <v>20</v>
      </c>
      <c r="N19" s="10"/>
    </row>
    <row r="20" customFormat="false" ht="15" hidden="false" customHeight="false" outlineLevel="0" collapsed="false">
      <c r="A20" s="14" t="s">
        <v>100</v>
      </c>
      <c r="B20" s="14" t="s">
        <v>101</v>
      </c>
      <c r="C20" s="14" t="s">
        <v>31</v>
      </c>
      <c r="D20" s="14" t="s">
        <v>15</v>
      </c>
      <c r="E20" s="15" t="n">
        <v>29.95</v>
      </c>
      <c r="F20" s="15" t="n">
        <v>60</v>
      </c>
      <c r="G20" s="17" t="n">
        <f aca="false">IFERROR(1-E20/F20,"")</f>
        <v>0.500833333333333</v>
      </c>
      <c r="H20" s="15" t="n">
        <v>49.95</v>
      </c>
      <c r="I20" s="18" t="n">
        <f aca="false">ROUND(H20*F20/E20,0)</f>
        <v>100</v>
      </c>
      <c r="J20" s="17" t="n">
        <f aca="false">IFERROR(1-H20/I20,"")</f>
        <v>0.5005</v>
      </c>
      <c r="K20" s="15" t="n">
        <f aca="false">H20-E20</f>
        <v>20</v>
      </c>
      <c r="L20" s="19" t="n">
        <f aca="false">IFERROR(H20/E20-1,"")</f>
        <v>0.667779632721202</v>
      </c>
      <c r="M20" s="20" t="n">
        <v>18</v>
      </c>
      <c r="N20" s="14"/>
    </row>
    <row r="21" customFormat="false" ht="15" hidden="false" customHeight="false" outlineLevel="0" collapsed="false">
      <c r="A21" s="10" t="s">
        <v>102</v>
      </c>
      <c r="B21" s="10" t="s">
        <v>103</v>
      </c>
      <c r="C21" s="10" t="s">
        <v>31</v>
      </c>
      <c r="D21" s="10" t="s">
        <v>15</v>
      </c>
      <c r="E21" s="11" t="n">
        <v>34.95</v>
      </c>
      <c r="F21" s="11" t="n">
        <v>70</v>
      </c>
      <c r="G21" s="21" t="n">
        <f aca="false">IFERROR(1-E21/F21,"")</f>
        <v>0.500714285714286</v>
      </c>
      <c r="H21" s="11" t="n">
        <v>49.95</v>
      </c>
      <c r="I21" s="12" t="n">
        <f aca="false">ROUND(H21*F21/E21,0)</f>
        <v>100</v>
      </c>
      <c r="J21" s="21" t="n">
        <f aca="false">IFERROR(1-H21/I21,"")</f>
        <v>0.5005</v>
      </c>
      <c r="K21" s="11" t="n">
        <f aca="false">H21-E21</f>
        <v>15</v>
      </c>
      <c r="L21" s="22" t="n">
        <f aca="false">IFERROR(H21/E21-1,"")</f>
        <v>0.429184549356223</v>
      </c>
      <c r="M21" s="23" t="n">
        <v>6</v>
      </c>
      <c r="N21" s="10"/>
    </row>
    <row r="22" customFormat="false" ht="15" hidden="false" customHeight="false" outlineLevel="0" collapsed="false">
      <c r="A22" s="14" t="s">
        <v>104</v>
      </c>
      <c r="B22" s="14" t="s">
        <v>105</v>
      </c>
      <c r="C22" s="14" t="s">
        <v>31</v>
      </c>
      <c r="D22" s="14" t="s">
        <v>15</v>
      </c>
      <c r="E22" s="15" t="n">
        <v>34.95</v>
      </c>
      <c r="F22" s="15" t="n">
        <v>70</v>
      </c>
      <c r="G22" s="17" t="n">
        <f aca="false">IFERROR(1-E22/F22,"")</f>
        <v>0.500714285714286</v>
      </c>
      <c r="H22" s="15" t="n">
        <v>49.95</v>
      </c>
      <c r="I22" s="18" t="n">
        <f aca="false">ROUND(H22*F22/E22,0)</f>
        <v>100</v>
      </c>
      <c r="J22" s="17" t="n">
        <f aca="false">IFERROR(1-H22/I22,"")</f>
        <v>0.5005</v>
      </c>
      <c r="K22" s="15" t="n">
        <f aca="false">H22-E22</f>
        <v>15</v>
      </c>
      <c r="L22" s="19" t="n">
        <f aca="false">IFERROR(H22/E22-1,"")</f>
        <v>0.429184549356223</v>
      </c>
      <c r="M22" s="20" t="n">
        <v>12</v>
      </c>
      <c r="N22" s="14"/>
    </row>
    <row r="23" customFormat="false" ht="15" hidden="false" customHeight="false" outlineLevel="0" collapsed="false">
      <c r="A23" s="10" t="s">
        <v>106</v>
      </c>
      <c r="B23" s="10" t="s">
        <v>107</v>
      </c>
      <c r="C23" s="10" t="s">
        <v>31</v>
      </c>
      <c r="D23" s="10" t="s">
        <v>15</v>
      </c>
      <c r="E23" s="11" t="n">
        <v>39.95</v>
      </c>
      <c r="F23" s="11" t="n">
        <v>80</v>
      </c>
      <c r="G23" s="21" t="n">
        <f aca="false">IFERROR(1-E23/F23,"")</f>
        <v>0.500625</v>
      </c>
      <c r="H23" s="11" t="n">
        <v>49.95</v>
      </c>
      <c r="I23" s="12" t="n">
        <f aca="false">ROUND(H23*F23/E23,0)</f>
        <v>100</v>
      </c>
      <c r="J23" s="21" t="n">
        <f aca="false">IFERROR(1-H23/I23,"")</f>
        <v>0.5005</v>
      </c>
      <c r="K23" s="11" t="n">
        <f aca="false">H23-E23</f>
        <v>10</v>
      </c>
      <c r="L23" s="22" t="n">
        <f aca="false">IFERROR(H23/E23-1,"")</f>
        <v>0.250312891113892</v>
      </c>
      <c r="M23" s="23" t="n">
        <v>12</v>
      </c>
      <c r="N23" s="10"/>
    </row>
    <row r="24" customFormat="false" ht="15" hidden="false" customHeight="false" outlineLevel="0" collapsed="false">
      <c r="A24" s="24" t="s">
        <v>108</v>
      </c>
      <c r="B24" s="24" t="s">
        <v>109</v>
      </c>
      <c r="C24" s="24" t="s">
        <v>31</v>
      </c>
      <c r="D24" s="24" t="s">
        <v>15</v>
      </c>
      <c r="E24" s="25" t="n">
        <v>39.95</v>
      </c>
      <c r="F24" s="25" t="n">
        <v>60</v>
      </c>
      <c r="G24" s="26" t="n">
        <f aca="false">IFERROR(1-E24/F24,"")</f>
        <v>0.334166666666667</v>
      </c>
      <c r="H24" s="25" t="n">
        <v>49.95</v>
      </c>
      <c r="I24" s="27" t="n">
        <f aca="false">ROUND(H24*F24/E24,0)</f>
        <v>75</v>
      </c>
      <c r="J24" s="26" t="n">
        <f aca="false">IFERROR(1-H24/I24,"")</f>
        <v>0.334</v>
      </c>
      <c r="K24" s="25" t="n">
        <f aca="false">H24-E24</f>
        <v>10</v>
      </c>
      <c r="L24" s="28" t="n">
        <f aca="false">IFERROR(H24/E24-1,"")</f>
        <v>0.250312891113892</v>
      </c>
      <c r="M24" s="29" t="n">
        <v>5</v>
      </c>
      <c r="N24" s="24" t="s">
        <v>110</v>
      </c>
    </row>
    <row r="25" customFormat="false" ht="15" hidden="false" customHeight="false" outlineLevel="0" collapsed="false">
      <c r="A25" s="10" t="s">
        <v>111</v>
      </c>
      <c r="B25" s="10" t="s">
        <v>112</v>
      </c>
      <c r="C25" s="10" t="s">
        <v>31</v>
      </c>
      <c r="D25" s="10" t="s">
        <v>15</v>
      </c>
      <c r="E25" s="11" t="n">
        <v>44.95</v>
      </c>
      <c r="F25" s="11" t="n">
        <v>90</v>
      </c>
      <c r="G25" s="21" t="n">
        <f aca="false">IFERROR(1-E25/F25,"")</f>
        <v>0.500555555555556</v>
      </c>
      <c r="H25" s="11" t="n">
        <v>49.95</v>
      </c>
      <c r="I25" s="12" t="n">
        <f aca="false">ROUND(H25*F25/E25,0)</f>
        <v>100</v>
      </c>
      <c r="J25" s="21" t="n">
        <f aca="false">IFERROR(1-H25/I25,"")</f>
        <v>0.5005</v>
      </c>
      <c r="K25" s="11" t="n">
        <f aca="false">H25-E25</f>
        <v>5</v>
      </c>
      <c r="L25" s="22" t="n">
        <f aca="false">IFERROR(H25/E25-1,"")</f>
        <v>0.111234705228031</v>
      </c>
      <c r="M25" s="23" t="n">
        <v>16</v>
      </c>
      <c r="N25" s="10"/>
    </row>
    <row r="26" customFormat="false" ht="15" hidden="false" customHeight="false" outlineLevel="0" collapsed="false">
      <c r="A26" s="14" t="s">
        <v>113</v>
      </c>
      <c r="B26" s="14" t="s">
        <v>114</v>
      </c>
      <c r="C26" s="14" t="s">
        <v>31</v>
      </c>
      <c r="D26" s="14" t="s">
        <v>15</v>
      </c>
      <c r="E26" s="15" t="n">
        <v>44.95</v>
      </c>
      <c r="F26" s="15" t="n">
        <v>90</v>
      </c>
      <c r="G26" s="17" t="n">
        <f aca="false">IFERROR(1-E26/F26,"")</f>
        <v>0.500555555555556</v>
      </c>
      <c r="H26" s="15" t="n">
        <v>49.95</v>
      </c>
      <c r="I26" s="18" t="n">
        <f aca="false">ROUND(H26*F26/E26,0)</f>
        <v>100</v>
      </c>
      <c r="J26" s="17" t="n">
        <f aca="false">IFERROR(1-H26/I26,"")</f>
        <v>0.5005</v>
      </c>
      <c r="K26" s="15" t="n">
        <f aca="false">H26-E26</f>
        <v>5</v>
      </c>
      <c r="L26" s="19" t="n">
        <f aca="false">IFERROR(H26/E26-1,"")</f>
        <v>0.111234705228031</v>
      </c>
      <c r="M26" s="20" t="n">
        <v>1</v>
      </c>
      <c r="N26" s="14"/>
    </row>
    <row r="27" customFormat="false" ht="15" hidden="false" customHeight="false" outlineLevel="0" collapsed="false">
      <c r="A27" s="10" t="s">
        <v>115</v>
      </c>
      <c r="B27" s="10" t="s">
        <v>116</v>
      </c>
      <c r="C27" s="10" t="s">
        <v>31</v>
      </c>
      <c r="D27" s="10" t="s">
        <v>15</v>
      </c>
      <c r="E27" s="11" t="n">
        <v>44.95</v>
      </c>
      <c r="F27" s="11" t="n">
        <v>90</v>
      </c>
      <c r="G27" s="21" t="n">
        <f aca="false">IFERROR(1-E27/F27,"")</f>
        <v>0.500555555555556</v>
      </c>
      <c r="H27" s="11" t="n">
        <v>49.95</v>
      </c>
      <c r="I27" s="12" t="n">
        <f aca="false">ROUND(H27*F27/E27,0)</f>
        <v>100</v>
      </c>
      <c r="J27" s="21" t="n">
        <f aca="false">IFERROR(1-H27/I27,"")</f>
        <v>0.5005</v>
      </c>
      <c r="K27" s="11" t="n">
        <f aca="false">H27-E27</f>
        <v>5</v>
      </c>
      <c r="L27" s="22" t="n">
        <f aca="false">IFERROR(H27/E27-1,"")</f>
        <v>0.111234705228031</v>
      </c>
      <c r="M27" s="23" t="n">
        <v>18</v>
      </c>
      <c r="N27" s="10"/>
    </row>
    <row r="28" customFormat="false" ht="15" hidden="false" customHeight="false" outlineLevel="0" collapsed="false">
      <c r="A28" s="14" t="s">
        <v>117</v>
      </c>
      <c r="B28" s="14" t="s">
        <v>118</v>
      </c>
      <c r="C28" s="14" t="s">
        <v>31</v>
      </c>
      <c r="D28" s="14" t="s">
        <v>15</v>
      </c>
      <c r="E28" s="15" t="n">
        <v>44.95</v>
      </c>
      <c r="F28" s="15" t="n">
        <v>90</v>
      </c>
      <c r="G28" s="17" t="n">
        <f aca="false">IFERROR(1-E28/F28,"")</f>
        <v>0.500555555555556</v>
      </c>
      <c r="H28" s="15" t="n">
        <v>49.95</v>
      </c>
      <c r="I28" s="18" t="n">
        <f aca="false">ROUND(H28*F28/E28,0)</f>
        <v>100</v>
      </c>
      <c r="J28" s="17" t="n">
        <f aca="false">IFERROR(1-H28/I28,"")</f>
        <v>0.5005</v>
      </c>
      <c r="K28" s="15" t="n">
        <f aca="false">H28-E28</f>
        <v>5</v>
      </c>
      <c r="L28" s="19" t="n">
        <f aca="false">IFERROR(H28/E28-1,"")</f>
        <v>0.111234705228031</v>
      </c>
      <c r="M28" s="20" t="n">
        <v>8</v>
      </c>
      <c r="N28" s="14"/>
    </row>
    <row r="29" customFormat="false" ht="15" hidden="false" customHeight="false" outlineLevel="0" collapsed="false">
      <c r="A29" s="10" t="s">
        <v>119</v>
      </c>
      <c r="B29" s="10" t="s">
        <v>120</v>
      </c>
      <c r="C29" s="10" t="s">
        <v>31</v>
      </c>
      <c r="D29" s="10" t="s">
        <v>15</v>
      </c>
      <c r="E29" s="11" t="n">
        <v>44.95</v>
      </c>
      <c r="F29" s="11" t="n">
        <v>90</v>
      </c>
      <c r="G29" s="21" t="n">
        <f aca="false">IFERROR(1-E29/F29,"")</f>
        <v>0.500555555555556</v>
      </c>
      <c r="H29" s="11" t="n">
        <v>49.95</v>
      </c>
      <c r="I29" s="12" t="n">
        <f aca="false">ROUND(H29*F29/E29,0)</f>
        <v>100</v>
      </c>
      <c r="J29" s="21" t="n">
        <f aca="false">IFERROR(1-H29/I29,"")</f>
        <v>0.5005</v>
      </c>
      <c r="K29" s="11" t="n">
        <f aca="false">H29-E29</f>
        <v>5</v>
      </c>
      <c r="L29" s="22" t="n">
        <f aca="false">IFERROR(H29/E29-1,"")</f>
        <v>0.111234705228031</v>
      </c>
      <c r="M29" s="23" t="n">
        <v>12</v>
      </c>
      <c r="N29" s="10"/>
    </row>
    <row r="30" customFormat="false" ht="15" hidden="false" customHeight="false" outlineLevel="0" collapsed="false">
      <c r="A30" s="14" t="s">
        <v>121</v>
      </c>
      <c r="B30" s="14" t="s">
        <v>122</v>
      </c>
      <c r="C30" s="14" t="s">
        <v>34</v>
      </c>
      <c r="D30" s="14" t="s">
        <v>15</v>
      </c>
      <c r="E30" s="15" t="n">
        <v>43.95</v>
      </c>
      <c r="F30" s="15" t="n">
        <v>88</v>
      </c>
      <c r="G30" s="17" t="n">
        <f aca="false">IFERROR(1-E30/F30,"")</f>
        <v>0.500568181818182</v>
      </c>
      <c r="H30" s="15" t="n">
        <v>49.95</v>
      </c>
      <c r="I30" s="18" t="n">
        <f aca="false">ROUND(H30*F30/E30,0)</f>
        <v>100</v>
      </c>
      <c r="J30" s="17" t="n">
        <f aca="false">IFERROR(1-H30/I30,"")</f>
        <v>0.5005</v>
      </c>
      <c r="K30" s="15" t="n">
        <f aca="false">H30-E30</f>
        <v>6</v>
      </c>
      <c r="L30" s="19" t="n">
        <f aca="false">IFERROR(H30/E30-1,"")</f>
        <v>0.136518771331058</v>
      </c>
      <c r="M30" s="20" t="n">
        <v>18</v>
      </c>
      <c r="N30" s="14"/>
    </row>
    <row r="31" customFormat="false" ht="15" hidden="false" customHeight="false" outlineLevel="0" collapsed="false">
      <c r="A31" s="10" t="s">
        <v>123</v>
      </c>
      <c r="B31" s="10" t="s">
        <v>124</v>
      </c>
      <c r="C31" s="10" t="s">
        <v>34</v>
      </c>
      <c r="D31" s="10" t="s">
        <v>15</v>
      </c>
      <c r="E31" s="11" t="n">
        <v>43.95</v>
      </c>
      <c r="F31" s="11" t="n">
        <v>88</v>
      </c>
      <c r="G31" s="21" t="n">
        <f aca="false">IFERROR(1-E31/F31,"")</f>
        <v>0.500568181818182</v>
      </c>
      <c r="H31" s="11" t="n">
        <v>49.95</v>
      </c>
      <c r="I31" s="12" t="n">
        <f aca="false">ROUND(H31*F31/E31,0)</f>
        <v>100</v>
      </c>
      <c r="J31" s="21" t="n">
        <f aca="false">IFERROR(1-H31/I31,"")</f>
        <v>0.5005</v>
      </c>
      <c r="K31" s="11" t="n">
        <f aca="false">H31-E31</f>
        <v>6</v>
      </c>
      <c r="L31" s="22" t="n">
        <f aca="false">IFERROR(H31/E31-1,"")</f>
        <v>0.136518771331058</v>
      </c>
      <c r="M31" s="23" t="n">
        <v>72</v>
      </c>
      <c r="N31" s="10"/>
    </row>
    <row r="32" customFormat="false" ht="15" hidden="false" customHeight="false" outlineLevel="0" collapsed="false">
      <c r="A32" s="14" t="s">
        <v>125</v>
      </c>
      <c r="B32" s="14" t="s">
        <v>126</v>
      </c>
      <c r="C32" s="14" t="s">
        <v>34</v>
      </c>
      <c r="D32" s="14" t="s">
        <v>15</v>
      </c>
      <c r="E32" s="15" t="n">
        <v>48.95</v>
      </c>
      <c r="F32" s="15" t="n">
        <v>98</v>
      </c>
      <c r="G32" s="17" t="n">
        <f aca="false">IFERROR(1-E32/F32,"")</f>
        <v>0.500510204081633</v>
      </c>
      <c r="H32" s="15" t="n">
        <v>49.95</v>
      </c>
      <c r="I32" s="18" t="n">
        <f aca="false">ROUND(H32*F32/E32,0)</f>
        <v>100</v>
      </c>
      <c r="J32" s="17" t="n">
        <f aca="false">IFERROR(1-H32/I32,"")</f>
        <v>0.5005</v>
      </c>
      <c r="K32" s="15" t="n">
        <f aca="false">H32-E32</f>
        <v>1</v>
      </c>
      <c r="L32" s="19" t="n">
        <f aca="false">IFERROR(H32/E32-1,"")</f>
        <v>0.0204290091930541</v>
      </c>
      <c r="M32" s="20" t="n">
        <v>30</v>
      </c>
      <c r="N32" s="14"/>
    </row>
    <row r="33" customFormat="false" ht="15" hidden="false" customHeight="false" outlineLevel="0" collapsed="false">
      <c r="A33" s="10" t="s">
        <v>127</v>
      </c>
      <c r="B33" s="10" t="s">
        <v>128</v>
      </c>
      <c r="C33" s="10" t="s">
        <v>34</v>
      </c>
      <c r="D33" s="10" t="s">
        <v>15</v>
      </c>
      <c r="E33" s="11" t="n">
        <v>49.95</v>
      </c>
      <c r="F33" s="11" t="n">
        <v>100</v>
      </c>
      <c r="G33" s="21" t="n">
        <f aca="false">IFERROR(1-E33/F33,"")</f>
        <v>0.5005</v>
      </c>
      <c r="H33" s="11" t="n">
        <v>49.95</v>
      </c>
      <c r="I33" s="12" t="n">
        <f aca="false">ROUND(H33*F33/E33,0)</f>
        <v>100</v>
      </c>
      <c r="J33" s="21" t="n">
        <f aca="false">IFERROR(1-H33/I33,"")</f>
        <v>0.5005</v>
      </c>
      <c r="K33" s="11" t="n">
        <f aca="false">H33-E33</f>
        <v>0</v>
      </c>
      <c r="L33" s="22" t="n">
        <f aca="false">IFERROR(H33/E33-1,"")</f>
        <v>0</v>
      </c>
      <c r="M33" s="23" t="n">
        <v>35</v>
      </c>
      <c r="N33" s="10"/>
    </row>
    <row r="34" customFormat="false" ht="15" hidden="false" customHeight="false" outlineLevel="0" collapsed="false">
      <c r="A34" s="14" t="s">
        <v>129</v>
      </c>
      <c r="B34" s="14" t="s">
        <v>130</v>
      </c>
      <c r="C34" s="14" t="s">
        <v>36</v>
      </c>
      <c r="D34" s="14" t="s">
        <v>15</v>
      </c>
      <c r="E34" s="15" t="n">
        <v>47.95</v>
      </c>
      <c r="F34" s="15" t="n">
        <v>96</v>
      </c>
      <c r="G34" s="17" t="n">
        <f aca="false">IFERROR(1-E34/F34,"")</f>
        <v>0.500520833333333</v>
      </c>
      <c r="H34" s="15" t="n">
        <v>49.95</v>
      </c>
      <c r="I34" s="18" t="n">
        <f aca="false">ROUND(H34*F34/E34,0)</f>
        <v>100</v>
      </c>
      <c r="J34" s="17" t="n">
        <f aca="false">IFERROR(1-H34/I34,"")</f>
        <v>0.5005</v>
      </c>
      <c r="K34" s="15" t="n">
        <f aca="false">H34-E34</f>
        <v>2</v>
      </c>
      <c r="L34" s="19" t="n">
        <f aca="false">IFERROR(H34/E34-1,"")</f>
        <v>0.0417101147028154</v>
      </c>
      <c r="M34" s="20" t="n">
        <v>24</v>
      </c>
      <c r="N34" s="14"/>
    </row>
    <row r="35" customFormat="false" ht="15" hidden="false" customHeight="false" outlineLevel="0" collapsed="false">
      <c r="A35" s="10" t="s">
        <v>131</v>
      </c>
      <c r="B35" s="10" t="s">
        <v>132</v>
      </c>
      <c r="C35" s="10" t="s">
        <v>36</v>
      </c>
      <c r="D35" s="10" t="s">
        <v>15</v>
      </c>
      <c r="E35" s="11" t="n">
        <v>49.95</v>
      </c>
      <c r="F35" s="11" t="n">
        <v>100</v>
      </c>
      <c r="G35" s="21" t="n">
        <f aca="false">IFERROR(1-E35/F35,"")</f>
        <v>0.5005</v>
      </c>
      <c r="H35" s="11" t="n">
        <v>49.95</v>
      </c>
      <c r="I35" s="12" t="n">
        <f aca="false">ROUND(H35*F35/E35,0)</f>
        <v>100</v>
      </c>
      <c r="J35" s="21" t="n">
        <f aca="false">IFERROR(1-H35/I35,"")</f>
        <v>0.5005</v>
      </c>
      <c r="K35" s="11" t="n">
        <f aca="false">H35-E35</f>
        <v>0</v>
      </c>
      <c r="L35" s="22" t="n">
        <f aca="false">IFERROR(H35/E35-1,"")</f>
        <v>0</v>
      </c>
      <c r="M35" s="23" t="n">
        <v>20</v>
      </c>
      <c r="N35" s="10"/>
    </row>
    <row r="36" customFormat="false" ht="15" hidden="false" customHeight="false" outlineLevel="0" collapsed="false">
      <c r="A36" s="14" t="s">
        <v>133</v>
      </c>
      <c r="B36" s="14" t="s">
        <v>134</v>
      </c>
      <c r="C36" s="14" t="s">
        <v>36</v>
      </c>
      <c r="D36" s="14" t="s">
        <v>15</v>
      </c>
      <c r="E36" s="15" t="n">
        <v>49.95</v>
      </c>
      <c r="F36" s="15" t="n">
        <v>100</v>
      </c>
      <c r="G36" s="17" t="n">
        <f aca="false">IFERROR(1-E36/F36,"")</f>
        <v>0.5005</v>
      </c>
      <c r="H36" s="15" t="n">
        <v>49.95</v>
      </c>
      <c r="I36" s="18" t="n">
        <f aca="false">ROUND(H36*F36/E36,0)</f>
        <v>100</v>
      </c>
      <c r="J36" s="17" t="n">
        <f aca="false">IFERROR(1-H36/I36,"")</f>
        <v>0.5005</v>
      </c>
      <c r="K36" s="15" t="n">
        <f aca="false">H36-E36</f>
        <v>0</v>
      </c>
      <c r="L36" s="19" t="n">
        <f aca="false">IFERROR(H36/E36-1,"")</f>
        <v>0</v>
      </c>
      <c r="M36" s="20" t="n">
        <v>6</v>
      </c>
      <c r="N36" s="14"/>
    </row>
    <row r="37" customFormat="false" ht="15" hidden="false" customHeight="false" outlineLevel="0" collapsed="false">
      <c r="A37" s="10" t="s">
        <v>135</v>
      </c>
      <c r="B37" s="10" t="s">
        <v>136</v>
      </c>
      <c r="C37" s="10" t="s">
        <v>36</v>
      </c>
      <c r="D37" s="10" t="s">
        <v>15</v>
      </c>
      <c r="E37" s="11" t="n">
        <v>49.95</v>
      </c>
      <c r="F37" s="11" t="n">
        <v>100</v>
      </c>
      <c r="G37" s="21" t="n">
        <f aca="false">IFERROR(1-E37/F37,"")</f>
        <v>0.5005</v>
      </c>
      <c r="H37" s="11" t="n">
        <v>49.95</v>
      </c>
      <c r="I37" s="12" t="n">
        <f aca="false">ROUND(H37*F37/E37,0)</f>
        <v>100</v>
      </c>
      <c r="J37" s="21" t="n">
        <f aca="false">IFERROR(1-H37/I37,"")</f>
        <v>0.5005</v>
      </c>
      <c r="K37" s="11" t="n">
        <f aca="false">H37-E37</f>
        <v>0</v>
      </c>
      <c r="L37" s="22" t="n">
        <f aca="false">IFERROR(H37/E37-1,"")</f>
        <v>0</v>
      </c>
      <c r="M37" s="23" t="n">
        <v>60</v>
      </c>
      <c r="N37" s="10"/>
    </row>
    <row r="38" customFormat="false" ht="15" hidden="false" customHeight="false" outlineLevel="0" collapsed="false">
      <c r="A38" s="14" t="s">
        <v>137</v>
      </c>
      <c r="B38" s="14" t="s">
        <v>138</v>
      </c>
      <c r="C38" s="14" t="s">
        <v>39</v>
      </c>
      <c r="D38" s="14" t="s">
        <v>15</v>
      </c>
      <c r="E38" s="15" t="n">
        <v>29.95</v>
      </c>
      <c r="F38" s="15" t="n">
        <v>60</v>
      </c>
      <c r="G38" s="17" t="n">
        <f aca="false">IFERROR(1-E38/F38,"")</f>
        <v>0.500833333333333</v>
      </c>
      <c r="H38" s="15" t="n">
        <v>49.95</v>
      </c>
      <c r="I38" s="18" t="n">
        <f aca="false">ROUND(H38*F38/E38,0)</f>
        <v>100</v>
      </c>
      <c r="J38" s="17" t="n">
        <f aca="false">IFERROR(1-H38/I38,"")</f>
        <v>0.5005</v>
      </c>
      <c r="K38" s="15" t="n">
        <f aca="false">H38-E38</f>
        <v>20</v>
      </c>
      <c r="L38" s="19" t="n">
        <f aca="false">IFERROR(H38/E38-1,"")</f>
        <v>0.667779632721202</v>
      </c>
      <c r="M38" s="20" t="n">
        <v>14</v>
      </c>
      <c r="N38" s="14"/>
    </row>
    <row r="39" customFormat="false" ht="15" hidden="false" customHeight="false" outlineLevel="0" collapsed="false">
      <c r="A39" s="10" t="s">
        <v>139</v>
      </c>
      <c r="B39" s="10" t="s">
        <v>140</v>
      </c>
      <c r="C39" s="10" t="s">
        <v>39</v>
      </c>
      <c r="D39" s="10" t="s">
        <v>15</v>
      </c>
      <c r="E39" s="11" t="n">
        <v>31.95</v>
      </c>
      <c r="F39" s="11" t="n">
        <v>64</v>
      </c>
      <c r="G39" s="21" t="n">
        <f aca="false">IFERROR(1-E39/F39,"")</f>
        <v>0.50078125</v>
      </c>
      <c r="H39" s="11" t="n">
        <v>49.95</v>
      </c>
      <c r="I39" s="12" t="n">
        <f aca="false">ROUND(H39*F39/E39,0)</f>
        <v>100</v>
      </c>
      <c r="J39" s="21" t="n">
        <f aca="false">IFERROR(1-H39/I39,"")</f>
        <v>0.5005</v>
      </c>
      <c r="K39" s="11" t="n">
        <f aca="false">H39-E39</f>
        <v>18</v>
      </c>
      <c r="L39" s="22" t="n">
        <f aca="false">IFERROR(H39/E39-1,"")</f>
        <v>0.563380281690141</v>
      </c>
      <c r="M39" s="23" t="n">
        <v>25</v>
      </c>
      <c r="N39" s="10"/>
    </row>
    <row r="40" customFormat="false" ht="15" hidden="false" customHeight="false" outlineLevel="0" collapsed="false">
      <c r="A40" s="14" t="s">
        <v>141</v>
      </c>
      <c r="B40" s="14" t="s">
        <v>142</v>
      </c>
      <c r="C40" s="14" t="s">
        <v>39</v>
      </c>
      <c r="D40" s="14" t="s">
        <v>15</v>
      </c>
      <c r="E40" s="15" t="n">
        <v>33.95</v>
      </c>
      <c r="F40" s="15" t="n">
        <v>68</v>
      </c>
      <c r="G40" s="17" t="n">
        <f aca="false">IFERROR(1-E40/F40,"")</f>
        <v>0.500735294117647</v>
      </c>
      <c r="H40" s="15" t="n">
        <v>49.95</v>
      </c>
      <c r="I40" s="18" t="n">
        <f aca="false">ROUND(H40*F40/E40,0)</f>
        <v>100</v>
      </c>
      <c r="J40" s="17" t="n">
        <f aca="false">IFERROR(1-H40/I40,"")</f>
        <v>0.5005</v>
      </c>
      <c r="K40" s="15" t="n">
        <f aca="false">H40-E40</f>
        <v>16</v>
      </c>
      <c r="L40" s="19" t="n">
        <f aca="false">IFERROR(H40/E40-1,"")</f>
        <v>0.471281296023564</v>
      </c>
      <c r="M40" s="20" t="n">
        <v>25</v>
      </c>
      <c r="N40" s="14"/>
    </row>
    <row r="41" customFormat="false" ht="15" hidden="false" customHeight="false" outlineLevel="0" collapsed="false">
      <c r="A41" s="10" t="s">
        <v>143</v>
      </c>
      <c r="B41" s="10" t="s">
        <v>144</v>
      </c>
      <c r="C41" s="10" t="s">
        <v>39</v>
      </c>
      <c r="D41" s="10" t="s">
        <v>15</v>
      </c>
      <c r="E41" s="11" t="n">
        <v>37.95</v>
      </c>
      <c r="F41" s="11" t="n">
        <v>76</v>
      </c>
      <c r="G41" s="21" t="n">
        <f aca="false">IFERROR(1-E41/F41,"")</f>
        <v>0.500657894736842</v>
      </c>
      <c r="H41" s="11" t="n">
        <v>49.95</v>
      </c>
      <c r="I41" s="12" t="n">
        <f aca="false">ROUND(H41*F41/E41,0)</f>
        <v>100</v>
      </c>
      <c r="J41" s="21" t="n">
        <f aca="false">IFERROR(1-H41/I41,"")</f>
        <v>0.5005</v>
      </c>
      <c r="K41" s="11" t="n">
        <f aca="false">H41-E41</f>
        <v>12</v>
      </c>
      <c r="L41" s="22" t="n">
        <f aca="false">IFERROR(H41/E41-1,"")</f>
        <v>0.316205533596838</v>
      </c>
      <c r="M41" s="23" t="n">
        <v>84</v>
      </c>
      <c r="N41" s="10"/>
    </row>
    <row r="42" customFormat="false" ht="15" hidden="false" customHeight="false" outlineLevel="0" collapsed="false">
      <c r="A42" s="14" t="s">
        <v>145</v>
      </c>
      <c r="B42" s="14" t="s">
        <v>146</v>
      </c>
      <c r="C42" s="14" t="s">
        <v>39</v>
      </c>
      <c r="D42" s="14" t="s">
        <v>15</v>
      </c>
      <c r="E42" s="15" t="n">
        <v>38.95</v>
      </c>
      <c r="F42" s="15" t="n">
        <v>78</v>
      </c>
      <c r="G42" s="17" t="n">
        <f aca="false">IFERROR(1-E42/F42,"")</f>
        <v>0.500641025641026</v>
      </c>
      <c r="H42" s="15" t="n">
        <v>49.95</v>
      </c>
      <c r="I42" s="18" t="n">
        <f aca="false">ROUND(H42*F42/E42,0)</f>
        <v>100</v>
      </c>
      <c r="J42" s="17" t="n">
        <f aca="false">IFERROR(1-H42/I42,"")</f>
        <v>0.5005</v>
      </c>
      <c r="K42" s="15" t="n">
        <f aca="false">H42-E42</f>
        <v>11</v>
      </c>
      <c r="L42" s="19" t="n">
        <f aca="false">IFERROR(H42/E42-1,"")</f>
        <v>0.282413350449294</v>
      </c>
      <c r="M42" s="20" t="n">
        <v>5</v>
      </c>
      <c r="N42" s="14"/>
    </row>
    <row r="43" customFormat="false" ht="15" hidden="false" customHeight="false" outlineLevel="0" collapsed="false">
      <c r="A43" s="10" t="s">
        <v>147</v>
      </c>
      <c r="B43" s="10" t="s">
        <v>148</v>
      </c>
      <c r="C43" s="10" t="s">
        <v>39</v>
      </c>
      <c r="D43" s="10" t="s">
        <v>15</v>
      </c>
      <c r="E43" s="11" t="n">
        <v>39.95</v>
      </c>
      <c r="F43" s="11" t="n">
        <v>80</v>
      </c>
      <c r="G43" s="21" t="n">
        <f aca="false">IFERROR(1-E43/F43,"")</f>
        <v>0.500625</v>
      </c>
      <c r="H43" s="11" t="n">
        <v>49.95</v>
      </c>
      <c r="I43" s="12" t="n">
        <f aca="false">ROUND(H43*F43/E43,0)</f>
        <v>100</v>
      </c>
      <c r="J43" s="21" t="n">
        <f aca="false">IFERROR(1-H43/I43,"")</f>
        <v>0.5005</v>
      </c>
      <c r="K43" s="11" t="n">
        <f aca="false">H43-E43</f>
        <v>10</v>
      </c>
      <c r="L43" s="22" t="n">
        <f aca="false">IFERROR(H43/E43-1,"")</f>
        <v>0.250312891113892</v>
      </c>
      <c r="M43" s="23" t="n">
        <v>30</v>
      </c>
      <c r="N43" s="10"/>
    </row>
    <row r="44" customFormat="false" ht="15" hidden="false" customHeight="false" outlineLevel="0" collapsed="false">
      <c r="A44" s="14" t="s">
        <v>149</v>
      </c>
      <c r="B44" s="14" t="s">
        <v>150</v>
      </c>
      <c r="C44" s="14" t="s">
        <v>39</v>
      </c>
      <c r="D44" s="14" t="s">
        <v>15</v>
      </c>
      <c r="E44" s="15" t="n">
        <v>39.95</v>
      </c>
      <c r="F44" s="15" t="n">
        <v>80</v>
      </c>
      <c r="G44" s="17" t="n">
        <f aca="false">IFERROR(1-E44/F44,"")</f>
        <v>0.500625</v>
      </c>
      <c r="H44" s="15" t="n">
        <v>49.95</v>
      </c>
      <c r="I44" s="18" t="n">
        <f aca="false">ROUND(H44*F44/E44,0)</f>
        <v>100</v>
      </c>
      <c r="J44" s="17" t="n">
        <f aca="false">IFERROR(1-H44/I44,"")</f>
        <v>0.5005</v>
      </c>
      <c r="K44" s="15" t="n">
        <f aca="false">H44-E44</f>
        <v>10</v>
      </c>
      <c r="L44" s="19" t="n">
        <f aca="false">IFERROR(H44/E44-1,"")</f>
        <v>0.250312891113892</v>
      </c>
      <c r="M44" s="20" t="n">
        <v>15</v>
      </c>
      <c r="N44" s="14"/>
    </row>
    <row r="45" customFormat="false" ht="15" hidden="false" customHeight="false" outlineLevel="0" collapsed="false">
      <c r="A45" s="10" t="s">
        <v>151</v>
      </c>
      <c r="B45" s="10" t="s">
        <v>152</v>
      </c>
      <c r="C45" s="10" t="s">
        <v>39</v>
      </c>
      <c r="D45" s="10" t="s">
        <v>15</v>
      </c>
      <c r="E45" s="11" t="n">
        <v>41.95</v>
      </c>
      <c r="F45" s="11" t="n">
        <v>84</v>
      </c>
      <c r="G45" s="21" t="n">
        <f aca="false">IFERROR(1-E45/F45,"")</f>
        <v>0.500595238095238</v>
      </c>
      <c r="H45" s="11" t="n">
        <v>49.95</v>
      </c>
      <c r="I45" s="12" t="n">
        <f aca="false">ROUND(H45*F45/E45,0)</f>
        <v>100</v>
      </c>
      <c r="J45" s="21" t="n">
        <f aca="false">IFERROR(1-H45/I45,"")</f>
        <v>0.5005</v>
      </c>
      <c r="K45" s="11" t="n">
        <f aca="false">H45-E45</f>
        <v>8</v>
      </c>
      <c r="L45" s="22" t="n">
        <f aca="false">IFERROR(H45/E45-1,"")</f>
        <v>0.190703218116806</v>
      </c>
      <c r="M45" s="23" t="n">
        <v>5</v>
      </c>
      <c r="N45" s="10"/>
    </row>
    <row r="46" customFormat="false" ht="15" hidden="false" customHeight="false" outlineLevel="0" collapsed="false">
      <c r="A46" s="14" t="s">
        <v>153</v>
      </c>
      <c r="B46" s="14" t="s">
        <v>154</v>
      </c>
      <c r="C46" s="14" t="s">
        <v>39</v>
      </c>
      <c r="D46" s="14" t="s">
        <v>15</v>
      </c>
      <c r="E46" s="15" t="n">
        <v>42.95</v>
      </c>
      <c r="F46" s="15" t="n">
        <v>86</v>
      </c>
      <c r="G46" s="17" t="n">
        <f aca="false">IFERROR(1-E46/F46,"")</f>
        <v>0.500581395348837</v>
      </c>
      <c r="H46" s="15" t="n">
        <v>49.95</v>
      </c>
      <c r="I46" s="18" t="n">
        <f aca="false">ROUND(H46*F46/E46,0)</f>
        <v>100</v>
      </c>
      <c r="J46" s="17" t="n">
        <f aca="false">IFERROR(1-H46/I46,"")</f>
        <v>0.5005</v>
      </c>
      <c r="K46" s="15" t="n">
        <f aca="false">H46-E46</f>
        <v>7</v>
      </c>
      <c r="L46" s="19" t="n">
        <f aca="false">IFERROR(H46/E46-1,"")</f>
        <v>0.162980209545984</v>
      </c>
      <c r="M46" s="20" t="n">
        <v>40</v>
      </c>
      <c r="N46" s="14"/>
    </row>
    <row r="47" customFormat="false" ht="15" hidden="false" customHeight="false" outlineLevel="0" collapsed="false">
      <c r="A47" s="10" t="s">
        <v>155</v>
      </c>
      <c r="B47" s="10" t="s">
        <v>156</v>
      </c>
      <c r="C47" s="10" t="s">
        <v>39</v>
      </c>
      <c r="D47" s="10" t="s">
        <v>15</v>
      </c>
      <c r="E47" s="11" t="n">
        <v>42.95</v>
      </c>
      <c r="F47" s="11" t="n">
        <v>86</v>
      </c>
      <c r="G47" s="21" t="n">
        <f aca="false">IFERROR(1-E47/F47,"")</f>
        <v>0.500581395348837</v>
      </c>
      <c r="H47" s="11" t="n">
        <v>49.95</v>
      </c>
      <c r="I47" s="12" t="n">
        <f aca="false">ROUND(H47*F47/E47,0)</f>
        <v>100</v>
      </c>
      <c r="J47" s="21" t="n">
        <f aca="false">IFERROR(1-H47/I47,"")</f>
        <v>0.5005</v>
      </c>
      <c r="K47" s="11" t="n">
        <f aca="false">H47-E47</f>
        <v>7</v>
      </c>
      <c r="L47" s="22" t="n">
        <f aca="false">IFERROR(H47/E47-1,"")</f>
        <v>0.162980209545984</v>
      </c>
      <c r="M47" s="23" t="n">
        <v>45</v>
      </c>
      <c r="N47" s="10"/>
    </row>
    <row r="48" customFormat="false" ht="15" hidden="false" customHeight="false" outlineLevel="0" collapsed="false">
      <c r="A48" s="14" t="s">
        <v>157</v>
      </c>
      <c r="B48" s="14" t="s">
        <v>158</v>
      </c>
      <c r="C48" s="14" t="s">
        <v>39</v>
      </c>
      <c r="D48" s="14" t="s">
        <v>15</v>
      </c>
      <c r="E48" s="15" t="n">
        <v>43.95</v>
      </c>
      <c r="F48" s="15" t="n">
        <v>88</v>
      </c>
      <c r="G48" s="17" t="n">
        <f aca="false">IFERROR(1-E48/F48,"")</f>
        <v>0.500568181818182</v>
      </c>
      <c r="H48" s="15" t="n">
        <v>49.95</v>
      </c>
      <c r="I48" s="18" t="n">
        <f aca="false">ROUND(H48*F48/E48,0)</f>
        <v>100</v>
      </c>
      <c r="J48" s="17" t="n">
        <f aca="false">IFERROR(1-H48/I48,"")</f>
        <v>0.5005</v>
      </c>
      <c r="K48" s="15" t="n">
        <f aca="false">H48-E48</f>
        <v>6</v>
      </c>
      <c r="L48" s="19" t="n">
        <f aca="false">IFERROR(H48/E48-1,"")</f>
        <v>0.136518771331058</v>
      </c>
      <c r="M48" s="20" t="n">
        <v>70</v>
      </c>
      <c r="N48" s="14"/>
    </row>
    <row r="49" customFormat="false" ht="15" hidden="false" customHeight="false" outlineLevel="0" collapsed="false">
      <c r="A49" s="10" t="s">
        <v>159</v>
      </c>
      <c r="B49" s="10" t="s">
        <v>160</v>
      </c>
      <c r="C49" s="10" t="s">
        <v>39</v>
      </c>
      <c r="D49" s="10" t="s">
        <v>15</v>
      </c>
      <c r="E49" s="11" t="n">
        <v>44.95</v>
      </c>
      <c r="F49" s="11" t="n">
        <v>90</v>
      </c>
      <c r="G49" s="21" t="n">
        <f aca="false">IFERROR(1-E49/F49,"")</f>
        <v>0.500555555555556</v>
      </c>
      <c r="H49" s="11" t="n">
        <v>49.95</v>
      </c>
      <c r="I49" s="12" t="n">
        <f aca="false">ROUND(H49*F49/E49,0)</f>
        <v>100</v>
      </c>
      <c r="J49" s="21" t="n">
        <f aca="false">IFERROR(1-H49/I49,"")</f>
        <v>0.5005</v>
      </c>
      <c r="K49" s="11" t="n">
        <f aca="false">H49-E49</f>
        <v>5</v>
      </c>
      <c r="L49" s="22" t="n">
        <f aca="false">IFERROR(H49/E49-1,"")</f>
        <v>0.111234705228031</v>
      </c>
      <c r="M49" s="23" t="n">
        <v>8</v>
      </c>
      <c r="N49" s="10"/>
    </row>
    <row r="50" customFormat="false" ht="15" hidden="false" customHeight="false" outlineLevel="0" collapsed="false">
      <c r="A50" s="14" t="s">
        <v>161</v>
      </c>
      <c r="B50" s="14" t="s">
        <v>162</v>
      </c>
      <c r="C50" s="14" t="s">
        <v>39</v>
      </c>
      <c r="D50" s="14" t="s">
        <v>15</v>
      </c>
      <c r="E50" s="15" t="n">
        <v>45.95</v>
      </c>
      <c r="F50" s="15" t="n">
        <v>92</v>
      </c>
      <c r="G50" s="17" t="n">
        <f aca="false">IFERROR(1-E50/F50,"")</f>
        <v>0.50054347826087</v>
      </c>
      <c r="H50" s="15" t="n">
        <v>49.95</v>
      </c>
      <c r="I50" s="18" t="n">
        <f aca="false">ROUND(H50*F50/E50,0)</f>
        <v>100</v>
      </c>
      <c r="J50" s="17" t="n">
        <f aca="false">IFERROR(1-H50/I50,"")</f>
        <v>0.5005</v>
      </c>
      <c r="K50" s="15" t="n">
        <f aca="false">H50-E50</f>
        <v>4</v>
      </c>
      <c r="L50" s="19" t="n">
        <f aca="false">IFERROR(H50/E50-1,"")</f>
        <v>0.0870511425462459</v>
      </c>
      <c r="M50" s="20" t="n">
        <v>36</v>
      </c>
      <c r="N50" s="14"/>
    </row>
    <row r="51" customFormat="false" ht="15" hidden="false" customHeight="false" outlineLevel="0" collapsed="false">
      <c r="A51" s="10" t="s">
        <v>163</v>
      </c>
      <c r="B51" s="10" t="s">
        <v>164</v>
      </c>
      <c r="C51" s="10" t="s">
        <v>39</v>
      </c>
      <c r="D51" s="10" t="s">
        <v>15</v>
      </c>
      <c r="E51" s="11" t="n">
        <v>46.95</v>
      </c>
      <c r="F51" s="11" t="n">
        <v>94</v>
      </c>
      <c r="G51" s="21" t="n">
        <f aca="false">IFERROR(1-E51/F51,"")</f>
        <v>0.500531914893617</v>
      </c>
      <c r="H51" s="11" t="n">
        <v>49.95</v>
      </c>
      <c r="I51" s="12" t="n">
        <f aca="false">ROUND(H51*F51/E51,0)</f>
        <v>100</v>
      </c>
      <c r="J51" s="21" t="n">
        <f aca="false">IFERROR(1-H51/I51,"")</f>
        <v>0.5005</v>
      </c>
      <c r="K51" s="11" t="n">
        <f aca="false">H51-E51</f>
        <v>3</v>
      </c>
      <c r="L51" s="22" t="n">
        <f aca="false">IFERROR(H51/E51-1,"")</f>
        <v>0.0638977635782747</v>
      </c>
      <c r="M51" s="23" t="n">
        <v>48</v>
      </c>
      <c r="N51" s="10"/>
    </row>
    <row r="52" customFormat="false" ht="15" hidden="false" customHeight="false" outlineLevel="0" collapsed="false">
      <c r="A52" s="14" t="s">
        <v>165</v>
      </c>
      <c r="B52" s="14" t="s">
        <v>166</v>
      </c>
      <c r="C52" s="14" t="s">
        <v>39</v>
      </c>
      <c r="D52" s="14" t="s">
        <v>15</v>
      </c>
      <c r="E52" s="15" t="n">
        <v>47.95</v>
      </c>
      <c r="F52" s="15" t="n">
        <v>96</v>
      </c>
      <c r="G52" s="17" t="n">
        <f aca="false">IFERROR(1-E52/F52,"")</f>
        <v>0.500520833333333</v>
      </c>
      <c r="H52" s="15" t="n">
        <v>49.95</v>
      </c>
      <c r="I52" s="18" t="n">
        <f aca="false">ROUND(H52*F52/E52,0)</f>
        <v>100</v>
      </c>
      <c r="J52" s="17" t="n">
        <f aca="false">IFERROR(1-H52/I52,"")</f>
        <v>0.5005</v>
      </c>
      <c r="K52" s="15" t="n">
        <f aca="false">H52-E52</f>
        <v>2</v>
      </c>
      <c r="L52" s="19" t="n">
        <f aca="false">IFERROR(H52/E52-1,"")</f>
        <v>0.0417101147028154</v>
      </c>
      <c r="M52" s="20" t="n">
        <v>7</v>
      </c>
      <c r="N52" s="14"/>
    </row>
    <row r="53" customFormat="false" ht="15" hidden="false" customHeight="false" outlineLevel="0" collapsed="false">
      <c r="A53" s="10" t="s">
        <v>167</v>
      </c>
      <c r="B53" s="10" t="s">
        <v>168</v>
      </c>
      <c r="C53" s="10" t="s">
        <v>39</v>
      </c>
      <c r="D53" s="10" t="s">
        <v>15</v>
      </c>
      <c r="E53" s="11" t="n">
        <v>47.95</v>
      </c>
      <c r="F53" s="11" t="n">
        <v>96</v>
      </c>
      <c r="G53" s="21" t="n">
        <f aca="false">IFERROR(1-E53/F53,"")</f>
        <v>0.500520833333333</v>
      </c>
      <c r="H53" s="11" t="n">
        <v>49.95</v>
      </c>
      <c r="I53" s="12" t="n">
        <f aca="false">ROUND(H53*F53/E53,0)</f>
        <v>100</v>
      </c>
      <c r="J53" s="21" t="n">
        <f aca="false">IFERROR(1-H53/I53,"")</f>
        <v>0.5005</v>
      </c>
      <c r="K53" s="11" t="n">
        <f aca="false">H53-E53</f>
        <v>2</v>
      </c>
      <c r="L53" s="22" t="n">
        <f aca="false">IFERROR(H53/E53-1,"")</f>
        <v>0.0417101147028154</v>
      </c>
      <c r="M53" s="23" t="n">
        <v>5</v>
      </c>
      <c r="N53" s="10"/>
    </row>
    <row r="54" customFormat="false" ht="15" hidden="false" customHeight="false" outlineLevel="0" collapsed="false">
      <c r="A54" s="14" t="s">
        <v>169</v>
      </c>
      <c r="B54" s="14" t="s">
        <v>170</v>
      </c>
      <c r="C54" s="14" t="s">
        <v>39</v>
      </c>
      <c r="D54" s="14" t="s">
        <v>15</v>
      </c>
      <c r="E54" s="15" t="n">
        <v>47.95</v>
      </c>
      <c r="F54" s="15" t="n">
        <v>96</v>
      </c>
      <c r="G54" s="17" t="n">
        <f aca="false">IFERROR(1-E54/F54,"")</f>
        <v>0.500520833333333</v>
      </c>
      <c r="H54" s="15" t="n">
        <v>49.95</v>
      </c>
      <c r="I54" s="18" t="n">
        <f aca="false">ROUND(H54*F54/E54,0)</f>
        <v>100</v>
      </c>
      <c r="J54" s="17" t="n">
        <f aca="false">IFERROR(1-H54/I54,"")</f>
        <v>0.5005</v>
      </c>
      <c r="K54" s="15" t="n">
        <f aca="false">H54-E54</f>
        <v>2</v>
      </c>
      <c r="L54" s="19" t="n">
        <f aca="false">IFERROR(H54/E54-1,"")</f>
        <v>0.0417101147028154</v>
      </c>
      <c r="M54" s="20" t="n">
        <v>4</v>
      </c>
      <c r="N54" s="14"/>
    </row>
    <row r="55" customFormat="false" ht="15" hidden="false" customHeight="false" outlineLevel="0" collapsed="false">
      <c r="A55" s="10" t="s">
        <v>171</v>
      </c>
      <c r="B55" s="10" t="s">
        <v>172</v>
      </c>
      <c r="C55" s="10" t="s">
        <v>39</v>
      </c>
      <c r="D55" s="10" t="s">
        <v>15</v>
      </c>
      <c r="E55" s="11" t="n">
        <v>47.95</v>
      </c>
      <c r="F55" s="11" t="n">
        <v>96</v>
      </c>
      <c r="G55" s="21" t="n">
        <f aca="false">IFERROR(1-E55/F55,"")</f>
        <v>0.500520833333333</v>
      </c>
      <c r="H55" s="11" t="n">
        <v>49.95</v>
      </c>
      <c r="I55" s="12" t="n">
        <f aca="false">ROUND(H55*F55/E55,0)</f>
        <v>100</v>
      </c>
      <c r="J55" s="21" t="n">
        <f aca="false">IFERROR(1-H55/I55,"")</f>
        <v>0.5005</v>
      </c>
      <c r="K55" s="11" t="n">
        <f aca="false">H55-E55</f>
        <v>2</v>
      </c>
      <c r="L55" s="22" t="n">
        <f aca="false">IFERROR(H55/E55-1,"")</f>
        <v>0.0417101147028154</v>
      </c>
      <c r="M55" s="23" t="n">
        <v>3</v>
      </c>
      <c r="N55" s="10"/>
    </row>
    <row r="56" customFormat="false" ht="15" hidden="false" customHeight="false" outlineLevel="0" collapsed="false">
      <c r="A56" s="14" t="s">
        <v>173</v>
      </c>
      <c r="B56" s="14" t="s">
        <v>174</v>
      </c>
      <c r="C56" s="14" t="s">
        <v>39</v>
      </c>
      <c r="D56" s="14" t="s">
        <v>15</v>
      </c>
      <c r="E56" s="15" t="n">
        <v>47.95</v>
      </c>
      <c r="F56" s="15" t="n">
        <v>96</v>
      </c>
      <c r="G56" s="17" t="n">
        <f aca="false">IFERROR(1-E56/F56,"")</f>
        <v>0.500520833333333</v>
      </c>
      <c r="H56" s="15" t="n">
        <v>49.95</v>
      </c>
      <c r="I56" s="18" t="n">
        <f aca="false">ROUND(H56*F56/E56,0)</f>
        <v>100</v>
      </c>
      <c r="J56" s="17" t="n">
        <f aca="false">IFERROR(1-H56/I56,"")</f>
        <v>0.5005</v>
      </c>
      <c r="K56" s="15" t="n">
        <f aca="false">H56-E56</f>
        <v>2</v>
      </c>
      <c r="L56" s="19" t="n">
        <f aca="false">IFERROR(H56/E56-1,"")</f>
        <v>0.0417101147028154</v>
      </c>
      <c r="M56" s="20" t="n">
        <v>32</v>
      </c>
      <c r="N56" s="14"/>
    </row>
    <row r="57" customFormat="false" ht="15" hidden="false" customHeight="false" outlineLevel="0" collapsed="false">
      <c r="A57" s="10" t="s">
        <v>175</v>
      </c>
      <c r="B57" s="10" t="s">
        <v>176</v>
      </c>
      <c r="C57" s="10" t="s">
        <v>39</v>
      </c>
      <c r="D57" s="10" t="s">
        <v>15</v>
      </c>
      <c r="E57" s="11" t="n">
        <v>47.95</v>
      </c>
      <c r="F57" s="11" t="n">
        <v>96</v>
      </c>
      <c r="G57" s="21" t="n">
        <f aca="false">IFERROR(1-E57/F57,"")</f>
        <v>0.500520833333333</v>
      </c>
      <c r="H57" s="11" t="n">
        <v>49.95</v>
      </c>
      <c r="I57" s="12" t="n">
        <f aca="false">ROUND(H57*F57/E57,0)</f>
        <v>100</v>
      </c>
      <c r="J57" s="21" t="n">
        <f aca="false">IFERROR(1-H57/I57,"")</f>
        <v>0.5005</v>
      </c>
      <c r="K57" s="11" t="n">
        <f aca="false">H57-E57</f>
        <v>2</v>
      </c>
      <c r="L57" s="22" t="n">
        <f aca="false">IFERROR(H57/E57-1,"")</f>
        <v>0.0417101147028154</v>
      </c>
      <c r="M57" s="23" t="n">
        <v>10</v>
      </c>
      <c r="N57" s="10"/>
    </row>
    <row r="58" customFormat="false" ht="15" hidden="false" customHeight="false" outlineLevel="0" collapsed="false">
      <c r="A58" s="14" t="s">
        <v>177</v>
      </c>
      <c r="B58" s="14" t="s">
        <v>178</v>
      </c>
      <c r="C58" s="14" t="s">
        <v>39</v>
      </c>
      <c r="D58" s="14" t="s">
        <v>15</v>
      </c>
      <c r="E58" s="15" t="n">
        <v>47.95</v>
      </c>
      <c r="F58" s="15" t="n">
        <v>96</v>
      </c>
      <c r="G58" s="17" t="n">
        <f aca="false">IFERROR(1-E58/F58,"")</f>
        <v>0.500520833333333</v>
      </c>
      <c r="H58" s="15" t="n">
        <v>49.95</v>
      </c>
      <c r="I58" s="18" t="n">
        <f aca="false">ROUND(H58*F58/E58,0)</f>
        <v>100</v>
      </c>
      <c r="J58" s="17" t="n">
        <f aca="false">IFERROR(1-H58/I58,"")</f>
        <v>0.5005</v>
      </c>
      <c r="K58" s="15" t="n">
        <f aca="false">H58-E58</f>
        <v>2</v>
      </c>
      <c r="L58" s="19" t="n">
        <f aca="false">IFERROR(H58/E58-1,"")</f>
        <v>0.0417101147028154</v>
      </c>
      <c r="M58" s="20" t="n">
        <v>25</v>
      </c>
      <c r="N58" s="14"/>
    </row>
    <row r="59" customFormat="false" ht="15" hidden="false" customHeight="false" outlineLevel="0" collapsed="false">
      <c r="A59" s="10" t="s">
        <v>179</v>
      </c>
      <c r="B59" s="10" t="s">
        <v>180</v>
      </c>
      <c r="C59" s="10" t="s">
        <v>39</v>
      </c>
      <c r="D59" s="10" t="s">
        <v>15</v>
      </c>
      <c r="E59" s="11" t="n">
        <v>47.95</v>
      </c>
      <c r="F59" s="11" t="n">
        <v>96</v>
      </c>
      <c r="G59" s="21" t="n">
        <f aca="false">IFERROR(1-E59/F59,"")</f>
        <v>0.500520833333333</v>
      </c>
      <c r="H59" s="11" t="n">
        <v>49.95</v>
      </c>
      <c r="I59" s="12" t="n">
        <f aca="false">ROUND(H59*F59/E59,0)</f>
        <v>100</v>
      </c>
      <c r="J59" s="21" t="n">
        <f aca="false">IFERROR(1-H59/I59,"")</f>
        <v>0.5005</v>
      </c>
      <c r="K59" s="11" t="n">
        <f aca="false">H59-E59</f>
        <v>2</v>
      </c>
      <c r="L59" s="22" t="n">
        <f aca="false">IFERROR(H59/E59-1,"")</f>
        <v>0.0417101147028154</v>
      </c>
      <c r="M59" s="23" t="n">
        <v>55</v>
      </c>
      <c r="N59" s="10"/>
    </row>
    <row r="60" customFormat="false" ht="15" hidden="false" customHeight="false" outlineLevel="0" collapsed="false">
      <c r="A60" s="24" t="s">
        <v>181</v>
      </c>
      <c r="B60" s="24" t="s">
        <v>182</v>
      </c>
      <c r="C60" s="24" t="s">
        <v>39</v>
      </c>
      <c r="D60" s="24" t="s">
        <v>15</v>
      </c>
      <c r="E60" s="25" t="n">
        <v>49.95</v>
      </c>
      <c r="F60" s="25" t="n">
        <v>36</v>
      </c>
      <c r="G60" s="26" t="n">
        <f aca="false">IFERROR(1-E60/F60,"")</f>
        <v>-0.3875</v>
      </c>
      <c r="H60" s="25" t="n">
        <v>49.95</v>
      </c>
      <c r="I60" s="27" t="n">
        <f aca="false">ROUND(H60*2,0)</f>
        <v>100</v>
      </c>
      <c r="J60" s="26" t="n">
        <f aca="false">IFERROR(1-H60/I60,"")</f>
        <v>0.5005</v>
      </c>
      <c r="K60" s="25" t="n">
        <f aca="false">H60-E60</f>
        <v>0</v>
      </c>
      <c r="L60" s="28" t="n">
        <f aca="false">IFERROR(H60/E60-1,"")</f>
        <v>0</v>
      </c>
      <c r="M60" s="29" t="n">
        <v>28</v>
      </c>
      <c r="N60" s="24" t="s">
        <v>183</v>
      </c>
    </row>
    <row r="61" customFormat="false" ht="15" hidden="false" customHeight="false" outlineLevel="0" collapsed="false">
      <c r="A61" s="10" t="s">
        <v>184</v>
      </c>
      <c r="B61" s="10" t="s">
        <v>185</v>
      </c>
      <c r="C61" s="10" t="s">
        <v>40</v>
      </c>
      <c r="D61" s="10" t="s">
        <v>15</v>
      </c>
      <c r="E61" s="11" t="n">
        <v>28.95</v>
      </c>
      <c r="F61" s="11" t="n">
        <v>58</v>
      </c>
      <c r="G61" s="21" t="n">
        <f aca="false">IFERROR(1-E61/F61,"")</f>
        <v>0.500862068965517</v>
      </c>
      <c r="H61" s="11" t="n">
        <v>49.95</v>
      </c>
      <c r="I61" s="12" t="n">
        <f aca="false">ROUND(H61*F61/E61,0)</f>
        <v>100</v>
      </c>
      <c r="J61" s="21" t="n">
        <f aca="false">IFERROR(1-H61/I61,"")</f>
        <v>0.5005</v>
      </c>
      <c r="K61" s="11" t="n">
        <f aca="false">H61-E61</f>
        <v>21</v>
      </c>
      <c r="L61" s="22" t="n">
        <f aca="false">IFERROR(H61/E61-1,"")</f>
        <v>0.72538860103627</v>
      </c>
      <c r="M61" s="23" t="n">
        <v>4</v>
      </c>
      <c r="N61" s="10"/>
    </row>
    <row r="62" customFormat="false" ht="15" hidden="false" customHeight="false" outlineLevel="0" collapsed="false">
      <c r="A62" s="14" t="s">
        <v>186</v>
      </c>
      <c r="B62" s="14" t="s">
        <v>187</v>
      </c>
      <c r="C62" s="14" t="s">
        <v>40</v>
      </c>
      <c r="D62" s="14" t="s">
        <v>15</v>
      </c>
      <c r="E62" s="15" t="n">
        <v>34.95</v>
      </c>
      <c r="F62" s="15" t="n">
        <v>70</v>
      </c>
      <c r="G62" s="17" t="n">
        <f aca="false">IFERROR(1-E62/F62,"")</f>
        <v>0.500714285714286</v>
      </c>
      <c r="H62" s="15" t="n">
        <v>49.95</v>
      </c>
      <c r="I62" s="18" t="n">
        <f aca="false">ROUND(H62*F62/E62,0)</f>
        <v>100</v>
      </c>
      <c r="J62" s="17" t="n">
        <f aca="false">IFERROR(1-H62/I62,"")</f>
        <v>0.5005</v>
      </c>
      <c r="K62" s="15" t="n">
        <f aca="false">H62-E62</f>
        <v>15</v>
      </c>
      <c r="L62" s="19" t="n">
        <f aca="false">IFERROR(H62/E62-1,"")</f>
        <v>0.429184549356223</v>
      </c>
      <c r="M62" s="20" t="n">
        <v>25</v>
      </c>
      <c r="N62" s="14"/>
    </row>
    <row r="63" customFormat="false" ht="15" hidden="false" customHeight="false" outlineLevel="0" collapsed="false">
      <c r="A63" s="10" t="s">
        <v>188</v>
      </c>
      <c r="B63" s="10" t="s">
        <v>189</v>
      </c>
      <c r="C63" s="10" t="s">
        <v>40</v>
      </c>
      <c r="D63" s="10" t="s">
        <v>15</v>
      </c>
      <c r="E63" s="11" t="n">
        <v>34.95</v>
      </c>
      <c r="F63" s="11" t="n">
        <v>70</v>
      </c>
      <c r="G63" s="21" t="n">
        <f aca="false">IFERROR(1-E63/F63,"")</f>
        <v>0.500714285714286</v>
      </c>
      <c r="H63" s="11" t="n">
        <v>49.95</v>
      </c>
      <c r="I63" s="12" t="n">
        <f aca="false">ROUND(H63*F63/E63,0)</f>
        <v>100</v>
      </c>
      <c r="J63" s="21" t="n">
        <f aca="false">IFERROR(1-H63/I63,"")</f>
        <v>0.5005</v>
      </c>
      <c r="K63" s="11" t="n">
        <f aca="false">H63-E63</f>
        <v>15</v>
      </c>
      <c r="L63" s="22" t="n">
        <f aca="false">IFERROR(H63/E63-1,"")</f>
        <v>0.429184549356223</v>
      </c>
      <c r="M63" s="23" t="n">
        <v>4</v>
      </c>
      <c r="N63" s="10"/>
    </row>
    <row r="64" customFormat="false" ht="15" hidden="false" customHeight="false" outlineLevel="0" collapsed="false">
      <c r="A64" s="14" t="s">
        <v>190</v>
      </c>
      <c r="B64" s="14" t="s">
        <v>191</v>
      </c>
      <c r="C64" s="14" t="s">
        <v>40</v>
      </c>
      <c r="D64" s="14" t="s">
        <v>15</v>
      </c>
      <c r="E64" s="15" t="n">
        <v>38.95</v>
      </c>
      <c r="F64" s="15" t="n">
        <v>78</v>
      </c>
      <c r="G64" s="17" t="n">
        <f aca="false">IFERROR(1-E64/F64,"")</f>
        <v>0.500641025641026</v>
      </c>
      <c r="H64" s="15" t="n">
        <v>49.95</v>
      </c>
      <c r="I64" s="18" t="n">
        <f aca="false">ROUND(H64*F64/E64,0)</f>
        <v>100</v>
      </c>
      <c r="J64" s="17" t="n">
        <f aca="false">IFERROR(1-H64/I64,"")</f>
        <v>0.5005</v>
      </c>
      <c r="K64" s="15" t="n">
        <f aca="false">H64-E64</f>
        <v>11</v>
      </c>
      <c r="L64" s="19" t="n">
        <f aca="false">IFERROR(H64/E64-1,"")</f>
        <v>0.282413350449294</v>
      </c>
      <c r="M64" s="20" t="n">
        <v>18</v>
      </c>
      <c r="N64" s="14"/>
    </row>
    <row r="65" customFormat="false" ht="15" hidden="false" customHeight="false" outlineLevel="0" collapsed="false">
      <c r="A65" s="10" t="s">
        <v>192</v>
      </c>
      <c r="B65" s="10" t="s">
        <v>193</v>
      </c>
      <c r="C65" s="10" t="s">
        <v>40</v>
      </c>
      <c r="D65" s="10" t="s">
        <v>15</v>
      </c>
      <c r="E65" s="11" t="n">
        <v>40.95</v>
      </c>
      <c r="F65" s="11" t="n">
        <v>82</v>
      </c>
      <c r="G65" s="21" t="n">
        <f aca="false">IFERROR(1-E65/F65,"")</f>
        <v>0.500609756097561</v>
      </c>
      <c r="H65" s="11" t="n">
        <v>49.95</v>
      </c>
      <c r="I65" s="12" t="n">
        <f aca="false">ROUND(H65*F65/E65,0)</f>
        <v>100</v>
      </c>
      <c r="J65" s="21" t="n">
        <f aca="false">IFERROR(1-H65/I65,"")</f>
        <v>0.5005</v>
      </c>
      <c r="K65" s="11" t="n">
        <f aca="false">H65-E65</f>
        <v>9</v>
      </c>
      <c r="L65" s="22" t="n">
        <f aca="false">IFERROR(H65/E65-1,"")</f>
        <v>0.21978021978022</v>
      </c>
      <c r="M65" s="23" t="n">
        <v>15</v>
      </c>
      <c r="N65" s="10"/>
    </row>
    <row r="66" customFormat="false" ht="15" hidden="false" customHeight="false" outlineLevel="0" collapsed="false">
      <c r="A66" s="14" t="s">
        <v>194</v>
      </c>
      <c r="B66" s="14" t="s">
        <v>195</v>
      </c>
      <c r="C66" s="14" t="s">
        <v>40</v>
      </c>
      <c r="D66" s="14" t="s">
        <v>15</v>
      </c>
      <c r="E66" s="15" t="n">
        <v>41.95</v>
      </c>
      <c r="F66" s="15" t="n">
        <v>84</v>
      </c>
      <c r="G66" s="17" t="n">
        <f aca="false">IFERROR(1-E66/F66,"")</f>
        <v>0.500595238095238</v>
      </c>
      <c r="H66" s="15" t="n">
        <v>49.95</v>
      </c>
      <c r="I66" s="18" t="n">
        <f aca="false">ROUND(H66*F66/E66,0)</f>
        <v>100</v>
      </c>
      <c r="J66" s="17" t="n">
        <f aca="false">IFERROR(1-H66/I66,"")</f>
        <v>0.5005</v>
      </c>
      <c r="K66" s="15" t="n">
        <f aca="false">H66-E66</f>
        <v>8</v>
      </c>
      <c r="L66" s="19" t="n">
        <f aca="false">IFERROR(H66/E66-1,"")</f>
        <v>0.190703218116806</v>
      </c>
      <c r="M66" s="20" t="n">
        <v>28</v>
      </c>
      <c r="N66" s="14"/>
    </row>
    <row r="67" customFormat="false" ht="15" hidden="false" customHeight="false" outlineLevel="0" collapsed="false">
      <c r="A67" s="10" t="s">
        <v>196</v>
      </c>
      <c r="B67" s="10" t="s">
        <v>197</v>
      </c>
      <c r="C67" s="10" t="s">
        <v>40</v>
      </c>
      <c r="D67" s="10" t="s">
        <v>15</v>
      </c>
      <c r="E67" s="11" t="n">
        <v>43.95</v>
      </c>
      <c r="F67" s="11" t="n">
        <v>88</v>
      </c>
      <c r="G67" s="21" t="n">
        <f aca="false">IFERROR(1-E67/F67,"")</f>
        <v>0.500568181818182</v>
      </c>
      <c r="H67" s="11" t="n">
        <v>49.95</v>
      </c>
      <c r="I67" s="12" t="n">
        <f aca="false">ROUND(H67*F67/E67,0)</f>
        <v>100</v>
      </c>
      <c r="J67" s="21" t="n">
        <f aca="false">IFERROR(1-H67/I67,"")</f>
        <v>0.5005</v>
      </c>
      <c r="K67" s="11" t="n">
        <f aca="false">H67-E67</f>
        <v>6</v>
      </c>
      <c r="L67" s="22" t="n">
        <f aca="false">IFERROR(H67/E67-1,"")</f>
        <v>0.136518771331058</v>
      </c>
      <c r="M67" s="23" t="n">
        <v>12</v>
      </c>
      <c r="N67" s="10"/>
    </row>
    <row r="68" customFormat="false" ht="15" hidden="false" customHeight="false" outlineLevel="0" collapsed="false">
      <c r="A68" s="14" t="s">
        <v>198</v>
      </c>
      <c r="B68" s="14" t="s">
        <v>199</v>
      </c>
      <c r="C68" s="14" t="s">
        <v>40</v>
      </c>
      <c r="D68" s="14" t="s">
        <v>15</v>
      </c>
      <c r="E68" s="15" t="n">
        <v>44.95</v>
      </c>
      <c r="F68" s="15" t="n">
        <v>90</v>
      </c>
      <c r="G68" s="17" t="n">
        <f aca="false">IFERROR(1-E68/F68,"")</f>
        <v>0.500555555555556</v>
      </c>
      <c r="H68" s="15" t="n">
        <v>49.95</v>
      </c>
      <c r="I68" s="18" t="n">
        <f aca="false">ROUND(H68*F68/E68,0)</f>
        <v>100</v>
      </c>
      <c r="J68" s="17" t="n">
        <f aca="false">IFERROR(1-H68/I68,"")</f>
        <v>0.5005</v>
      </c>
      <c r="K68" s="15" t="n">
        <f aca="false">H68-E68</f>
        <v>5</v>
      </c>
      <c r="L68" s="19" t="n">
        <f aca="false">IFERROR(H68/E68-1,"")</f>
        <v>0.111234705228031</v>
      </c>
      <c r="M68" s="20" t="n">
        <v>6</v>
      </c>
      <c r="N68" s="14"/>
    </row>
    <row r="69" customFormat="false" ht="15" hidden="false" customHeight="false" outlineLevel="0" collapsed="false">
      <c r="A69" s="10" t="s">
        <v>200</v>
      </c>
      <c r="B69" s="10" t="s">
        <v>201</v>
      </c>
      <c r="C69" s="10" t="s">
        <v>40</v>
      </c>
      <c r="D69" s="10" t="s">
        <v>15</v>
      </c>
      <c r="E69" s="11" t="n">
        <v>45.95</v>
      </c>
      <c r="F69" s="11" t="n">
        <v>92</v>
      </c>
      <c r="G69" s="21" t="n">
        <f aca="false">IFERROR(1-E69/F69,"")</f>
        <v>0.50054347826087</v>
      </c>
      <c r="H69" s="11" t="n">
        <v>49.95</v>
      </c>
      <c r="I69" s="12" t="n">
        <f aca="false">ROUND(H69*F69/E69,0)</f>
        <v>100</v>
      </c>
      <c r="J69" s="21" t="n">
        <f aca="false">IFERROR(1-H69/I69,"")</f>
        <v>0.5005</v>
      </c>
      <c r="K69" s="11" t="n">
        <f aca="false">H69-E69</f>
        <v>4</v>
      </c>
      <c r="L69" s="22" t="n">
        <f aca="false">IFERROR(H69/E69-1,"")</f>
        <v>0.0870511425462459</v>
      </c>
      <c r="M69" s="23" t="n">
        <v>12</v>
      </c>
      <c r="N69" s="10"/>
    </row>
    <row r="70" customFormat="false" ht="15" hidden="false" customHeight="false" outlineLevel="0" collapsed="false">
      <c r="A70" s="14" t="s">
        <v>202</v>
      </c>
      <c r="B70" s="14" t="s">
        <v>203</v>
      </c>
      <c r="C70" s="14" t="s">
        <v>40</v>
      </c>
      <c r="D70" s="14" t="s">
        <v>15</v>
      </c>
      <c r="E70" s="15" t="n">
        <v>45.95</v>
      </c>
      <c r="F70" s="15" t="n">
        <v>92</v>
      </c>
      <c r="G70" s="17" t="n">
        <f aca="false">IFERROR(1-E70/F70,"")</f>
        <v>0.50054347826087</v>
      </c>
      <c r="H70" s="15" t="n">
        <v>49.95</v>
      </c>
      <c r="I70" s="18" t="n">
        <f aca="false">ROUND(H70*F70/E70,0)</f>
        <v>100</v>
      </c>
      <c r="J70" s="17" t="n">
        <f aca="false">IFERROR(1-H70/I70,"")</f>
        <v>0.5005</v>
      </c>
      <c r="K70" s="15" t="n">
        <f aca="false">H70-E70</f>
        <v>4</v>
      </c>
      <c r="L70" s="19" t="n">
        <f aca="false">IFERROR(H70/E70-1,"")</f>
        <v>0.0870511425462459</v>
      </c>
      <c r="M70" s="20" t="n">
        <v>12</v>
      </c>
      <c r="N70" s="14"/>
    </row>
    <row r="71" customFormat="false" ht="15" hidden="false" customHeight="false" outlineLevel="0" collapsed="false">
      <c r="A71" s="10" t="s">
        <v>204</v>
      </c>
      <c r="B71" s="10" t="s">
        <v>205</v>
      </c>
      <c r="C71" s="10" t="s">
        <v>40</v>
      </c>
      <c r="D71" s="10" t="s">
        <v>15</v>
      </c>
      <c r="E71" s="11" t="n">
        <v>46.95</v>
      </c>
      <c r="F71" s="11" t="n">
        <v>94</v>
      </c>
      <c r="G71" s="21" t="n">
        <f aca="false">IFERROR(1-E71/F71,"")</f>
        <v>0.500531914893617</v>
      </c>
      <c r="H71" s="11" t="n">
        <v>49.95</v>
      </c>
      <c r="I71" s="12" t="n">
        <f aca="false">ROUND(H71*F71/E71,0)</f>
        <v>100</v>
      </c>
      <c r="J71" s="21" t="n">
        <f aca="false">IFERROR(1-H71/I71,"")</f>
        <v>0.5005</v>
      </c>
      <c r="K71" s="11" t="n">
        <f aca="false">H71-E71</f>
        <v>3</v>
      </c>
      <c r="L71" s="22" t="n">
        <f aca="false">IFERROR(H71/E71-1,"")</f>
        <v>0.0638977635782747</v>
      </c>
      <c r="M71" s="23" t="n">
        <v>60</v>
      </c>
      <c r="N71" s="10"/>
    </row>
    <row r="72" customFormat="false" ht="15" hidden="false" customHeight="false" outlineLevel="0" collapsed="false">
      <c r="A72" s="14" t="s">
        <v>206</v>
      </c>
      <c r="B72" s="14" t="s">
        <v>207</v>
      </c>
      <c r="C72" s="14" t="s">
        <v>40</v>
      </c>
      <c r="D72" s="14" t="s">
        <v>15</v>
      </c>
      <c r="E72" s="15" t="n">
        <v>47.95</v>
      </c>
      <c r="F72" s="15" t="n">
        <v>96</v>
      </c>
      <c r="G72" s="17" t="n">
        <f aca="false">IFERROR(1-E72/F72,"")</f>
        <v>0.500520833333333</v>
      </c>
      <c r="H72" s="15" t="n">
        <v>49.95</v>
      </c>
      <c r="I72" s="18" t="n">
        <f aca="false">ROUND(H72*F72/E72,0)</f>
        <v>100</v>
      </c>
      <c r="J72" s="17" t="n">
        <f aca="false">IFERROR(1-H72/I72,"")</f>
        <v>0.5005</v>
      </c>
      <c r="K72" s="15" t="n">
        <f aca="false">H72-E72</f>
        <v>2</v>
      </c>
      <c r="L72" s="19" t="n">
        <f aca="false">IFERROR(H72/E72-1,"")</f>
        <v>0.0417101147028154</v>
      </c>
      <c r="M72" s="20" t="n">
        <v>28</v>
      </c>
      <c r="N72" s="14"/>
    </row>
    <row r="73" customFormat="false" ht="15" hidden="false" customHeight="false" outlineLevel="0" collapsed="false">
      <c r="A73" s="10" t="s">
        <v>208</v>
      </c>
      <c r="B73" s="10" t="s">
        <v>209</v>
      </c>
      <c r="C73" s="10" t="s">
        <v>40</v>
      </c>
      <c r="D73" s="10" t="s">
        <v>15</v>
      </c>
      <c r="E73" s="11" t="n">
        <v>47.95</v>
      </c>
      <c r="F73" s="11" t="n">
        <v>96</v>
      </c>
      <c r="G73" s="21" t="n">
        <f aca="false">IFERROR(1-E73/F73,"")</f>
        <v>0.500520833333333</v>
      </c>
      <c r="H73" s="11" t="n">
        <v>49.95</v>
      </c>
      <c r="I73" s="12" t="n">
        <f aca="false">ROUND(H73*F73/E73,0)</f>
        <v>100</v>
      </c>
      <c r="J73" s="21" t="n">
        <f aca="false">IFERROR(1-H73/I73,"")</f>
        <v>0.5005</v>
      </c>
      <c r="K73" s="11" t="n">
        <f aca="false">H73-E73</f>
        <v>2</v>
      </c>
      <c r="L73" s="22" t="n">
        <f aca="false">IFERROR(H73/E73-1,"")</f>
        <v>0.0417101147028154</v>
      </c>
      <c r="M73" s="23" t="n">
        <v>18</v>
      </c>
      <c r="N73" s="10"/>
    </row>
    <row r="74" customFormat="false" ht="15" hidden="false" customHeight="false" outlineLevel="0" collapsed="false">
      <c r="A74" s="14" t="s">
        <v>210</v>
      </c>
      <c r="B74" s="14" t="s">
        <v>211</v>
      </c>
      <c r="C74" s="14" t="s">
        <v>40</v>
      </c>
      <c r="D74" s="14" t="s">
        <v>15</v>
      </c>
      <c r="E74" s="15" t="n">
        <v>48.95</v>
      </c>
      <c r="F74" s="15" t="n">
        <v>98</v>
      </c>
      <c r="G74" s="17" t="n">
        <f aca="false">IFERROR(1-E74/F74,"")</f>
        <v>0.500510204081633</v>
      </c>
      <c r="H74" s="15" t="n">
        <v>49.95</v>
      </c>
      <c r="I74" s="18" t="n">
        <f aca="false">ROUND(H74*F74/E74,0)</f>
        <v>100</v>
      </c>
      <c r="J74" s="17" t="n">
        <f aca="false">IFERROR(1-H74/I74,"")</f>
        <v>0.5005</v>
      </c>
      <c r="K74" s="15" t="n">
        <f aca="false">H74-E74</f>
        <v>1</v>
      </c>
      <c r="L74" s="19" t="n">
        <f aca="false">IFERROR(H74/E74-1,"")</f>
        <v>0.0204290091930541</v>
      </c>
      <c r="M74" s="20" t="n">
        <v>10</v>
      </c>
      <c r="N74" s="14"/>
    </row>
    <row r="75" customFormat="false" ht="15" hidden="false" customHeight="false" outlineLevel="0" collapsed="false">
      <c r="A75" s="10" t="s">
        <v>212</v>
      </c>
      <c r="B75" s="10" t="s">
        <v>213</v>
      </c>
      <c r="C75" s="10" t="s">
        <v>40</v>
      </c>
      <c r="D75" s="10" t="s">
        <v>15</v>
      </c>
      <c r="E75" s="11" t="n">
        <v>49.95</v>
      </c>
      <c r="F75" s="11" t="n">
        <v>100</v>
      </c>
      <c r="G75" s="21" t="n">
        <f aca="false">IFERROR(1-E75/F75,"")</f>
        <v>0.5005</v>
      </c>
      <c r="H75" s="11" t="n">
        <v>49.95</v>
      </c>
      <c r="I75" s="12" t="n">
        <f aca="false">ROUND(H75*F75/E75,0)</f>
        <v>100</v>
      </c>
      <c r="J75" s="21" t="n">
        <f aca="false">IFERROR(1-H75/I75,"")</f>
        <v>0.5005</v>
      </c>
      <c r="K75" s="11" t="n">
        <f aca="false">H75-E75</f>
        <v>0</v>
      </c>
      <c r="L75" s="22" t="n">
        <f aca="false">IFERROR(H75/E75-1,"")</f>
        <v>0</v>
      </c>
      <c r="M75" s="23" t="n">
        <v>12</v>
      </c>
      <c r="N75" s="10"/>
    </row>
    <row r="76" customFormat="false" ht="15" hidden="false" customHeight="false" outlineLevel="0" collapsed="false">
      <c r="A76" s="14" t="s">
        <v>214</v>
      </c>
      <c r="B76" s="14" t="s">
        <v>215</v>
      </c>
      <c r="C76" s="14" t="s">
        <v>42</v>
      </c>
      <c r="D76" s="14" t="s">
        <v>15</v>
      </c>
      <c r="E76" s="15" t="n">
        <v>27.95</v>
      </c>
      <c r="F76" s="15" t="n">
        <v>56</v>
      </c>
      <c r="G76" s="17" t="n">
        <f aca="false">IFERROR(1-E76/F76,"")</f>
        <v>0.500892857142857</v>
      </c>
      <c r="H76" s="15" t="n">
        <v>49.95</v>
      </c>
      <c r="I76" s="18" t="n">
        <f aca="false">ROUND(H76*F76/E76,0)</f>
        <v>100</v>
      </c>
      <c r="J76" s="17" t="n">
        <f aca="false">IFERROR(1-H76/I76,"")</f>
        <v>0.5005</v>
      </c>
      <c r="K76" s="15" t="n">
        <f aca="false">H76-E76</f>
        <v>22</v>
      </c>
      <c r="L76" s="19" t="n">
        <f aca="false">IFERROR(H76/E76-1,"")</f>
        <v>0.787119856887299</v>
      </c>
      <c r="M76" s="20" t="n">
        <v>50</v>
      </c>
      <c r="N76" s="14"/>
    </row>
    <row r="77" customFormat="false" ht="15" hidden="false" customHeight="false" outlineLevel="0" collapsed="false">
      <c r="A77" s="10" t="s">
        <v>216</v>
      </c>
      <c r="B77" s="10" t="s">
        <v>217</v>
      </c>
      <c r="C77" s="10" t="s">
        <v>42</v>
      </c>
      <c r="D77" s="10" t="s">
        <v>15</v>
      </c>
      <c r="E77" s="11" t="n">
        <v>34.95</v>
      </c>
      <c r="F77" s="11" t="n">
        <v>70</v>
      </c>
      <c r="G77" s="21" t="n">
        <f aca="false">IFERROR(1-E77/F77,"")</f>
        <v>0.500714285714286</v>
      </c>
      <c r="H77" s="11" t="n">
        <v>49.95</v>
      </c>
      <c r="I77" s="12" t="n">
        <f aca="false">ROUND(H77*F77/E77,0)</f>
        <v>100</v>
      </c>
      <c r="J77" s="21" t="n">
        <f aca="false">IFERROR(1-H77/I77,"")</f>
        <v>0.5005</v>
      </c>
      <c r="K77" s="11" t="n">
        <f aca="false">H77-E77</f>
        <v>15</v>
      </c>
      <c r="L77" s="22" t="n">
        <f aca="false">IFERROR(H77/E77-1,"")</f>
        <v>0.429184549356223</v>
      </c>
      <c r="M77" s="23" t="n">
        <v>25</v>
      </c>
      <c r="N77" s="10"/>
    </row>
    <row r="78" customFormat="false" ht="15" hidden="false" customHeight="false" outlineLevel="0" collapsed="false">
      <c r="A78" s="14" t="s">
        <v>218</v>
      </c>
      <c r="B78" s="14" t="s">
        <v>219</v>
      </c>
      <c r="C78" s="14" t="s">
        <v>42</v>
      </c>
      <c r="D78" s="14" t="s">
        <v>15</v>
      </c>
      <c r="E78" s="15" t="n">
        <v>34.95</v>
      </c>
      <c r="F78" s="15" t="n">
        <v>70</v>
      </c>
      <c r="G78" s="17" t="n">
        <f aca="false">IFERROR(1-E78/F78,"")</f>
        <v>0.500714285714286</v>
      </c>
      <c r="H78" s="15" t="n">
        <v>49.95</v>
      </c>
      <c r="I78" s="18" t="n">
        <f aca="false">ROUND(H78*F78/E78,0)</f>
        <v>100</v>
      </c>
      <c r="J78" s="17" t="n">
        <f aca="false">IFERROR(1-H78/I78,"")</f>
        <v>0.5005</v>
      </c>
      <c r="K78" s="15" t="n">
        <f aca="false">H78-E78</f>
        <v>15</v>
      </c>
      <c r="L78" s="19" t="n">
        <f aca="false">IFERROR(H78/E78-1,"")</f>
        <v>0.429184549356223</v>
      </c>
      <c r="M78" s="20" t="n">
        <v>18</v>
      </c>
      <c r="N78" s="14"/>
    </row>
    <row r="79" customFormat="false" ht="15" hidden="false" customHeight="false" outlineLevel="0" collapsed="false">
      <c r="A79" s="10" t="s">
        <v>220</v>
      </c>
      <c r="B79" s="10" t="s">
        <v>221</v>
      </c>
      <c r="C79" s="10" t="s">
        <v>42</v>
      </c>
      <c r="D79" s="10" t="s">
        <v>15</v>
      </c>
      <c r="E79" s="11" t="n">
        <v>34.95</v>
      </c>
      <c r="F79" s="11" t="n">
        <v>70</v>
      </c>
      <c r="G79" s="21" t="n">
        <f aca="false">IFERROR(1-E79/F79,"")</f>
        <v>0.500714285714286</v>
      </c>
      <c r="H79" s="11" t="n">
        <v>49.95</v>
      </c>
      <c r="I79" s="12" t="n">
        <f aca="false">ROUND(H79*F79/E79,0)</f>
        <v>100</v>
      </c>
      <c r="J79" s="21" t="n">
        <f aca="false">IFERROR(1-H79/I79,"")</f>
        <v>0.5005</v>
      </c>
      <c r="K79" s="11" t="n">
        <f aca="false">H79-E79</f>
        <v>15</v>
      </c>
      <c r="L79" s="22" t="n">
        <f aca="false">IFERROR(H79/E79-1,"")</f>
        <v>0.429184549356223</v>
      </c>
      <c r="M79" s="23" t="n">
        <v>10</v>
      </c>
      <c r="N79" s="10"/>
    </row>
    <row r="80" customFormat="false" ht="15" hidden="false" customHeight="false" outlineLevel="0" collapsed="false">
      <c r="A80" s="14" t="s">
        <v>222</v>
      </c>
      <c r="B80" s="14" t="s">
        <v>223</v>
      </c>
      <c r="C80" s="14" t="s">
        <v>42</v>
      </c>
      <c r="D80" s="14" t="s">
        <v>15</v>
      </c>
      <c r="E80" s="15" t="n">
        <v>34.95</v>
      </c>
      <c r="F80" s="15" t="n">
        <v>70</v>
      </c>
      <c r="G80" s="17" t="n">
        <f aca="false">IFERROR(1-E80/F80,"")</f>
        <v>0.500714285714286</v>
      </c>
      <c r="H80" s="15" t="n">
        <v>49.95</v>
      </c>
      <c r="I80" s="18" t="n">
        <f aca="false">ROUND(H80*F80/E80,0)</f>
        <v>100</v>
      </c>
      <c r="J80" s="17" t="n">
        <f aca="false">IFERROR(1-H80/I80,"")</f>
        <v>0.5005</v>
      </c>
      <c r="K80" s="15" t="n">
        <f aca="false">H80-E80</f>
        <v>15</v>
      </c>
      <c r="L80" s="19" t="n">
        <f aca="false">IFERROR(H80/E80-1,"")</f>
        <v>0.429184549356223</v>
      </c>
      <c r="M80" s="20" t="n">
        <v>4</v>
      </c>
      <c r="N80" s="14"/>
    </row>
    <row r="81" customFormat="false" ht="15" hidden="false" customHeight="false" outlineLevel="0" collapsed="false">
      <c r="A81" s="10" t="s">
        <v>224</v>
      </c>
      <c r="B81" s="10" t="s">
        <v>225</v>
      </c>
      <c r="C81" s="10" t="s">
        <v>42</v>
      </c>
      <c r="D81" s="10" t="s">
        <v>15</v>
      </c>
      <c r="E81" s="11" t="n">
        <v>34.95</v>
      </c>
      <c r="F81" s="11" t="n">
        <v>70</v>
      </c>
      <c r="G81" s="21" t="n">
        <f aca="false">IFERROR(1-E81/F81,"")</f>
        <v>0.500714285714286</v>
      </c>
      <c r="H81" s="11" t="n">
        <v>49.95</v>
      </c>
      <c r="I81" s="12" t="n">
        <f aca="false">ROUND(H81*F81/E81,0)</f>
        <v>100</v>
      </c>
      <c r="J81" s="21" t="n">
        <f aca="false">IFERROR(1-H81/I81,"")</f>
        <v>0.5005</v>
      </c>
      <c r="K81" s="11" t="n">
        <f aca="false">H81-E81</f>
        <v>15</v>
      </c>
      <c r="L81" s="22" t="n">
        <f aca="false">IFERROR(H81/E81-1,"")</f>
        <v>0.429184549356223</v>
      </c>
      <c r="M81" s="23" t="n">
        <v>17</v>
      </c>
      <c r="N81" s="10"/>
    </row>
    <row r="82" customFormat="false" ht="15" hidden="false" customHeight="false" outlineLevel="0" collapsed="false">
      <c r="A82" s="14" t="s">
        <v>226</v>
      </c>
      <c r="B82" s="14" t="s">
        <v>227</v>
      </c>
      <c r="C82" s="14" t="s">
        <v>42</v>
      </c>
      <c r="D82" s="14" t="s">
        <v>15</v>
      </c>
      <c r="E82" s="15" t="n">
        <v>34.95</v>
      </c>
      <c r="F82" s="15" t="n">
        <v>70</v>
      </c>
      <c r="G82" s="17" t="n">
        <f aca="false">IFERROR(1-E82/F82,"")</f>
        <v>0.500714285714286</v>
      </c>
      <c r="H82" s="15" t="n">
        <v>49.95</v>
      </c>
      <c r="I82" s="18" t="n">
        <f aca="false">ROUND(H82*F82/E82,0)</f>
        <v>100</v>
      </c>
      <c r="J82" s="17" t="n">
        <f aca="false">IFERROR(1-H82/I82,"")</f>
        <v>0.5005</v>
      </c>
      <c r="K82" s="15" t="n">
        <f aca="false">H82-E82</f>
        <v>15</v>
      </c>
      <c r="L82" s="19" t="n">
        <f aca="false">IFERROR(H82/E82-1,"")</f>
        <v>0.429184549356223</v>
      </c>
      <c r="M82" s="20" t="n">
        <v>36</v>
      </c>
      <c r="N82" s="14"/>
    </row>
    <row r="83" customFormat="false" ht="15" hidden="false" customHeight="false" outlineLevel="0" collapsed="false">
      <c r="A83" s="10" t="s">
        <v>228</v>
      </c>
      <c r="B83" s="10" t="s">
        <v>229</v>
      </c>
      <c r="C83" s="10" t="s">
        <v>42</v>
      </c>
      <c r="D83" s="10" t="s">
        <v>15</v>
      </c>
      <c r="E83" s="11" t="n">
        <v>38.95</v>
      </c>
      <c r="F83" s="11" t="n">
        <v>78</v>
      </c>
      <c r="G83" s="21" t="n">
        <f aca="false">IFERROR(1-E83/F83,"")</f>
        <v>0.500641025641026</v>
      </c>
      <c r="H83" s="11" t="n">
        <v>49.95</v>
      </c>
      <c r="I83" s="12" t="n">
        <f aca="false">ROUND(H83*F83/E83,0)</f>
        <v>100</v>
      </c>
      <c r="J83" s="21" t="n">
        <f aca="false">IFERROR(1-H83/I83,"")</f>
        <v>0.5005</v>
      </c>
      <c r="K83" s="11" t="n">
        <f aca="false">H83-E83</f>
        <v>11</v>
      </c>
      <c r="L83" s="22" t="n">
        <f aca="false">IFERROR(H83/E83-1,"")</f>
        <v>0.282413350449294</v>
      </c>
      <c r="M83" s="23" t="n">
        <v>18</v>
      </c>
      <c r="N83" s="10"/>
    </row>
    <row r="84" customFormat="false" ht="15" hidden="false" customHeight="false" outlineLevel="0" collapsed="false">
      <c r="A84" s="14" t="s">
        <v>230</v>
      </c>
      <c r="B84" s="14" t="s">
        <v>231</v>
      </c>
      <c r="C84" s="14" t="s">
        <v>42</v>
      </c>
      <c r="D84" s="14" t="s">
        <v>15</v>
      </c>
      <c r="E84" s="15" t="n">
        <v>39.95</v>
      </c>
      <c r="F84" s="15" t="n">
        <v>80</v>
      </c>
      <c r="G84" s="17" t="n">
        <f aca="false">IFERROR(1-E84/F84,"")</f>
        <v>0.500625</v>
      </c>
      <c r="H84" s="15" t="n">
        <v>49.95</v>
      </c>
      <c r="I84" s="18" t="n">
        <f aca="false">ROUND(H84*F84/E84,0)</f>
        <v>100</v>
      </c>
      <c r="J84" s="17" t="n">
        <f aca="false">IFERROR(1-H84/I84,"")</f>
        <v>0.5005</v>
      </c>
      <c r="K84" s="15" t="n">
        <f aca="false">H84-E84</f>
        <v>10</v>
      </c>
      <c r="L84" s="19" t="n">
        <f aca="false">IFERROR(H84/E84-1,"")</f>
        <v>0.250312891113892</v>
      </c>
      <c r="M84" s="20" t="n">
        <v>8</v>
      </c>
      <c r="N84" s="14"/>
    </row>
    <row r="85" customFormat="false" ht="15" hidden="false" customHeight="false" outlineLevel="0" collapsed="false">
      <c r="A85" s="10" t="s">
        <v>232</v>
      </c>
      <c r="B85" s="10" t="s">
        <v>233</v>
      </c>
      <c r="C85" s="10" t="s">
        <v>42</v>
      </c>
      <c r="D85" s="10" t="s">
        <v>15</v>
      </c>
      <c r="E85" s="11" t="n">
        <v>39.95</v>
      </c>
      <c r="F85" s="11" t="n">
        <v>80</v>
      </c>
      <c r="G85" s="21" t="n">
        <f aca="false">IFERROR(1-E85/F85,"")</f>
        <v>0.500625</v>
      </c>
      <c r="H85" s="11" t="n">
        <v>49.95</v>
      </c>
      <c r="I85" s="12" t="n">
        <f aca="false">ROUND(H85*F85/E85,0)</f>
        <v>100</v>
      </c>
      <c r="J85" s="21" t="n">
        <f aca="false">IFERROR(1-H85/I85,"")</f>
        <v>0.5005</v>
      </c>
      <c r="K85" s="11" t="n">
        <f aca="false">H85-E85</f>
        <v>10</v>
      </c>
      <c r="L85" s="22" t="n">
        <f aca="false">IFERROR(H85/E85-1,"")</f>
        <v>0.250312891113892</v>
      </c>
      <c r="M85" s="23" t="n">
        <v>48</v>
      </c>
      <c r="N85" s="10"/>
    </row>
    <row r="86" customFormat="false" ht="15" hidden="false" customHeight="false" outlineLevel="0" collapsed="false">
      <c r="A86" s="14" t="s">
        <v>234</v>
      </c>
      <c r="B86" s="14" t="s">
        <v>235</v>
      </c>
      <c r="C86" s="14" t="s">
        <v>42</v>
      </c>
      <c r="D86" s="14" t="s">
        <v>15</v>
      </c>
      <c r="E86" s="15" t="n">
        <v>39.95</v>
      </c>
      <c r="F86" s="15" t="n">
        <v>80</v>
      </c>
      <c r="G86" s="17" t="n">
        <f aca="false">IFERROR(1-E86/F86,"")</f>
        <v>0.500625</v>
      </c>
      <c r="H86" s="15" t="n">
        <v>49.95</v>
      </c>
      <c r="I86" s="18" t="n">
        <f aca="false">ROUND(H86*F86/E86,0)</f>
        <v>100</v>
      </c>
      <c r="J86" s="17" t="n">
        <f aca="false">IFERROR(1-H86/I86,"")</f>
        <v>0.5005</v>
      </c>
      <c r="K86" s="15" t="n">
        <f aca="false">H86-E86</f>
        <v>10</v>
      </c>
      <c r="L86" s="19" t="n">
        <f aca="false">IFERROR(H86/E86-1,"")</f>
        <v>0.250312891113892</v>
      </c>
      <c r="M86" s="20" t="n">
        <v>48</v>
      </c>
      <c r="N86" s="14"/>
    </row>
    <row r="87" customFormat="false" ht="15" hidden="false" customHeight="false" outlineLevel="0" collapsed="false">
      <c r="A87" s="10" t="s">
        <v>236</v>
      </c>
      <c r="B87" s="10" t="s">
        <v>237</v>
      </c>
      <c r="C87" s="10" t="s">
        <v>42</v>
      </c>
      <c r="D87" s="10" t="s">
        <v>15</v>
      </c>
      <c r="E87" s="11" t="n">
        <v>39.95</v>
      </c>
      <c r="F87" s="11" t="n">
        <v>80</v>
      </c>
      <c r="G87" s="21" t="n">
        <f aca="false">IFERROR(1-E87/F87,"")</f>
        <v>0.500625</v>
      </c>
      <c r="H87" s="11" t="n">
        <v>49.95</v>
      </c>
      <c r="I87" s="12" t="n">
        <f aca="false">ROUND(H87*F87/E87,0)</f>
        <v>100</v>
      </c>
      <c r="J87" s="21" t="n">
        <f aca="false">IFERROR(1-H87/I87,"")</f>
        <v>0.5005</v>
      </c>
      <c r="K87" s="11" t="n">
        <f aca="false">H87-E87</f>
        <v>10</v>
      </c>
      <c r="L87" s="22" t="n">
        <f aca="false">IFERROR(H87/E87-1,"")</f>
        <v>0.250312891113892</v>
      </c>
      <c r="M87" s="23" t="n">
        <v>12</v>
      </c>
      <c r="N87" s="10"/>
    </row>
    <row r="88" customFormat="false" ht="15" hidden="false" customHeight="false" outlineLevel="0" collapsed="false">
      <c r="A88" s="14" t="s">
        <v>238</v>
      </c>
      <c r="B88" s="14" t="s">
        <v>239</v>
      </c>
      <c r="C88" s="14" t="s">
        <v>42</v>
      </c>
      <c r="D88" s="14" t="s">
        <v>15</v>
      </c>
      <c r="E88" s="15" t="n">
        <v>39.95</v>
      </c>
      <c r="F88" s="15" t="n">
        <v>80</v>
      </c>
      <c r="G88" s="17" t="n">
        <f aca="false">IFERROR(1-E88/F88,"")</f>
        <v>0.500625</v>
      </c>
      <c r="H88" s="15" t="n">
        <v>49.95</v>
      </c>
      <c r="I88" s="18" t="n">
        <f aca="false">ROUND(H88*F88/E88,0)</f>
        <v>100</v>
      </c>
      <c r="J88" s="17" t="n">
        <f aca="false">IFERROR(1-H88/I88,"")</f>
        <v>0.5005</v>
      </c>
      <c r="K88" s="15" t="n">
        <f aca="false">H88-E88</f>
        <v>10</v>
      </c>
      <c r="L88" s="19" t="n">
        <f aca="false">IFERROR(H88/E88-1,"")</f>
        <v>0.250312891113892</v>
      </c>
      <c r="M88" s="20" t="n">
        <v>4</v>
      </c>
      <c r="N88" s="14"/>
    </row>
    <row r="89" customFormat="false" ht="15" hidden="false" customHeight="false" outlineLevel="0" collapsed="false">
      <c r="A89" s="10" t="s">
        <v>240</v>
      </c>
      <c r="B89" s="10" t="s">
        <v>241</v>
      </c>
      <c r="C89" s="10" t="s">
        <v>42</v>
      </c>
      <c r="D89" s="10" t="s">
        <v>15</v>
      </c>
      <c r="E89" s="11" t="n">
        <v>39.95</v>
      </c>
      <c r="F89" s="11" t="n">
        <v>80</v>
      </c>
      <c r="G89" s="21" t="n">
        <f aca="false">IFERROR(1-E89/F89,"")</f>
        <v>0.500625</v>
      </c>
      <c r="H89" s="11" t="n">
        <v>49.95</v>
      </c>
      <c r="I89" s="12" t="n">
        <f aca="false">ROUND(H89*F89/E89,0)</f>
        <v>100</v>
      </c>
      <c r="J89" s="21" t="n">
        <f aca="false">IFERROR(1-H89/I89,"")</f>
        <v>0.5005</v>
      </c>
      <c r="K89" s="11" t="n">
        <f aca="false">H89-E89</f>
        <v>10</v>
      </c>
      <c r="L89" s="22" t="n">
        <f aca="false">IFERROR(H89/E89-1,"")</f>
        <v>0.250312891113892</v>
      </c>
      <c r="M89" s="23" t="n">
        <v>49</v>
      </c>
      <c r="N89" s="10"/>
    </row>
    <row r="90" customFormat="false" ht="15" hidden="false" customHeight="false" outlineLevel="0" collapsed="false">
      <c r="A90" s="14" t="s">
        <v>242</v>
      </c>
      <c r="B90" s="14" t="s">
        <v>243</v>
      </c>
      <c r="C90" s="14" t="s">
        <v>42</v>
      </c>
      <c r="D90" s="14" t="s">
        <v>15</v>
      </c>
      <c r="E90" s="15" t="n">
        <v>39.95</v>
      </c>
      <c r="F90" s="15" t="n">
        <v>80</v>
      </c>
      <c r="G90" s="17" t="n">
        <f aca="false">IFERROR(1-E90/F90,"")</f>
        <v>0.500625</v>
      </c>
      <c r="H90" s="15" t="n">
        <v>49.95</v>
      </c>
      <c r="I90" s="18" t="n">
        <f aca="false">ROUND(H90*F90/E90,0)</f>
        <v>100</v>
      </c>
      <c r="J90" s="17" t="n">
        <f aca="false">IFERROR(1-H90/I90,"")</f>
        <v>0.5005</v>
      </c>
      <c r="K90" s="15" t="n">
        <f aca="false">H90-E90</f>
        <v>10</v>
      </c>
      <c r="L90" s="19" t="n">
        <f aca="false">IFERROR(H90/E90-1,"")</f>
        <v>0.250312891113892</v>
      </c>
      <c r="M90" s="20" t="n">
        <v>24</v>
      </c>
      <c r="N90" s="14"/>
    </row>
    <row r="91" customFormat="false" ht="15" hidden="false" customHeight="false" outlineLevel="0" collapsed="false">
      <c r="A91" s="10" t="s">
        <v>244</v>
      </c>
      <c r="B91" s="10" t="s">
        <v>245</v>
      </c>
      <c r="C91" s="10" t="s">
        <v>42</v>
      </c>
      <c r="D91" s="10" t="s">
        <v>15</v>
      </c>
      <c r="E91" s="11" t="n">
        <v>44.95</v>
      </c>
      <c r="F91" s="11" t="n">
        <v>90</v>
      </c>
      <c r="G91" s="21" t="n">
        <f aca="false">IFERROR(1-E91/F91,"")</f>
        <v>0.500555555555556</v>
      </c>
      <c r="H91" s="11" t="n">
        <v>49.95</v>
      </c>
      <c r="I91" s="12" t="n">
        <f aca="false">ROUND(H91*F91/E91,0)</f>
        <v>100</v>
      </c>
      <c r="J91" s="21" t="n">
        <f aca="false">IFERROR(1-H91/I91,"")</f>
        <v>0.5005</v>
      </c>
      <c r="K91" s="11" t="n">
        <f aca="false">H91-E91</f>
        <v>5</v>
      </c>
      <c r="L91" s="22" t="n">
        <f aca="false">IFERROR(H91/E91-1,"")</f>
        <v>0.111234705228031</v>
      </c>
      <c r="M91" s="23" t="n">
        <v>40</v>
      </c>
      <c r="N91" s="10"/>
    </row>
    <row r="92" customFormat="false" ht="15" hidden="false" customHeight="false" outlineLevel="0" collapsed="false">
      <c r="A92" s="14" t="s">
        <v>246</v>
      </c>
      <c r="B92" s="14" t="s">
        <v>247</v>
      </c>
      <c r="C92" s="14" t="s">
        <v>42</v>
      </c>
      <c r="D92" s="14" t="s">
        <v>15</v>
      </c>
      <c r="E92" s="15" t="n">
        <v>44.95</v>
      </c>
      <c r="F92" s="15" t="n">
        <v>90</v>
      </c>
      <c r="G92" s="17" t="n">
        <f aca="false">IFERROR(1-E92/F92,"")</f>
        <v>0.500555555555556</v>
      </c>
      <c r="H92" s="15" t="n">
        <v>49.95</v>
      </c>
      <c r="I92" s="18" t="n">
        <f aca="false">ROUND(H92*F92/E92,0)</f>
        <v>100</v>
      </c>
      <c r="J92" s="17" t="n">
        <f aca="false">IFERROR(1-H92/I92,"")</f>
        <v>0.5005</v>
      </c>
      <c r="K92" s="15" t="n">
        <f aca="false">H92-E92</f>
        <v>5</v>
      </c>
      <c r="L92" s="19" t="n">
        <f aca="false">IFERROR(H92/E92-1,"")</f>
        <v>0.111234705228031</v>
      </c>
      <c r="M92" s="20" t="n">
        <v>5</v>
      </c>
      <c r="N92" s="14"/>
    </row>
    <row r="93" customFormat="false" ht="15" hidden="false" customHeight="false" outlineLevel="0" collapsed="false">
      <c r="A93" s="10" t="s">
        <v>248</v>
      </c>
      <c r="B93" s="10" t="s">
        <v>249</v>
      </c>
      <c r="C93" s="10" t="s">
        <v>42</v>
      </c>
      <c r="D93" s="10" t="s">
        <v>15</v>
      </c>
      <c r="E93" s="11" t="n">
        <v>44.95</v>
      </c>
      <c r="F93" s="11" t="n">
        <v>90</v>
      </c>
      <c r="G93" s="21" t="n">
        <f aca="false">IFERROR(1-E93/F93,"")</f>
        <v>0.500555555555556</v>
      </c>
      <c r="H93" s="11" t="n">
        <v>49.95</v>
      </c>
      <c r="I93" s="12" t="n">
        <f aca="false">ROUND(H93*F93/E93,0)</f>
        <v>100</v>
      </c>
      <c r="J93" s="21" t="n">
        <f aca="false">IFERROR(1-H93/I93,"")</f>
        <v>0.5005</v>
      </c>
      <c r="K93" s="11" t="n">
        <f aca="false">H93-E93</f>
        <v>5</v>
      </c>
      <c r="L93" s="22" t="n">
        <f aca="false">IFERROR(H93/E93-1,"")</f>
        <v>0.111234705228031</v>
      </c>
      <c r="M93" s="23" t="n">
        <v>42</v>
      </c>
      <c r="N93" s="10"/>
    </row>
    <row r="94" customFormat="false" ht="15" hidden="false" customHeight="false" outlineLevel="0" collapsed="false">
      <c r="A94" s="14" t="s">
        <v>250</v>
      </c>
      <c r="B94" s="14" t="s">
        <v>251</v>
      </c>
      <c r="C94" s="14" t="s">
        <v>42</v>
      </c>
      <c r="D94" s="14" t="s">
        <v>15</v>
      </c>
      <c r="E94" s="15" t="n">
        <v>44.95</v>
      </c>
      <c r="F94" s="15" t="n">
        <v>90</v>
      </c>
      <c r="G94" s="17" t="n">
        <f aca="false">IFERROR(1-E94/F94,"")</f>
        <v>0.500555555555556</v>
      </c>
      <c r="H94" s="15" t="n">
        <v>49.95</v>
      </c>
      <c r="I94" s="18" t="n">
        <f aca="false">ROUND(H94*F94/E94,0)</f>
        <v>100</v>
      </c>
      <c r="J94" s="17" t="n">
        <f aca="false">IFERROR(1-H94/I94,"")</f>
        <v>0.5005</v>
      </c>
      <c r="K94" s="15" t="n">
        <f aca="false">H94-E94</f>
        <v>5</v>
      </c>
      <c r="L94" s="19" t="n">
        <f aca="false">IFERROR(H94/E94-1,"")</f>
        <v>0.111234705228031</v>
      </c>
      <c r="M94" s="20" t="n">
        <v>12</v>
      </c>
      <c r="N94" s="14"/>
    </row>
    <row r="95" customFormat="false" ht="15" hidden="false" customHeight="false" outlineLevel="0" collapsed="false">
      <c r="A95" s="10" t="s">
        <v>252</v>
      </c>
      <c r="B95" s="10" t="s">
        <v>253</v>
      </c>
      <c r="C95" s="10" t="s">
        <v>42</v>
      </c>
      <c r="D95" s="10" t="s">
        <v>15</v>
      </c>
      <c r="E95" s="11" t="n">
        <v>44.95</v>
      </c>
      <c r="F95" s="11" t="n">
        <v>90</v>
      </c>
      <c r="G95" s="21" t="n">
        <f aca="false">IFERROR(1-E95/F95,"")</f>
        <v>0.500555555555556</v>
      </c>
      <c r="H95" s="11" t="n">
        <v>49.95</v>
      </c>
      <c r="I95" s="12" t="n">
        <f aca="false">ROUND(H95*F95/E95,0)</f>
        <v>100</v>
      </c>
      <c r="J95" s="21" t="n">
        <f aca="false">IFERROR(1-H95/I95,"")</f>
        <v>0.5005</v>
      </c>
      <c r="K95" s="11" t="n">
        <f aca="false">H95-E95</f>
        <v>5</v>
      </c>
      <c r="L95" s="22" t="n">
        <f aca="false">IFERROR(H95/E95-1,"")</f>
        <v>0.111234705228031</v>
      </c>
      <c r="M95" s="23" t="n">
        <v>15</v>
      </c>
      <c r="N95" s="10"/>
    </row>
    <row r="96" customFormat="false" ht="15" hidden="false" customHeight="false" outlineLevel="0" collapsed="false">
      <c r="A96" s="14" t="s">
        <v>254</v>
      </c>
      <c r="B96" s="14" t="s">
        <v>255</v>
      </c>
      <c r="C96" s="14" t="s">
        <v>42</v>
      </c>
      <c r="D96" s="14" t="s">
        <v>15</v>
      </c>
      <c r="E96" s="15" t="n">
        <v>44.95</v>
      </c>
      <c r="F96" s="15" t="n">
        <v>90</v>
      </c>
      <c r="G96" s="17" t="n">
        <f aca="false">IFERROR(1-E96/F96,"")</f>
        <v>0.500555555555556</v>
      </c>
      <c r="H96" s="15" t="n">
        <v>49.95</v>
      </c>
      <c r="I96" s="18" t="n">
        <f aca="false">ROUND(H96*F96/E96,0)</f>
        <v>100</v>
      </c>
      <c r="J96" s="17" t="n">
        <f aca="false">IFERROR(1-H96/I96,"")</f>
        <v>0.5005</v>
      </c>
      <c r="K96" s="15" t="n">
        <f aca="false">H96-E96</f>
        <v>5</v>
      </c>
      <c r="L96" s="19" t="n">
        <f aca="false">IFERROR(H96/E96-1,"")</f>
        <v>0.111234705228031</v>
      </c>
      <c r="M96" s="20" t="n">
        <v>6</v>
      </c>
      <c r="N96" s="14"/>
    </row>
    <row r="97" customFormat="false" ht="15" hidden="false" customHeight="false" outlineLevel="0" collapsed="false">
      <c r="A97" s="10" t="s">
        <v>256</v>
      </c>
      <c r="B97" s="10" t="s">
        <v>257</v>
      </c>
      <c r="C97" s="10" t="s">
        <v>42</v>
      </c>
      <c r="D97" s="10" t="s">
        <v>15</v>
      </c>
      <c r="E97" s="11" t="n">
        <v>44.95</v>
      </c>
      <c r="F97" s="11" t="n">
        <v>90</v>
      </c>
      <c r="G97" s="21" t="n">
        <f aca="false">IFERROR(1-E97/F97,"")</f>
        <v>0.500555555555556</v>
      </c>
      <c r="H97" s="11" t="n">
        <v>49.95</v>
      </c>
      <c r="I97" s="12" t="n">
        <f aca="false">ROUND(H97*F97/E97,0)</f>
        <v>100</v>
      </c>
      <c r="J97" s="21" t="n">
        <f aca="false">IFERROR(1-H97/I97,"")</f>
        <v>0.5005</v>
      </c>
      <c r="K97" s="11" t="n">
        <f aca="false">H97-E97</f>
        <v>5</v>
      </c>
      <c r="L97" s="22" t="n">
        <f aca="false">IFERROR(H97/E97-1,"")</f>
        <v>0.111234705228031</v>
      </c>
      <c r="M97" s="23" t="n">
        <v>50</v>
      </c>
      <c r="N97" s="10"/>
    </row>
    <row r="98" customFormat="false" ht="15" hidden="false" customHeight="false" outlineLevel="0" collapsed="false">
      <c r="A98" s="14" t="s">
        <v>258</v>
      </c>
      <c r="B98" s="14" t="s">
        <v>259</v>
      </c>
      <c r="C98" s="14" t="s">
        <v>42</v>
      </c>
      <c r="D98" s="14" t="s">
        <v>15</v>
      </c>
      <c r="E98" s="15" t="n">
        <v>44.95</v>
      </c>
      <c r="F98" s="15" t="n">
        <v>90</v>
      </c>
      <c r="G98" s="17" t="n">
        <f aca="false">IFERROR(1-E98/F98,"")</f>
        <v>0.500555555555556</v>
      </c>
      <c r="H98" s="15" t="n">
        <v>49.95</v>
      </c>
      <c r="I98" s="18" t="n">
        <f aca="false">ROUND(H98*F98/E98,0)</f>
        <v>100</v>
      </c>
      <c r="J98" s="17" t="n">
        <f aca="false">IFERROR(1-H98/I98,"")</f>
        <v>0.5005</v>
      </c>
      <c r="K98" s="15" t="n">
        <f aca="false">H98-E98</f>
        <v>5</v>
      </c>
      <c r="L98" s="19" t="n">
        <f aca="false">IFERROR(H98/E98-1,"")</f>
        <v>0.111234705228031</v>
      </c>
      <c r="M98" s="20" t="n">
        <v>24</v>
      </c>
      <c r="N98" s="14"/>
    </row>
    <row r="99" customFormat="false" ht="15" hidden="false" customHeight="false" outlineLevel="0" collapsed="false">
      <c r="A99" s="10" t="s">
        <v>260</v>
      </c>
      <c r="B99" s="10" t="s">
        <v>261</v>
      </c>
      <c r="C99" s="10" t="s">
        <v>42</v>
      </c>
      <c r="D99" s="10" t="s">
        <v>15</v>
      </c>
      <c r="E99" s="11" t="n">
        <v>47.95</v>
      </c>
      <c r="F99" s="11" t="n">
        <v>96</v>
      </c>
      <c r="G99" s="21" t="n">
        <f aca="false">IFERROR(1-E99/F99,"")</f>
        <v>0.500520833333333</v>
      </c>
      <c r="H99" s="11" t="n">
        <v>49.95</v>
      </c>
      <c r="I99" s="12" t="n">
        <f aca="false">ROUND(H99*F99/E99,0)</f>
        <v>100</v>
      </c>
      <c r="J99" s="21" t="n">
        <f aca="false">IFERROR(1-H99/I99,"")</f>
        <v>0.5005</v>
      </c>
      <c r="K99" s="11" t="n">
        <f aca="false">H99-E99</f>
        <v>2</v>
      </c>
      <c r="L99" s="22" t="n">
        <f aca="false">IFERROR(H99/E99-1,"")</f>
        <v>0.0417101147028154</v>
      </c>
      <c r="M99" s="23" t="n">
        <v>7</v>
      </c>
      <c r="N99" s="10"/>
    </row>
    <row r="100" customFormat="false" ht="15" hidden="false" customHeight="false" outlineLevel="0" collapsed="false">
      <c r="A100" s="14" t="s">
        <v>262</v>
      </c>
      <c r="B100" s="14" t="s">
        <v>263</v>
      </c>
      <c r="C100" s="14" t="s">
        <v>42</v>
      </c>
      <c r="D100" s="14" t="s">
        <v>15</v>
      </c>
      <c r="E100" s="15" t="n">
        <v>49.95</v>
      </c>
      <c r="F100" s="15" t="n">
        <v>100</v>
      </c>
      <c r="G100" s="17" t="n">
        <f aca="false">IFERROR(1-E100/F100,"")</f>
        <v>0.5005</v>
      </c>
      <c r="H100" s="15" t="n">
        <v>49.95</v>
      </c>
      <c r="I100" s="18" t="n">
        <f aca="false">ROUND(H100*F100/E100,0)</f>
        <v>100</v>
      </c>
      <c r="J100" s="17" t="n">
        <f aca="false">IFERROR(1-H100/I100,"")</f>
        <v>0.5005</v>
      </c>
      <c r="K100" s="15" t="n">
        <f aca="false">H100-E100</f>
        <v>0</v>
      </c>
      <c r="L100" s="19" t="n">
        <f aca="false">IFERROR(H100/E100-1,"")</f>
        <v>0</v>
      </c>
      <c r="M100" s="20" t="n">
        <v>25</v>
      </c>
      <c r="N100" s="14"/>
    </row>
    <row r="101" customFormat="false" ht="15" hidden="false" customHeight="false" outlineLevel="0" collapsed="false">
      <c r="A101" s="10" t="s">
        <v>264</v>
      </c>
      <c r="B101" s="10" t="s">
        <v>265</v>
      </c>
      <c r="C101" s="10" t="s">
        <v>43</v>
      </c>
      <c r="D101" s="10" t="s">
        <v>15</v>
      </c>
      <c r="E101" s="11" t="n">
        <v>29.95</v>
      </c>
      <c r="F101" s="11" t="n">
        <v>60</v>
      </c>
      <c r="G101" s="21" t="n">
        <f aca="false">IFERROR(1-E101/F101,"")</f>
        <v>0.500833333333333</v>
      </c>
      <c r="H101" s="11" t="n">
        <v>49.95</v>
      </c>
      <c r="I101" s="12" t="n">
        <f aca="false">ROUND(H101*F101/E101,0)</f>
        <v>100</v>
      </c>
      <c r="J101" s="21" t="n">
        <f aca="false">IFERROR(1-H101/I101,"")</f>
        <v>0.5005</v>
      </c>
      <c r="K101" s="11" t="n">
        <f aca="false">H101-E101</f>
        <v>20</v>
      </c>
      <c r="L101" s="22" t="n">
        <f aca="false">IFERROR(H101/E101-1,"")</f>
        <v>0.667779632721202</v>
      </c>
      <c r="M101" s="23" t="n">
        <v>5</v>
      </c>
      <c r="N101" s="10"/>
    </row>
    <row r="102" customFormat="false" ht="15" hidden="false" customHeight="false" outlineLevel="0" collapsed="false">
      <c r="A102" s="14" t="s">
        <v>266</v>
      </c>
      <c r="B102" s="14" t="s">
        <v>267</v>
      </c>
      <c r="C102" s="14" t="s">
        <v>43</v>
      </c>
      <c r="D102" s="14" t="s">
        <v>15</v>
      </c>
      <c r="E102" s="15" t="n">
        <v>29.95</v>
      </c>
      <c r="F102" s="15" t="n">
        <v>60</v>
      </c>
      <c r="G102" s="17" t="n">
        <f aca="false">IFERROR(1-E102/F102,"")</f>
        <v>0.500833333333333</v>
      </c>
      <c r="H102" s="15" t="n">
        <v>49.95</v>
      </c>
      <c r="I102" s="18" t="n">
        <f aca="false">ROUND(H102*F102/E102,0)</f>
        <v>100</v>
      </c>
      <c r="J102" s="17" t="n">
        <f aca="false">IFERROR(1-H102/I102,"")</f>
        <v>0.5005</v>
      </c>
      <c r="K102" s="15" t="n">
        <f aca="false">H102-E102</f>
        <v>20</v>
      </c>
      <c r="L102" s="19" t="n">
        <f aca="false">IFERROR(H102/E102-1,"")</f>
        <v>0.667779632721202</v>
      </c>
      <c r="M102" s="20" t="n">
        <v>4</v>
      </c>
      <c r="N102" s="14"/>
    </row>
    <row r="103" customFormat="false" ht="15" hidden="false" customHeight="false" outlineLevel="0" collapsed="false">
      <c r="A103" s="10" t="s">
        <v>268</v>
      </c>
      <c r="B103" s="10" t="s">
        <v>269</v>
      </c>
      <c r="C103" s="10" t="s">
        <v>43</v>
      </c>
      <c r="D103" s="10" t="s">
        <v>15</v>
      </c>
      <c r="E103" s="11" t="n">
        <v>29.95</v>
      </c>
      <c r="F103" s="11" t="n">
        <v>60</v>
      </c>
      <c r="G103" s="21" t="n">
        <f aca="false">IFERROR(1-E103/F103,"")</f>
        <v>0.500833333333333</v>
      </c>
      <c r="H103" s="11" t="n">
        <v>49.95</v>
      </c>
      <c r="I103" s="12" t="n">
        <f aca="false">ROUND(H103*F103/E103,0)</f>
        <v>100</v>
      </c>
      <c r="J103" s="21" t="n">
        <f aca="false">IFERROR(1-H103/I103,"")</f>
        <v>0.5005</v>
      </c>
      <c r="K103" s="11" t="n">
        <f aca="false">H103-E103</f>
        <v>20</v>
      </c>
      <c r="L103" s="22" t="n">
        <f aca="false">IFERROR(H103/E103-1,"")</f>
        <v>0.667779632721202</v>
      </c>
      <c r="M103" s="23" t="n">
        <v>9</v>
      </c>
      <c r="N103" s="10"/>
    </row>
    <row r="104" customFormat="false" ht="15" hidden="false" customHeight="false" outlineLevel="0" collapsed="false">
      <c r="A104" s="14" t="s">
        <v>270</v>
      </c>
      <c r="B104" s="14" t="s">
        <v>271</v>
      </c>
      <c r="C104" s="14" t="s">
        <v>43</v>
      </c>
      <c r="D104" s="14" t="s">
        <v>15</v>
      </c>
      <c r="E104" s="15" t="n">
        <v>34.95</v>
      </c>
      <c r="F104" s="15" t="n">
        <v>70</v>
      </c>
      <c r="G104" s="17" t="n">
        <f aca="false">IFERROR(1-E104/F104,"")</f>
        <v>0.500714285714286</v>
      </c>
      <c r="H104" s="15" t="n">
        <v>49.95</v>
      </c>
      <c r="I104" s="18" t="n">
        <f aca="false">ROUND(H104*F104/E104,0)</f>
        <v>100</v>
      </c>
      <c r="J104" s="17" t="n">
        <f aca="false">IFERROR(1-H104/I104,"")</f>
        <v>0.5005</v>
      </c>
      <c r="K104" s="15" t="n">
        <f aca="false">H104-E104</f>
        <v>15</v>
      </c>
      <c r="L104" s="19" t="n">
        <f aca="false">IFERROR(H104/E104-1,"")</f>
        <v>0.429184549356223</v>
      </c>
      <c r="M104" s="20" t="n">
        <v>16</v>
      </c>
      <c r="N104" s="14"/>
    </row>
    <row r="105" customFormat="false" ht="15" hidden="false" customHeight="false" outlineLevel="0" collapsed="false">
      <c r="A105" s="10" t="s">
        <v>272</v>
      </c>
      <c r="B105" s="10" t="s">
        <v>273</v>
      </c>
      <c r="C105" s="10" t="s">
        <v>43</v>
      </c>
      <c r="D105" s="10" t="s">
        <v>15</v>
      </c>
      <c r="E105" s="11" t="n">
        <v>34.95</v>
      </c>
      <c r="F105" s="11" t="n">
        <v>70</v>
      </c>
      <c r="G105" s="21" t="n">
        <f aca="false">IFERROR(1-E105/F105,"")</f>
        <v>0.500714285714286</v>
      </c>
      <c r="H105" s="11" t="n">
        <v>49.95</v>
      </c>
      <c r="I105" s="12" t="n">
        <f aca="false">ROUND(H105*F105/E105,0)</f>
        <v>100</v>
      </c>
      <c r="J105" s="21" t="n">
        <f aca="false">IFERROR(1-H105/I105,"")</f>
        <v>0.5005</v>
      </c>
      <c r="K105" s="11" t="n">
        <f aca="false">H105-E105</f>
        <v>15</v>
      </c>
      <c r="L105" s="22" t="n">
        <f aca="false">IFERROR(H105/E105-1,"")</f>
        <v>0.429184549356223</v>
      </c>
      <c r="M105" s="23" t="n">
        <v>12</v>
      </c>
      <c r="N105" s="10"/>
    </row>
    <row r="106" customFormat="false" ht="15" hidden="false" customHeight="false" outlineLevel="0" collapsed="false">
      <c r="A106" s="14" t="s">
        <v>274</v>
      </c>
      <c r="B106" s="14" t="s">
        <v>275</v>
      </c>
      <c r="C106" s="14" t="s">
        <v>43</v>
      </c>
      <c r="D106" s="14" t="s">
        <v>15</v>
      </c>
      <c r="E106" s="15" t="n">
        <v>34.95</v>
      </c>
      <c r="F106" s="15" t="n">
        <v>70</v>
      </c>
      <c r="G106" s="17" t="n">
        <f aca="false">IFERROR(1-E106/F106,"")</f>
        <v>0.500714285714286</v>
      </c>
      <c r="H106" s="15" t="n">
        <v>49.95</v>
      </c>
      <c r="I106" s="18" t="n">
        <f aca="false">ROUND(H106*F106/E106,0)</f>
        <v>100</v>
      </c>
      <c r="J106" s="17" t="n">
        <f aca="false">IFERROR(1-H106/I106,"")</f>
        <v>0.5005</v>
      </c>
      <c r="K106" s="15" t="n">
        <f aca="false">H106-E106</f>
        <v>15</v>
      </c>
      <c r="L106" s="19" t="n">
        <f aca="false">IFERROR(H106/E106-1,"")</f>
        <v>0.429184549356223</v>
      </c>
      <c r="M106" s="20" t="n">
        <v>5</v>
      </c>
      <c r="N106" s="14"/>
    </row>
    <row r="107" customFormat="false" ht="15" hidden="false" customHeight="false" outlineLevel="0" collapsed="false">
      <c r="A107" s="10" t="s">
        <v>276</v>
      </c>
      <c r="B107" s="10" t="s">
        <v>277</v>
      </c>
      <c r="C107" s="10" t="s">
        <v>43</v>
      </c>
      <c r="D107" s="10" t="s">
        <v>15</v>
      </c>
      <c r="E107" s="11" t="n">
        <v>34.95</v>
      </c>
      <c r="F107" s="11" t="n">
        <v>70</v>
      </c>
      <c r="G107" s="21" t="n">
        <f aca="false">IFERROR(1-E107/F107,"")</f>
        <v>0.500714285714286</v>
      </c>
      <c r="H107" s="11" t="n">
        <v>49.95</v>
      </c>
      <c r="I107" s="12" t="n">
        <f aca="false">ROUND(H107*F107/E107,0)</f>
        <v>100</v>
      </c>
      <c r="J107" s="21" t="n">
        <f aca="false">IFERROR(1-H107/I107,"")</f>
        <v>0.5005</v>
      </c>
      <c r="K107" s="11" t="n">
        <f aca="false">H107-E107</f>
        <v>15</v>
      </c>
      <c r="L107" s="22" t="n">
        <f aca="false">IFERROR(H107/E107-1,"")</f>
        <v>0.429184549356223</v>
      </c>
      <c r="M107" s="23" t="n">
        <v>5</v>
      </c>
      <c r="N107" s="10"/>
    </row>
    <row r="108" customFormat="false" ht="15" hidden="false" customHeight="false" outlineLevel="0" collapsed="false">
      <c r="A108" s="14" t="s">
        <v>278</v>
      </c>
      <c r="B108" s="14" t="s">
        <v>279</v>
      </c>
      <c r="C108" s="14" t="s">
        <v>43</v>
      </c>
      <c r="D108" s="14" t="s">
        <v>15</v>
      </c>
      <c r="E108" s="15" t="n">
        <v>34.95</v>
      </c>
      <c r="F108" s="15" t="n">
        <v>70</v>
      </c>
      <c r="G108" s="17" t="n">
        <f aca="false">IFERROR(1-E108/F108,"")</f>
        <v>0.500714285714286</v>
      </c>
      <c r="H108" s="15" t="n">
        <v>49.95</v>
      </c>
      <c r="I108" s="18" t="n">
        <f aca="false">ROUND(H108*F108/E108,0)</f>
        <v>100</v>
      </c>
      <c r="J108" s="17" t="n">
        <f aca="false">IFERROR(1-H108/I108,"")</f>
        <v>0.5005</v>
      </c>
      <c r="K108" s="15" t="n">
        <f aca="false">H108-E108</f>
        <v>15</v>
      </c>
      <c r="L108" s="19" t="n">
        <f aca="false">IFERROR(H108/E108-1,"")</f>
        <v>0.429184549356223</v>
      </c>
      <c r="M108" s="20" t="n">
        <v>40</v>
      </c>
      <c r="N108" s="14"/>
    </row>
    <row r="109" customFormat="false" ht="15" hidden="false" customHeight="false" outlineLevel="0" collapsed="false">
      <c r="A109" s="10" t="s">
        <v>280</v>
      </c>
      <c r="B109" s="10" t="s">
        <v>281</v>
      </c>
      <c r="C109" s="10" t="s">
        <v>43</v>
      </c>
      <c r="D109" s="10" t="s">
        <v>15</v>
      </c>
      <c r="E109" s="11" t="n">
        <v>34.95</v>
      </c>
      <c r="F109" s="11" t="n">
        <v>70</v>
      </c>
      <c r="G109" s="21" t="n">
        <f aca="false">IFERROR(1-E109/F109,"")</f>
        <v>0.500714285714286</v>
      </c>
      <c r="H109" s="11" t="n">
        <v>49.95</v>
      </c>
      <c r="I109" s="12" t="n">
        <f aca="false">ROUND(H109*F109/E109,0)</f>
        <v>100</v>
      </c>
      <c r="J109" s="21" t="n">
        <f aca="false">IFERROR(1-H109/I109,"")</f>
        <v>0.5005</v>
      </c>
      <c r="K109" s="11" t="n">
        <f aca="false">H109-E109</f>
        <v>15</v>
      </c>
      <c r="L109" s="22" t="n">
        <f aca="false">IFERROR(H109/E109-1,"")</f>
        <v>0.429184549356223</v>
      </c>
      <c r="M109" s="23" t="n">
        <v>35</v>
      </c>
      <c r="N109" s="10"/>
    </row>
    <row r="110" customFormat="false" ht="15" hidden="false" customHeight="false" outlineLevel="0" collapsed="false">
      <c r="A110" s="14" t="s">
        <v>282</v>
      </c>
      <c r="B110" s="14" t="s">
        <v>283</v>
      </c>
      <c r="C110" s="14" t="s">
        <v>43</v>
      </c>
      <c r="D110" s="14" t="s">
        <v>15</v>
      </c>
      <c r="E110" s="15" t="n">
        <v>34.95</v>
      </c>
      <c r="F110" s="15" t="n">
        <v>70</v>
      </c>
      <c r="G110" s="17" t="n">
        <f aca="false">IFERROR(1-E110/F110,"")</f>
        <v>0.500714285714286</v>
      </c>
      <c r="H110" s="15" t="n">
        <v>49.95</v>
      </c>
      <c r="I110" s="18" t="n">
        <f aca="false">ROUND(H110*F110/E110,0)</f>
        <v>100</v>
      </c>
      <c r="J110" s="17" t="n">
        <f aca="false">IFERROR(1-H110/I110,"")</f>
        <v>0.5005</v>
      </c>
      <c r="K110" s="15" t="n">
        <f aca="false">H110-E110</f>
        <v>15</v>
      </c>
      <c r="L110" s="19" t="n">
        <f aca="false">IFERROR(H110/E110-1,"")</f>
        <v>0.429184549356223</v>
      </c>
      <c r="M110" s="20" t="n">
        <v>30</v>
      </c>
      <c r="N110" s="14"/>
    </row>
    <row r="111" customFormat="false" ht="15" hidden="false" customHeight="false" outlineLevel="0" collapsed="false">
      <c r="A111" s="10" t="s">
        <v>284</v>
      </c>
      <c r="B111" s="10" t="s">
        <v>285</v>
      </c>
      <c r="C111" s="10" t="s">
        <v>43</v>
      </c>
      <c r="D111" s="10" t="s">
        <v>15</v>
      </c>
      <c r="E111" s="11" t="n">
        <v>34.95</v>
      </c>
      <c r="F111" s="11" t="n">
        <v>70</v>
      </c>
      <c r="G111" s="21" t="n">
        <f aca="false">IFERROR(1-E111/F111,"")</f>
        <v>0.500714285714286</v>
      </c>
      <c r="H111" s="11" t="n">
        <v>49.95</v>
      </c>
      <c r="I111" s="12" t="n">
        <f aca="false">ROUND(H111*F111/E111,0)</f>
        <v>100</v>
      </c>
      <c r="J111" s="21" t="n">
        <f aca="false">IFERROR(1-H111/I111,"")</f>
        <v>0.5005</v>
      </c>
      <c r="K111" s="11" t="n">
        <f aca="false">H111-E111</f>
        <v>15</v>
      </c>
      <c r="L111" s="22" t="n">
        <f aca="false">IFERROR(H111/E111-1,"")</f>
        <v>0.429184549356223</v>
      </c>
      <c r="M111" s="23" t="n">
        <v>42</v>
      </c>
      <c r="N111" s="10"/>
    </row>
    <row r="112" customFormat="false" ht="15" hidden="false" customHeight="false" outlineLevel="0" collapsed="false">
      <c r="A112" s="14" t="s">
        <v>286</v>
      </c>
      <c r="B112" s="14" t="s">
        <v>287</v>
      </c>
      <c r="C112" s="14" t="s">
        <v>43</v>
      </c>
      <c r="D112" s="14" t="s">
        <v>15</v>
      </c>
      <c r="E112" s="15" t="n">
        <v>39.95</v>
      </c>
      <c r="F112" s="15" t="n">
        <v>80</v>
      </c>
      <c r="G112" s="17" t="n">
        <f aca="false">IFERROR(1-E112/F112,"")</f>
        <v>0.500625</v>
      </c>
      <c r="H112" s="15" t="n">
        <v>49.95</v>
      </c>
      <c r="I112" s="18" t="n">
        <f aca="false">ROUND(H112*F112/E112,0)</f>
        <v>100</v>
      </c>
      <c r="J112" s="17" t="n">
        <f aca="false">IFERROR(1-H112/I112,"")</f>
        <v>0.5005</v>
      </c>
      <c r="K112" s="15" t="n">
        <f aca="false">H112-E112</f>
        <v>10</v>
      </c>
      <c r="L112" s="19" t="n">
        <f aca="false">IFERROR(H112/E112-1,"")</f>
        <v>0.250312891113892</v>
      </c>
      <c r="M112" s="20" t="n">
        <v>6</v>
      </c>
      <c r="N112" s="14"/>
    </row>
    <row r="113" customFormat="false" ht="15" hidden="false" customHeight="false" outlineLevel="0" collapsed="false">
      <c r="A113" s="10" t="s">
        <v>288</v>
      </c>
      <c r="B113" s="10" t="s">
        <v>289</v>
      </c>
      <c r="C113" s="10" t="s">
        <v>43</v>
      </c>
      <c r="D113" s="10" t="s">
        <v>15</v>
      </c>
      <c r="E113" s="11" t="n">
        <v>39.95</v>
      </c>
      <c r="F113" s="11" t="n">
        <v>80</v>
      </c>
      <c r="G113" s="21" t="n">
        <f aca="false">IFERROR(1-E113/F113,"")</f>
        <v>0.500625</v>
      </c>
      <c r="H113" s="11" t="n">
        <v>49.95</v>
      </c>
      <c r="I113" s="12" t="n">
        <f aca="false">ROUND(H113*F113/E113,0)</f>
        <v>100</v>
      </c>
      <c r="J113" s="21" t="n">
        <f aca="false">IFERROR(1-H113/I113,"")</f>
        <v>0.5005</v>
      </c>
      <c r="K113" s="11" t="n">
        <f aca="false">H113-E113</f>
        <v>10</v>
      </c>
      <c r="L113" s="22" t="n">
        <f aca="false">IFERROR(H113/E113-1,"")</f>
        <v>0.250312891113892</v>
      </c>
      <c r="M113" s="23" t="n">
        <v>4</v>
      </c>
      <c r="N113" s="10"/>
    </row>
    <row r="114" customFormat="false" ht="15" hidden="false" customHeight="false" outlineLevel="0" collapsed="false">
      <c r="A114" s="14" t="s">
        <v>290</v>
      </c>
      <c r="B114" s="14" t="s">
        <v>291</v>
      </c>
      <c r="C114" s="14" t="s">
        <v>43</v>
      </c>
      <c r="D114" s="14" t="s">
        <v>15</v>
      </c>
      <c r="E114" s="15" t="n">
        <v>39.95</v>
      </c>
      <c r="F114" s="15" t="n">
        <v>80</v>
      </c>
      <c r="G114" s="17" t="n">
        <f aca="false">IFERROR(1-E114/F114,"")</f>
        <v>0.500625</v>
      </c>
      <c r="H114" s="15" t="n">
        <v>49.95</v>
      </c>
      <c r="I114" s="18" t="n">
        <f aca="false">ROUND(H114*F114/E114,0)</f>
        <v>100</v>
      </c>
      <c r="J114" s="17" t="n">
        <f aca="false">IFERROR(1-H114/I114,"")</f>
        <v>0.5005</v>
      </c>
      <c r="K114" s="15" t="n">
        <f aca="false">H114-E114</f>
        <v>10</v>
      </c>
      <c r="L114" s="19" t="n">
        <f aca="false">IFERROR(H114/E114-1,"")</f>
        <v>0.250312891113892</v>
      </c>
      <c r="M114" s="20" t="n">
        <v>4</v>
      </c>
      <c r="N114" s="14"/>
    </row>
    <row r="115" customFormat="false" ht="15" hidden="false" customHeight="false" outlineLevel="0" collapsed="false">
      <c r="A115" s="10" t="s">
        <v>292</v>
      </c>
      <c r="B115" s="10" t="s">
        <v>293</v>
      </c>
      <c r="C115" s="10" t="s">
        <v>43</v>
      </c>
      <c r="D115" s="10" t="s">
        <v>15</v>
      </c>
      <c r="E115" s="11" t="n">
        <v>39.95</v>
      </c>
      <c r="F115" s="11" t="n">
        <v>80</v>
      </c>
      <c r="G115" s="21" t="n">
        <f aca="false">IFERROR(1-E115/F115,"")</f>
        <v>0.500625</v>
      </c>
      <c r="H115" s="11" t="n">
        <v>49.95</v>
      </c>
      <c r="I115" s="12" t="n">
        <f aca="false">ROUND(H115*F115/E115,0)</f>
        <v>100</v>
      </c>
      <c r="J115" s="21" t="n">
        <f aca="false">IFERROR(1-H115/I115,"")</f>
        <v>0.5005</v>
      </c>
      <c r="K115" s="11" t="n">
        <f aca="false">H115-E115</f>
        <v>10</v>
      </c>
      <c r="L115" s="22" t="n">
        <f aca="false">IFERROR(H115/E115-1,"")</f>
        <v>0.250312891113892</v>
      </c>
      <c r="M115" s="23" t="n">
        <v>24</v>
      </c>
      <c r="N115" s="10"/>
    </row>
    <row r="116" customFormat="false" ht="15" hidden="false" customHeight="false" outlineLevel="0" collapsed="false">
      <c r="A116" s="14" t="s">
        <v>294</v>
      </c>
      <c r="B116" s="14" t="s">
        <v>295</v>
      </c>
      <c r="C116" s="14" t="s">
        <v>43</v>
      </c>
      <c r="D116" s="14" t="s">
        <v>15</v>
      </c>
      <c r="E116" s="15" t="n">
        <v>39.95</v>
      </c>
      <c r="F116" s="15" t="n">
        <v>80</v>
      </c>
      <c r="G116" s="17" t="n">
        <f aca="false">IFERROR(1-E116/F116,"")</f>
        <v>0.500625</v>
      </c>
      <c r="H116" s="15" t="n">
        <v>49.95</v>
      </c>
      <c r="I116" s="18" t="n">
        <f aca="false">ROUND(H116*F116/E116,0)</f>
        <v>100</v>
      </c>
      <c r="J116" s="17" t="n">
        <f aca="false">IFERROR(1-H116/I116,"")</f>
        <v>0.5005</v>
      </c>
      <c r="K116" s="15" t="n">
        <f aca="false">H116-E116</f>
        <v>10</v>
      </c>
      <c r="L116" s="19" t="n">
        <f aca="false">IFERROR(H116/E116-1,"")</f>
        <v>0.250312891113892</v>
      </c>
      <c r="M116" s="20" t="n">
        <v>35</v>
      </c>
      <c r="N116" s="14"/>
    </row>
    <row r="117" customFormat="false" ht="15" hidden="false" customHeight="false" outlineLevel="0" collapsed="false">
      <c r="A117" s="10" t="s">
        <v>296</v>
      </c>
      <c r="B117" s="10" t="s">
        <v>297</v>
      </c>
      <c r="C117" s="10" t="s">
        <v>43</v>
      </c>
      <c r="D117" s="10" t="s">
        <v>15</v>
      </c>
      <c r="E117" s="11" t="n">
        <v>39.95</v>
      </c>
      <c r="F117" s="11" t="n">
        <v>80</v>
      </c>
      <c r="G117" s="21" t="n">
        <f aca="false">IFERROR(1-E117/F117,"")</f>
        <v>0.500625</v>
      </c>
      <c r="H117" s="11" t="n">
        <v>49.95</v>
      </c>
      <c r="I117" s="12" t="n">
        <f aca="false">ROUND(H117*F117/E117,0)</f>
        <v>100</v>
      </c>
      <c r="J117" s="21" t="n">
        <f aca="false">IFERROR(1-H117/I117,"")</f>
        <v>0.5005</v>
      </c>
      <c r="K117" s="11" t="n">
        <f aca="false">H117-E117</f>
        <v>10</v>
      </c>
      <c r="L117" s="22" t="n">
        <f aca="false">IFERROR(H117/E117-1,"")</f>
        <v>0.250312891113892</v>
      </c>
      <c r="M117" s="23" t="n">
        <v>30</v>
      </c>
      <c r="N117" s="10"/>
    </row>
    <row r="118" customFormat="false" ht="15" hidden="false" customHeight="false" outlineLevel="0" collapsed="false">
      <c r="A118" s="14" t="s">
        <v>298</v>
      </c>
      <c r="B118" s="14" t="s">
        <v>299</v>
      </c>
      <c r="C118" s="14" t="s">
        <v>43</v>
      </c>
      <c r="D118" s="14" t="s">
        <v>15</v>
      </c>
      <c r="E118" s="15" t="n">
        <v>39.95</v>
      </c>
      <c r="F118" s="15" t="n">
        <v>80</v>
      </c>
      <c r="G118" s="17" t="n">
        <f aca="false">IFERROR(1-E118/F118,"")</f>
        <v>0.500625</v>
      </c>
      <c r="H118" s="15" t="n">
        <v>49.95</v>
      </c>
      <c r="I118" s="18" t="n">
        <f aca="false">ROUND(H118*F118/E118,0)</f>
        <v>100</v>
      </c>
      <c r="J118" s="17" t="n">
        <f aca="false">IFERROR(1-H118/I118,"")</f>
        <v>0.5005</v>
      </c>
      <c r="K118" s="15" t="n">
        <f aca="false">H118-E118</f>
        <v>10</v>
      </c>
      <c r="L118" s="19" t="n">
        <f aca="false">IFERROR(H118/E118-1,"")</f>
        <v>0.250312891113892</v>
      </c>
      <c r="M118" s="20" t="n">
        <v>36</v>
      </c>
      <c r="N118" s="14"/>
    </row>
    <row r="119" customFormat="false" ht="15" hidden="false" customHeight="false" outlineLevel="0" collapsed="false">
      <c r="A119" s="10" t="s">
        <v>300</v>
      </c>
      <c r="B119" s="10" t="s">
        <v>301</v>
      </c>
      <c r="C119" s="10" t="s">
        <v>43</v>
      </c>
      <c r="D119" s="10" t="s">
        <v>15</v>
      </c>
      <c r="E119" s="11" t="n">
        <v>39.95</v>
      </c>
      <c r="F119" s="11" t="n">
        <v>80</v>
      </c>
      <c r="G119" s="21" t="n">
        <f aca="false">IFERROR(1-E119/F119,"")</f>
        <v>0.500625</v>
      </c>
      <c r="H119" s="11" t="n">
        <v>49.95</v>
      </c>
      <c r="I119" s="12" t="n">
        <f aca="false">ROUND(H119*F119/E119,0)</f>
        <v>100</v>
      </c>
      <c r="J119" s="21" t="n">
        <f aca="false">IFERROR(1-H119/I119,"")</f>
        <v>0.5005</v>
      </c>
      <c r="K119" s="11" t="n">
        <f aca="false">H119-E119</f>
        <v>10</v>
      </c>
      <c r="L119" s="22" t="n">
        <f aca="false">IFERROR(H119/E119-1,"")</f>
        <v>0.250312891113892</v>
      </c>
      <c r="M119" s="23" t="n">
        <v>32</v>
      </c>
      <c r="N119" s="10"/>
    </row>
    <row r="120" customFormat="false" ht="15" hidden="false" customHeight="false" outlineLevel="0" collapsed="false">
      <c r="A120" s="14" t="s">
        <v>302</v>
      </c>
      <c r="B120" s="14" t="s">
        <v>303</v>
      </c>
      <c r="C120" s="14" t="s">
        <v>43</v>
      </c>
      <c r="D120" s="14" t="s">
        <v>15</v>
      </c>
      <c r="E120" s="15" t="n">
        <v>39.95</v>
      </c>
      <c r="F120" s="15" t="n">
        <v>80</v>
      </c>
      <c r="G120" s="17" t="n">
        <f aca="false">IFERROR(1-E120/F120,"")</f>
        <v>0.500625</v>
      </c>
      <c r="H120" s="15" t="n">
        <v>49.95</v>
      </c>
      <c r="I120" s="18" t="n">
        <f aca="false">ROUND(H120*F120/E120,0)</f>
        <v>100</v>
      </c>
      <c r="J120" s="17" t="n">
        <f aca="false">IFERROR(1-H120/I120,"")</f>
        <v>0.5005</v>
      </c>
      <c r="K120" s="15" t="n">
        <f aca="false">H120-E120</f>
        <v>10</v>
      </c>
      <c r="L120" s="19" t="n">
        <f aca="false">IFERROR(H120/E120-1,"")</f>
        <v>0.250312891113892</v>
      </c>
      <c r="M120" s="20" t="n">
        <v>45</v>
      </c>
      <c r="N120" s="14"/>
    </row>
    <row r="121" customFormat="false" ht="15" hidden="false" customHeight="false" outlineLevel="0" collapsed="false">
      <c r="A121" s="10" t="s">
        <v>304</v>
      </c>
      <c r="B121" s="10" t="s">
        <v>305</v>
      </c>
      <c r="C121" s="10" t="s">
        <v>43</v>
      </c>
      <c r="D121" s="10" t="s">
        <v>15</v>
      </c>
      <c r="E121" s="11" t="n">
        <v>44.95</v>
      </c>
      <c r="F121" s="11" t="n">
        <v>90</v>
      </c>
      <c r="G121" s="21" t="n">
        <f aca="false">IFERROR(1-E121/F121,"")</f>
        <v>0.500555555555556</v>
      </c>
      <c r="H121" s="11" t="n">
        <v>49.95</v>
      </c>
      <c r="I121" s="12" t="n">
        <f aca="false">ROUND(H121*F121/E121,0)</f>
        <v>100</v>
      </c>
      <c r="J121" s="21" t="n">
        <f aca="false">IFERROR(1-H121/I121,"")</f>
        <v>0.5005</v>
      </c>
      <c r="K121" s="11" t="n">
        <f aca="false">H121-E121</f>
        <v>5</v>
      </c>
      <c r="L121" s="22" t="n">
        <f aca="false">IFERROR(H121/E121-1,"")</f>
        <v>0.111234705228031</v>
      </c>
      <c r="M121" s="23" t="n">
        <v>25</v>
      </c>
      <c r="N121" s="10"/>
    </row>
    <row r="122" customFormat="false" ht="15" hidden="false" customHeight="false" outlineLevel="0" collapsed="false">
      <c r="A122" s="14" t="s">
        <v>306</v>
      </c>
      <c r="B122" s="14" t="s">
        <v>307</v>
      </c>
      <c r="C122" s="14" t="s">
        <v>43</v>
      </c>
      <c r="D122" s="14" t="s">
        <v>15</v>
      </c>
      <c r="E122" s="15" t="n">
        <v>44.95</v>
      </c>
      <c r="F122" s="15" t="n">
        <v>90</v>
      </c>
      <c r="G122" s="17" t="n">
        <f aca="false">IFERROR(1-E122/F122,"")</f>
        <v>0.500555555555556</v>
      </c>
      <c r="H122" s="15" t="n">
        <v>49.95</v>
      </c>
      <c r="I122" s="18" t="n">
        <f aca="false">ROUND(H122*F122/E122,0)</f>
        <v>100</v>
      </c>
      <c r="J122" s="17" t="n">
        <f aca="false">IFERROR(1-H122/I122,"")</f>
        <v>0.5005</v>
      </c>
      <c r="K122" s="15" t="n">
        <f aca="false">H122-E122</f>
        <v>5</v>
      </c>
      <c r="L122" s="19" t="n">
        <f aca="false">IFERROR(H122/E122-1,"")</f>
        <v>0.111234705228031</v>
      </c>
      <c r="M122" s="20" t="n">
        <v>15</v>
      </c>
      <c r="N122" s="14"/>
    </row>
    <row r="123" customFormat="false" ht="15" hidden="false" customHeight="false" outlineLevel="0" collapsed="false">
      <c r="A123" s="10" t="s">
        <v>308</v>
      </c>
      <c r="B123" s="10" t="s">
        <v>309</v>
      </c>
      <c r="C123" s="10" t="s">
        <v>43</v>
      </c>
      <c r="D123" s="10" t="s">
        <v>15</v>
      </c>
      <c r="E123" s="11" t="n">
        <v>44.95</v>
      </c>
      <c r="F123" s="11" t="n">
        <v>90</v>
      </c>
      <c r="G123" s="21" t="n">
        <f aca="false">IFERROR(1-E123/F123,"")</f>
        <v>0.500555555555556</v>
      </c>
      <c r="H123" s="11" t="n">
        <v>49.95</v>
      </c>
      <c r="I123" s="12" t="n">
        <f aca="false">ROUND(H123*F123/E123,0)</f>
        <v>100</v>
      </c>
      <c r="J123" s="21" t="n">
        <f aca="false">IFERROR(1-H123/I123,"")</f>
        <v>0.5005</v>
      </c>
      <c r="K123" s="11" t="n">
        <f aca="false">H123-E123</f>
        <v>5</v>
      </c>
      <c r="L123" s="22" t="n">
        <f aca="false">IFERROR(H123/E123-1,"")</f>
        <v>0.111234705228031</v>
      </c>
      <c r="M123" s="23" t="n">
        <v>3</v>
      </c>
      <c r="N123" s="10"/>
    </row>
    <row r="124" customFormat="false" ht="15" hidden="false" customHeight="false" outlineLevel="0" collapsed="false">
      <c r="A124" s="14" t="s">
        <v>310</v>
      </c>
      <c r="B124" s="14" t="s">
        <v>311</v>
      </c>
      <c r="C124" s="14" t="s">
        <v>43</v>
      </c>
      <c r="D124" s="14" t="s">
        <v>15</v>
      </c>
      <c r="E124" s="15" t="n">
        <v>44.95</v>
      </c>
      <c r="F124" s="15" t="n">
        <v>90</v>
      </c>
      <c r="G124" s="17" t="n">
        <f aca="false">IFERROR(1-E124/F124,"")</f>
        <v>0.500555555555556</v>
      </c>
      <c r="H124" s="15" t="n">
        <v>49.95</v>
      </c>
      <c r="I124" s="18" t="n">
        <f aca="false">ROUND(H124*F124/E124,0)</f>
        <v>100</v>
      </c>
      <c r="J124" s="17" t="n">
        <f aca="false">IFERROR(1-H124/I124,"")</f>
        <v>0.5005</v>
      </c>
      <c r="K124" s="15" t="n">
        <f aca="false">H124-E124</f>
        <v>5</v>
      </c>
      <c r="L124" s="19" t="n">
        <f aca="false">IFERROR(H124/E124-1,"")</f>
        <v>0.111234705228031</v>
      </c>
      <c r="M124" s="20" t="n">
        <v>20</v>
      </c>
      <c r="N124" s="14"/>
    </row>
    <row r="125" customFormat="false" ht="15" hidden="false" customHeight="false" outlineLevel="0" collapsed="false">
      <c r="A125" s="10" t="s">
        <v>312</v>
      </c>
      <c r="B125" s="10" t="s">
        <v>313</v>
      </c>
      <c r="C125" s="10" t="s">
        <v>43</v>
      </c>
      <c r="D125" s="10" t="s">
        <v>15</v>
      </c>
      <c r="E125" s="11" t="n">
        <v>44.95</v>
      </c>
      <c r="F125" s="11" t="n">
        <v>90</v>
      </c>
      <c r="G125" s="21" t="n">
        <f aca="false">IFERROR(1-E125/F125,"")</f>
        <v>0.500555555555556</v>
      </c>
      <c r="H125" s="11" t="n">
        <v>49.95</v>
      </c>
      <c r="I125" s="12" t="n">
        <f aca="false">ROUND(H125*F125/E125,0)</f>
        <v>100</v>
      </c>
      <c r="J125" s="21" t="n">
        <f aca="false">IFERROR(1-H125/I125,"")</f>
        <v>0.5005</v>
      </c>
      <c r="K125" s="11" t="n">
        <f aca="false">H125-E125</f>
        <v>5</v>
      </c>
      <c r="L125" s="22" t="n">
        <f aca="false">IFERROR(H125/E125-1,"")</f>
        <v>0.111234705228031</v>
      </c>
      <c r="M125" s="23" t="n">
        <v>12</v>
      </c>
      <c r="N125" s="10"/>
    </row>
    <row r="126" customFormat="false" ht="15" hidden="false" customHeight="false" outlineLevel="0" collapsed="false">
      <c r="A126" s="14" t="s">
        <v>314</v>
      </c>
      <c r="B126" s="14" t="s">
        <v>315</v>
      </c>
      <c r="C126" s="14" t="s">
        <v>43</v>
      </c>
      <c r="D126" s="14" t="s">
        <v>15</v>
      </c>
      <c r="E126" s="15" t="n">
        <v>44.95</v>
      </c>
      <c r="F126" s="15" t="n">
        <v>90</v>
      </c>
      <c r="G126" s="17" t="n">
        <f aca="false">IFERROR(1-E126/F126,"")</f>
        <v>0.500555555555556</v>
      </c>
      <c r="H126" s="15" t="n">
        <v>49.95</v>
      </c>
      <c r="I126" s="18" t="n">
        <f aca="false">ROUND(H126*F126/E126,0)</f>
        <v>100</v>
      </c>
      <c r="J126" s="17" t="n">
        <f aca="false">IFERROR(1-H126/I126,"")</f>
        <v>0.5005</v>
      </c>
      <c r="K126" s="15" t="n">
        <f aca="false">H126-E126</f>
        <v>5</v>
      </c>
      <c r="L126" s="19" t="n">
        <f aca="false">IFERROR(H126/E126-1,"")</f>
        <v>0.111234705228031</v>
      </c>
      <c r="M126" s="20" t="n">
        <v>6</v>
      </c>
      <c r="N126" s="14"/>
    </row>
    <row r="127" customFormat="false" ht="15" hidden="false" customHeight="false" outlineLevel="0" collapsed="false">
      <c r="A127" s="10" t="s">
        <v>316</v>
      </c>
      <c r="B127" s="10" t="s">
        <v>317</v>
      </c>
      <c r="C127" s="10" t="s">
        <v>43</v>
      </c>
      <c r="D127" s="10" t="s">
        <v>15</v>
      </c>
      <c r="E127" s="11" t="n">
        <v>44.95</v>
      </c>
      <c r="F127" s="11" t="n">
        <v>90</v>
      </c>
      <c r="G127" s="21" t="n">
        <f aca="false">IFERROR(1-E127/F127,"")</f>
        <v>0.500555555555556</v>
      </c>
      <c r="H127" s="11" t="n">
        <v>49.95</v>
      </c>
      <c r="I127" s="12" t="n">
        <f aca="false">ROUND(H127*F127/E127,0)</f>
        <v>100</v>
      </c>
      <c r="J127" s="21" t="n">
        <f aca="false">IFERROR(1-H127/I127,"")</f>
        <v>0.5005</v>
      </c>
      <c r="K127" s="11" t="n">
        <f aca="false">H127-E127</f>
        <v>5</v>
      </c>
      <c r="L127" s="22" t="n">
        <f aca="false">IFERROR(H127/E127-1,"")</f>
        <v>0.111234705228031</v>
      </c>
      <c r="M127" s="23" t="n">
        <v>5</v>
      </c>
      <c r="N127" s="10"/>
    </row>
    <row r="128" customFormat="false" ht="15" hidden="false" customHeight="false" outlineLevel="0" collapsed="false">
      <c r="A128" s="14" t="s">
        <v>318</v>
      </c>
      <c r="B128" s="14" t="s">
        <v>319</v>
      </c>
      <c r="C128" s="14" t="s">
        <v>43</v>
      </c>
      <c r="D128" s="14" t="s">
        <v>15</v>
      </c>
      <c r="E128" s="15" t="n">
        <v>49.95</v>
      </c>
      <c r="F128" s="15" t="n">
        <v>100</v>
      </c>
      <c r="G128" s="17" t="n">
        <f aca="false">IFERROR(1-E128/F128,"")</f>
        <v>0.5005</v>
      </c>
      <c r="H128" s="15" t="n">
        <v>49.95</v>
      </c>
      <c r="I128" s="18" t="n">
        <f aca="false">ROUND(H128*F128/E128,0)</f>
        <v>100</v>
      </c>
      <c r="J128" s="17" t="n">
        <f aca="false">IFERROR(1-H128/I128,"")</f>
        <v>0.5005</v>
      </c>
      <c r="K128" s="15" t="n">
        <f aca="false">H128-E128</f>
        <v>0</v>
      </c>
      <c r="L128" s="19" t="n">
        <f aca="false">IFERROR(H128/E128-1,"")</f>
        <v>0</v>
      </c>
      <c r="M128" s="20" t="n">
        <v>6</v>
      </c>
      <c r="N128" s="14"/>
    </row>
    <row r="129" customFormat="false" ht="15" hidden="false" customHeight="false" outlineLevel="0" collapsed="false">
      <c r="A129" s="10" t="s">
        <v>320</v>
      </c>
      <c r="B129" s="10" t="s">
        <v>321</v>
      </c>
      <c r="C129" s="10" t="s">
        <v>23</v>
      </c>
      <c r="D129" s="10" t="s">
        <v>16</v>
      </c>
      <c r="E129" s="11" t="n">
        <v>35.95</v>
      </c>
      <c r="F129" s="11" t="n">
        <v>72</v>
      </c>
      <c r="G129" s="21" t="n">
        <f aca="false">IFERROR(1-E129/F129,"")</f>
        <v>0.500694444444444</v>
      </c>
      <c r="H129" s="11" t="n">
        <v>59.95</v>
      </c>
      <c r="I129" s="12" t="n">
        <f aca="false">ROUND(H129*F129/E129,0)</f>
        <v>120</v>
      </c>
      <c r="J129" s="21" t="n">
        <f aca="false">IFERROR(1-H129/I129,"")</f>
        <v>0.500416666666667</v>
      </c>
      <c r="K129" s="11" t="n">
        <f aca="false">H129-E129</f>
        <v>24</v>
      </c>
      <c r="L129" s="22" t="n">
        <f aca="false">IFERROR(H129/E129-1,"")</f>
        <v>0.66759388038943</v>
      </c>
      <c r="M129" s="23" t="n">
        <v>20</v>
      </c>
      <c r="N129" s="10"/>
    </row>
    <row r="130" customFormat="false" ht="15" hidden="false" customHeight="false" outlineLevel="0" collapsed="false">
      <c r="A130" s="14" t="s">
        <v>322</v>
      </c>
      <c r="B130" s="14" t="s">
        <v>323</v>
      </c>
      <c r="C130" s="14" t="s">
        <v>23</v>
      </c>
      <c r="D130" s="14" t="s">
        <v>16</v>
      </c>
      <c r="E130" s="15" t="n">
        <v>37.95</v>
      </c>
      <c r="F130" s="15" t="n">
        <v>76</v>
      </c>
      <c r="G130" s="17" t="n">
        <f aca="false">IFERROR(1-E130/F130,"")</f>
        <v>0.500657894736842</v>
      </c>
      <c r="H130" s="15" t="n">
        <v>59.95</v>
      </c>
      <c r="I130" s="18" t="n">
        <f aca="false">ROUND(H130*F130/E130,0)</f>
        <v>120</v>
      </c>
      <c r="J130" s="17" t="n">
        <f aca="false">IFERROR(1-H130/I130,"")</f>
        <v>0.500416666666667</v>
      </c>
      <c r="K130" s="15" t="n">
        <f aca="false">H130-E130</f>
        <v>22</v>
      </c>
      <c r="L130" s="19" t="n">
        <f aca="false">IFERROR(H130/E130-1,"")</f>
        <v>0.579710144927536</v>
      </c>
      <c r="M130" s="20" t="n">
        <v>32</v>
      </c>
      <c r="N130" s="14"/>
    </row>
    <row r="131" customFormat="false" ht="15" hidden="false" customHeight="false" outlineLevel="0" collapsed="false">
      <c r="A131" s="10" t="s">
        <v>324</v>
      </c>
      <c r="B131" s="10" t="s">
        <v>325</v>
      </c>
      <c r="C131" s="10" t="s">
        <v>23</v>
      </c>
      <c r="D131" s="10" t="s">
        <v>16</v>
      </c>
      <c r="E131" s="11" t="n">
        <v>37.95</v>
      </c>
      <c r="F131" s="11" t="n">
        <v>76</v>
      </c>
      <c r="G131" s="21" t="n">
        <f aca="false">IFERROR(1-E131/F131,"")</f>
        <v>0.500657894736842</v>
      </c>
      <c r="H131" s="11" t="n">
        <v>59.95</v>
      </c>
      <c r="I131" s="12" t="n">
        <f aca="false">ROUND(H131*F131/E131,0)</f>
        <v>120</v>
      </c>
      <c r="J131" s="21" t="n">
        <f aca="false">IFERROR(1-H131/I131,"")</f>
        <v>0.500416666666667</v>
      </c>
      <c r="K131" s="11" t="n">
        <f aca="false">H131-E131</f>
        <v>22</v>
      </c>
      <c r="L131" s="22" t="n">
        <f aca="false">IFERROR(H131/E131-1,"")</f>
        <v>0.579710144927536</v>
      </c>
      <c r="M131" s="23" t="n">
        <v>52</v>
      </c>
      <c r="N131" s="10"/>
    </row>
    <row r="132" customFormat="false" ht="15" hidden="false" customHeight="false" outlineLevel="0" collapsed="false">
      <c r="A132" s="14" t="s">
        <v>326</v>
      </c>
      <c r="B132" s="14" t="s">
        <v>327</v>
      </c>
      <c r="C132" s="14" t="s">
        <v>23</v>
      </c>
      <c r="D132" s="14" t="s">
        <v>16</v>
      </c>
      <c r="E132" s="15" t="n">
        <v>39.95</v>
      </c>
      <c r="F132" s="15" t="n">
        <v>80</v>
      </c>
      <c r="G132" s="17" t="n">
        <f aca="false">IFERROR(1-E132/F132,"")</f>
        <v>0.500625</v>
      </c>
      <c r="H132" s="15" t="n">
        <v>59.95</v>
      </c>
      <c r="I132" s="18" t="n">
        <f aca="false">ROUND(H132*F132/E132,0)</f>
        <v>120</v>
      </c>
      <c r="J132" s="17" t="n">
        <f aca="false">IFERROR(1-H132/I132,"")</f>
        <v>0.500416666666667</v>
      </c>
      <c r="K132" s="15" t="n">
        <f aca="false">H132-E132</f>
        <v>20</v>
      </c>
      <c r="L132" s="19" t="n">
        <f aca="false">IFERROR(H132/E132-1,"")</f>
        <v>0.500625782227785</v>
      </c>
      <c r="M132" s="20" t="n">
        <v>35</v>
      </c>
      <c r="N132" s="14"/>
    </row>
    <row r="133" customFormat="false" ht="15" hidden="false" customHeight="false" outlineLevel="0" collapsed="false">
      <c r="A133" s="10" t="s">
        <v>328</v>
      </c>
      <c r="B133" s="10" t="s">
        <v>329</v>
      </c>
      <c r="C133" s="10" t="s">
        <v>23</v>
      </c>
      <c r="D133" s="10" t="s">
        <v>16</v>
      </c>
      <c r="E133" s="11" t="n">
        <v>41.95</v>
      </c>
      <c r="F133" s="11" t="n">
        <v>84</v>
      </c>
      <c r="G133" s="21" t="n">
        <f aca="false">IFERROR(1-E133/F133,"")</f>
        <v>0.500595238095238</v>
      </c>
      <c r="H133" s="11" t="n">
        <v>59.95</v>
      </c>
      <c r="I133" s="12" t="n">
        <f aca="false">ROUND(H133*F133/E133,0)</f>
        <v>120</v>
      </c>
      <c r="J133" s="21" t="n">
        <f aca="false">IFERROR(1-H133/I133,"")</f>
        <v>0.500416666666667</v>
      </c>
      <c r="K133" s="11" t="n">
        <f aca="false">H133-E133</f>
        <v>18</v>
      </c>
      <c r="L133" s="22" t="n">
        <f aca="false">IFERROR(H133/E133-1,"")</f>
        <v>0.429082240762813</v>
      </c>
      <c r="M133" s="23" t="n">
        <v>20</v>
      </c>
      <c r="N133" s="10"/>
    </row>
    <row r="134" customFormat="false" ht="15" hidden="false" customHeight="false" outlineLevel="0" collapsed="false">
      <c r="A134" s="14" t="s">
        <v>330</v>
      </c>
      <c r="B134" s="14" t="s">
        <v>331</v>
      </c>
      <c r="C134" s="14" t="s">
        <v>23</v>
      </c>
      <c r="D134" s="14" t="s">
        <v>16</v>
      </c>
      <c r="E134" s="15" t="n">
        <v>41.95</v>
      </c>
      <c r="F134" s="15" t="n">
        <v>84</v>
      </c>
      <c r="G134" s="17" t="n">
        <f aca="false">IFERROR(1-E134/F134,"")</f>
        <v>0.500595238095238</v>
      </c>
      <c r="H134" s="15" t="n">
        <v>59.95</v>
      </c>
      <c r="I134" s="18" t="n">
        <f aca="false">ROUND(H134*F134/E134,0)</f>
        <v>120</v>
      </c>
      <c r="J134" s="17" t="n">
        <f aca="false">IFERROR(1-H134/I134,"")</f>
        <v>0.500416666666667</v>
      </c>
      <c r="K134" s="15" t="n">
        <f aca="false">H134-E134</f>
        <v>18</v>
      </c>
      <c r="L134" s="19" t="n">
        <f aca="false">IFERROR(H134/E134-1,"")</f>
        <v>0.429082240762813</v>
      </c>
      <c r="M134" s="20" t="n">
        <v>64</v>
      </c>
      <c r="N134" s="14"/>
    </row>
    <row r="135" customFormat="false" ht="15" hidden="false" customHeight="false" outlineLevel="0" collapsed="false">
      <c r="A135" s="10" t="s">
        <v>332</v>
      </c>
      <c r="B135" s="10" t="s">
        <v>333</v>
      </c>
      <c r="C135" s="10" t="s">
        <v>23</v>
      </c>
      <c r="D135" s="10" t="s">
        <v>16</v>
      </c>
      <c r="E135" s="11" t="n">
        <v>44.95</v>
      </c>
      <c r="F135" s="11" t="n">
        <v>90</v>
      </c>
      <c r="G135" s="21" t="n">
        <f aca="false">IFERROR(1-E135/F135,"")</f>
        <v>0.500555555555556</v>
      </c>
      <c r="H135" s="11" t="n">
        <v>59.95</v>
      </c>
      <c r="I135" s="12" t="n">
        <f aca="false">ROUND(H135*F135/E135,0)</f>
        <v>120</v>
      </c>
      <c r="J135" s="21" t="n">
        <f aca="false">IFERROR(1-H135/I135,"")</f>
        <v>0.500416666666667</v>
      </c>
      <c r="K135" s="11" t="n">
        <f aca="false">H135-E135</f>
        <v>15</v>
      </c>
      <c r="L135" s="22" t="n">
        <f aca="false">IFERROR(H135/E135-1,"")</f>
        <v>0.333704115684093</v>
      </c>
      <c r="M135" s="23" t="n">
        <v>30</v>
      </c>
      <c r="N135" s="10"/>
    </row>
    <row r="136" customFormat="false" ht="15" hidden="false" customHeight="false" outlineLevel="0" collapsed="false">
      <c r="A136" s="14" t="s">
        <v>334</v>
      </c>
      <c r="B136" s="14" t="s">
        <v>335</v>
      </c>
      <c r="C136" s="14" t="s">
        <v>23</v>
      </c>
      <c r="D136" s="14" t="s">
        <v>16</v>
      </c>
      <c r="E136" s="15" t="n">
        <v>44.95</v>
      </c>
      <c r="F136" s="15" t="n">
        <v>90</v>
      </c>
      <c r="G136" s="17" t="n">
        <f aca="false">IFERROR(1-E136/F136,"")</f>
        <v>0.500555555555556</v>
      </c>
      <c r="H136" s="15" t="n">
        <v>59.95</v>
      </c>
      <c r="I136" s="18" t="n">
        <f aca="false">ROUND(H136*F136/E136,0)</f>
        <v>120</v>
      </c>
      <c r="J136" s="17" t="n">
        <f aca="false">IFERROR(1-H136/I136,"")</f>
        <v>0.500416666666667</v>
      </c>
      <c r="K136" s="15" t="n">
        <f aca="false">H136-E136</f>
        <v>15</v>
      </c>
      <c r="L136" s="19" t="n">
        <f aca="false">IFERROR(H136/E136-1,"")</f>
        <v>0.333704115684093</v>
      </c>
      <c r="M136" s="20" t="n">
        <v>16</v>
      </c>
      <c r="N136" s="14"/>
    </row>
    <row r="137" customFormat="false" ht="15" hidden="false" customHeight="false" outlineLevel="0" collapsed="false">
      <c r="A137" s="10" t="s">
        <v>336</v>
      </c>
      <c r="B137" s="10" t="s">
        <v>337</v>
      </c>
      <c r="C137" s="10" t="s">
        <v>23</v>
      </c>
      <c r="D137" s="10" t="s">
        <v>16</v>
      </c>
      <c r="E137" s="11" t="n">
        <v>45.95</v>
      </c>
      <c r="F137" s="11" t="n">
        <v>92</v>
      </c>
      <c r="G137" s="21" t="n">
        <f aca="false">IFERROR(1-E137/F137,"")</f>
        <v>0.50054347826087</v>
      </c>
      <c r="H137" s="11" t="n">
        <v>59.95</v>
      </c>
      <c r="I137" s="12" t="n">
        <f aca="false">ROUND(H137*F137/E137,0)</f>
        <v>120</v>
      </c>
      <c r="J137" s="21" t="n">
        <f aca="false">IFERROR(1-H137/I137,"")</f>
        <v>0.500416666666667</v>
      </c>
      <c r="K137" s="11" t="n">
        <f aca="false">H137-E137</f>
        <v>14</v>
      </c>
      <c r="L137" s="22" t="n">
        <f aca="false">IFERROR(H137/E137-1,"")</f>
        <v>0.304678998911861</v>
      </c>
      <c r="M137" s="23" t="n">
        <v>15</v>
      </c>
      <c r="N137" s="10"/>
    </row>
    <row r="138" customFormat="false" ht="15" hidden="false" customHeight="false" outlineLevel="0" collapsed="false">
      <c r="A138" s="14" t="s">
        <v>338</v>
      </c>
      <c r="B138" s="14" t="s">
        <v>339</v>
      </c>
      <c r="C138" s="14" t="s">
        <v>25</v>
      </c>
      <c r="D138" s="14" t="s">
        <v>16</v>
      </c>
      <c r="E138" s="15" t="n">
        <v>34.95</v>
      </c>
      <c r="F138" s="15" t="n">
        <v>70</v>
      </c>
      <c r="G138" s="17" t="n">
        <f aca="false">IFERROR(1-E138/F138,"")</f>
        <v>0.500714285714286</v>
      </c>
      <c r="H138" s="15" t="n">
        <v>59.95</v>
      </c>
      <c r="I138" s="18" t="n">
        <f aca="false">ROUND(H138*F138/E138,0)</f>
        <v>120</v>
      </c>
      <c r="J138" s="17" t="n">
        <f aca="false">IFERROR(1-H138/I138,"")</f>
        <v>0.500416666666667</v>
      </c>
      <c r="K138" s="15" t="n">
        <f aca="false">H138-E138</f>
        <v>25</v>
      </c>
      <c r="L138" s="19" t="n">
        <f aca="false">IFERROR(H138/E138-1,"")</f>
        <v>0.715307582260372</v>
      </c>
      <c r="M138" s="20" t="n">
        <v>39</v>
      </c>
      <c r="N138" s="14"/>
    </row>
    <row r="139" customFormat="false" ht="15" hidden="false" customHeight="false" outlineLevel="0" collapsed="false">
      <c r="A139" s="10" t="s">
        <v>340</v>
      </c>
      <c r="B139" s="10" t="s">
        <v>341</v>
      </c>
      <c r="C139" s="10" t="s">
        <v>25</v>
      </c>
      <c r="D139" s="10" t="s">
        <v>16</v>
      </c>
      <c r="E139" s="11" t="n">
        <v>34.95</v>
      </c>
      <c r="F139" s="11" t="n">
        <v>70</v>
      </c>
      <c r="G139" s="21" t="n">
        <f aca="false">IFERROR(1-E139/F139,"")</f>
        <v>0.500714285714286</v>
      </c>
      <c r="H139" s="11" t="n">
        <v>59.95</v>
      </c>
      <c r="I139" s="12" t="n">
        <f aca="false">ROUND(H139*F139/E139,0)</f>
        <v>120</v>
      </c>
      <c r="J139" s="21" t="n">
        <f aca="false">IFERROR(1-H139/I139,"")</f>
        <v>0.500416666666667</v>
      </c>
      <c r="K139" s="11" t="n">
        <f aca="false">H139-E139</f>
        <v>25</v>
      </c>
      <c r="L139" s="22" t="n">
        <f aca="false">IFERROR(H139/E139-1,"")</f>
        <v>0.715307582260372</v>
      </c>
      <c r="M139" s="23" t="n">
        <v>5</v>
      </c>
      <c r="N139" s="10"/>
    </row>
    <row r="140" customFormat="false" ht="15" hidden="false" customHeight="false" outlineLevel="0" collapsed="false">
      <c r="A140" s="14" t="s">
        <v>342</v>
      </c>
      <c r="B140" s="14" t="s">
        <v>343</v>
      </c>
      <c r="C140" s="14" t="s">
        <v>25</v>
      </c>
      <c r="D140" s="14" t="s">
        <v>16</v>
      </c>
      <c r="E140" s="15" t="n">
        <v>34.95</v>
      </c>
      <c r="F140" s="15" t="n">
        <v>70</v>
      </c>
      <c r="G140" s="17" t="n">
        <f aca="false">IFERROR(1-E140/F140,"")</f>
        <v>0.500714285714286</v>
      </c>
      <c r="H140" s="15" t="n">
        <v>59.95</v>
      </c>
      <c r="I140" s="18" t="n">
        <f aca="false">ROUND(H140*F140/E140,0)</f>
        <v>120</v>
      </c>
      <c r="J140" s="17" t="n">
        <f aca="false">IFERROR(1-H140/I140,"")</f>
        <v>0.500416666666667</v>
      </c>
      <c r="K140" s="15" t="n">
        <f aca="false">H140-E140</f>
        <v>25</v>
      </c>
      <c r="L140" s="19" t="n">
        <f aca="false">IFERROR(H140/E140-1,"")</f>
        <v>0.715307582260372</v>
      </c>
      <c r="M140" s="20" t="n">
        <v>5</v>
      </c>
      <c r="N140" s="14"/>
    </row>
    <row r="141" customFormat="false" ht="15" hidden="false" customHeight="false" outlineLevel="0" collapsed="false">
      <c r="A141" s="10" t="s">
        <v>344</v>
      </c>
      <c r="B141" s="10" t="s">
        <v>345</v>
      </c>
      <c r="C141" s="10" t="s">
        <v>25</v>
      </c>
      <c r="D141" s="10" t="s">
        <v>16</v>
      </c>
      <c r="E141" s="11" t="n">
        <v>37.95</v>
      </c>
      <c r="F141" s="11" t="n">
        <v>76</v>
      </c>
      <c r="G141" s="21" t="n">
        <f aca="false">IFERROR(1-E141/F141,"")</f>
        <v>0.500657894736842</v>
      </c>
      <c r="H141" s="11" t="n">
        <v>59.95</v>
      </c>
      <c r="I141" s="12" t="n">
        <f aca="false">ROUND(H141*F141/E141,0)</f>
        <v>120</v>
      </c>
      <c r="J141" s="21" t="n">
        <f aca="false">IFERROR(1-H141/I141,"")</f>
        <v>0.500416666666667</v>
      </c>
      <c r="K141" s="11" t="n">
        <f aca="false">H141-E141</f>
        <v>22</v>
      </c>
      <c r="L141" s="22" t="n">
        <f aca="false">IFERROR(H141/E141-1,"")</f>
        <v>0.579710144927536</v>
      </c>
      <c r="M141" s="23" t="n">
        <v>10</v>
      </c>
      <c r="N141" s="10"/>
    </row>
    <row r="142" customFormat="false" ht="15" hidden="false" customHeight="false" outlineLevel="0" collapsed="false">
      <c r="A142" s="14" t="s">
        <v>346</v>
      </c>
      <c r="B142" s="14" t="s">
        <v>347</v>
      </c>
      <c r="C142" s="14" t="s">
        <v>25</v>
      </c>
      <c r="D142" s="14" t="s">
        <v>16</v>
      </c>
      <c r="E142" s="15" t="n">
        <v>39.95</v>
      </c>
      <c r="F142" s="15" t="n">
        <v>80</v>
      </c>
      <c r="G142" s="17" t="n">
        <f aca="false">IFERROR(1-E142/F142,"")</f>
        <v>0.500625</v>
      </c>
      <c r="H142" s="15" t="n">
        <v>59.95</v>
      </c>
      <c r="I142" s="18" t="n">
        <f aca="false">ROUND(H142*F142/E142,0)</f>
        <v>120</v>
      </c>
      <c r="J142" s="17" t="n">
        <f aca="false">IFERROR(1-H142/I142,"")</f>
        <v>0.500416666666667</v>
      </c>
      <c r="K142" s="15" t="n">
        <f aca="false">H142-E142</f>
        <v>20</v>
      </c>
      <c r="L142" s="19" t="n">
        <f aca="false">IFERROR(H142/E142-1,"")</f>
        <v>0.500625782227785</v>
      </c>
      <c r="M142" s="20" t="n">
        <v>3</v>
      </c>
      <c r="N142" s="14"/>
    </row>
    <row r="143" customFormat="false" ht="15" hidden="false" customHeight="false" outlineLevel="0" collapsed="false">
      <c r="A143" s="10" t="s">
        <v>348</v>
      </c>
      <c r="B143" s="10" t="s">
        <v>349</v>
      </c>
      <c r="C143" s="10" t="s">
        <v>25</v>
      </c>
      <c r="D143" s="10" t="s">
        <v>16</v>
      </c>
      <c r="E143" s="11" t="n">
        <v>39.95</v>
      </c>
      <c r="F143" s="11" t="n">
        <v>80</v>
      </c>
      <c r="G143" s="21" t="n">
        <f aca="false">IFERROR(1-E143/F143,"")</f>
        <v>0.500625</v>
      </c>
      <c r="H143" s="11" t="n">
        <v>59.95</v>
      </c>
      <c r="I143" s="12" t="n">
        <f aca="false">ROUND(H143*F143/E143,0)</f>
        <v>120</v>
      </c>
      <c r="J143" s="21" t="n">
        <f aca="false">IFERROR(1-H143/I143,"")</f>
        <v>0.500416666666667</v>
      </c>
      <c r="K143" s="11" t="n">
        <f aca="false">H143-E143</f>
        <v>20</v>
      </c>
      <c r="L143" s="22" t="n">
        <f aca="false">IFERROR(H143/E143-1,"")</f>
        <v>0.500625782227785</v>
      </c>
      <c r="M143" s="23" t="n">
        <v>18</v>
      </c>
      <c r="N143" s="10"/>
    </row>
    <row r="144" customFormat="false" ht="15" hidden="false" customHeight="false" outlineLevel="0" collapsed="false">
      <c r="A144" s="14" t="s">
        <v>350</v>
      </c>
      <c r="B144" s="14" t="s">
        <v>351</v>
      </c>
      <c r="C144" s="14" t="s">
        <v>25</v>
      </c>
      <c r="D144" s="14" t="s">
        <v>16</v>
      </c>
      <c r="E144" s="15" t="n">
        <v>39.95</v>
      </c>
      <c r="F144" s="15" t="n">
        <v>80</v>
      </c>
      <c r="G144" s="17" t="n">
        <f aca="false">IFERROR(1-E144/F144,"")</f>
        <v>0.500625</v>
      </c>
      <c r="H144" s="15" t="n">
        <v>59.95</v>
      </c>
      <c r="I144" s="18" t="n">
        <f aca="false">ROUND(H144*F144/E144,0)</f>
        <v>120</v>
      </c>
      <c r="J144" s="17" t="n">
        <f aca="false">IFERROR(1-H144/I144,"")</f>
        <v>0.500416666666667</v>
      </c>
      <c r="K144" s="15" t="n">
        <f aca="false">H144-E144</f>
        <v>20</v>
      </c>
      <c r="L144" s="19" t="n">
        <f aca="false">IFERROR(H144/E144-1,"")</f>
        <v>0.500625782227785</v>
      </c>
      <c r="M144" s="20" t="n">
        <v>50</v>
      </c>
      <c r="N144" s="14"/>
    </row>
    <row r="145" customFormat="false" ht="15" hidden="false" customHeight="false" outlineLevel="0" collapsed="false">
      <c r="A145" s="10" t="s">
        <v>352</v>
      </c>
      <c r="B145" s="10" t="s">
        <v>353</v>
      </c>
      <c r="C145" s="10" t="s">
        <v>25</v>
      </c>
      <c r="D145" s="10" t="s">
        <v>16</v>
      </c>
      <c r="E145" s="11" t="n">
        <v>39.95</v>
      </c>
      <c r="F145" s="11" t="n">
        <v>80</v>
      </c>
      <c r="G145" s="21" t="n">
        <f aca="false">IFERROR(1-E145/F145,"")</f>
        <v>0.500625</v>
      </c>
      <c r="H145" s="11" t="n">
        <v>59.95</v>
      </c>
      <c r="I145" s="12" t="n">
        <f aca="false">ROUND(H145*F145/E145,0)</f>
        <v>120</v>
      </c>
      <c r="J145" s="21" t="n">
        <f aca="false">IFERROR(1-H145/I145,"")</f>
        <v>0.500416666666667</v>
      </c>
      <c r="K145" s="11" t="n">
        <f aca="false">H145-E145</f>
        <v>20</v>
      </c>
      <c r="L145" s="22" t="n">
        <f aca="false">IFERROR(H145/E145-1,"")</f>
        <v>0.500625782227785</v>
      </c>
      <c r="M145" s="23" t="n">
        <v>4</v>
      </c>
      <c r="N145" s="10"/>
    </row>
    <row r="146" customFormat="false" ht="15" hidden="false" customHeight="false" outlineLevel="0" collapsed="false">
      <c r="A146" s="14" t="s">
        <v>354</v>
      </c>
      <c r="B146" s="14" t="s">
        <v>355</v>
      </c>
      <c r="C146" s="14" t="s">
        <v>25</v>
      </c>
      <c r="D146" s="14" t="s">
        <v>16</v>
      </c>
      <c r="E146" s="15" t="n">
        <v>39.95</v>
      </c>
      <c r="F146" s="15" t="n">
        <v>80</v>
      </c>
      <c r="G146" s="17" t="n">
        <f aca="false">IFERROR(1-E146/F146,"")</f>
        <v>0.500625</v>
      </c>
      <c r="H146" s="15" t="n">
        <v>59.95</v>
      </c>
      <c r="I146" s="18" t="n">
        <f aca="false">ROUND(H146*F146/E146,0)</f>
        <v>120</v>
      </c>
      <c r="J146" s="17" t="n">
        <f aca="false">IFERROR(1-H146/I146,"")</f>
        <v>0.500416666666667</v>
      </c>
      <c r="K146" s="15" t="n">
        <f aca="false">H146-E146</f>
        <v>20</v>
      </c>
      <c r="L146" s="19" t="n">
        <f aca="false">IFERROR(H146/E146-1,"")</f>
        <v>0.500625782227785</v>
      </c>
      <c r="M146" s="20" t="n">
        <v>5</v>
      </c>
      <c r="N146" s="14"/>
    </row>
    <row r="147" customFormat="false" ht="15" hidden="false" customHeight="false" outlineLevel="0" collapsed="false">
      <c r="A147" s="10" t="s">
        <v>356</v>
      </c>
      <c r="B147" s="10" t="s">
        <v>357</v>
      </c>
      <c r="C147" s="10" t="s">
        <v>25</v>
      </c>
      <c r="D147" s="10" t="s">
        <v>16</v>
      </c>
      <c r="E147" s="11" t="n">
        <v>39.95</v>
      </c>
      <c r="F147" s="11" t="n">
        <v>80</v>
      </c>
      <c r="G147" s="21" t="n">
        <f aca="false">IFERROR(1-E147/F147,"")</f>
        <v>0.500625</v>
      </c>
      <c r="H147" s="11" t="n">
        <v>59.95</v>
      </c>
      <c r="I147" s="12" t="n">
        <f aca="false">ROUND(H147*F147/E147,0)</f>
        <v>120</v>
      </c>
      <c r="J147" s="21" t="n">
        <f aca="false">IFERROR(1-H147/I147,"")</f>
        <v>0.500416666666667</v>
      </c>
      <c r="K147" s="11" t="n">
        <f aca="false">H147-E147</f>
        <v>20</v>
      </c>
      <c r="L147" s="22" t="n">
        <f aca="false">IFERROR(H147/E147-1,"")</f>
        <v>0.500625782227785</v>
      </c>
      <c r="M147" s="23" t="n">
        <v>6</v>
      </c>
      <c r="N147" s="10"/>
    </row>
    <row r="148" customFormat="false" ht="15" hidden="false" customHeight="false" outlineLevel="0" collapsed="false">
      <c r="A148" s="14" t="s">
        <v>358</v>
      </c>
      <c r="B148" s="14" t="s">
        <v>359</v>
      </c>
      <c r="C148" s="14" t="s">
        <v>25</v>
      </c>
      <c r="D148" s="14" t="s">
        <v>16</v>
      </c>
      <c r="E148" s="15" t="n">
        <v>41.95</v>
      </c>
      <c r="F148" s="15" t="n">
        <v>84</v>
      </c>
      <c r="G148" s="17" t="n">
        <f aca="false">IFERROR(1-E148/F148,"")</f>
        <v>0.500595238095238</v>
      </c>
      <c r="H148" s="15" t="n">
        <v>59.95</v>
      </c>
      <c r="I148" s="18" t="n">
        <f aca="false">ROUND(H148*F148/E148,0)</f>
        <v>120</v>
      </c>
      <c r="J148" s="17" t="n">
        <f aca="false">IFERROR(1-H148/I148,"")</f>
        <v>0.500416666666667</v>
      </c>
      <c r="K148" s="15" t="n">
        <f aca="false">H148-E148</f>
        <v>18</v>
      </c>
      <c r="L148" s="19" t="n">
        <f aca="false">IFERROR(H148/E148-1,"")</f>
        <v>0.429082240762813</v>
      </c>
      <c r="M148" s="20" t="n">
        <v>10</v>
      </c>
      <c r="N148" s="14"/>
    </row>
    <row r="149" customFormat="false" ht="15" hidden="false" customHeight="false" outlineLevel="0" collapsed="false">
      <c r="A149" s="10" t="s">
        <v>360</v>
      </c>
      <c r="B149" s="10" t="s">
        <v>361</v>
      </c>
      <c r="C149" s="10" t="s">
        <v>25</v>
      </c>
      <c r="D149" s="10" t="s">
        <v>16</v>
      </c>
      <c r="E149" s="11" t="n">
        <v>42.95</v>
      </c>
      <c r="F149" s="11" t="n">
        <v>86</v>
      </c>
      <c r="G149" s="21" t="n">
        <f aca="false">IFERROR(1-E149/F149,"")</f>
        <v>0.500581395348837</v>
      </c>
      <c r="H149" s="11" t="n">
        <v>59.95</v>
      </c>
      <c r="I149" s="12" t="n">
        <f aca="false">ROUND(H149*F149/E149,0)</f>
        <v>120</v>
      </c>
      <c r="J149" s="21" t="n">
        <f aca="false">IFERROR(1-H149/I149,"")</f>
        <v>0.500416666666667</v>
      </c>
      <c r="K149" s="11" t="n">
        <f aca="false">H149-E149</f>
        <v>17</v>
      </c>
      <c r="L149" s="22" t="n">
        <f aca="false">IFERROR(H149/E149-1,"")</f>
        <v>0.39580908032596</v>
      </c>
      <c r="M149" s="23" t="n">
        <v>5</v>
      </c>
      <c r="N149" s="10"/>
    </row>
    <row r="150" customFormat="false" ht="15" hidden="false" customHeight="false" outlineLevel="0" collapsed="false">
      <c r="A150" s="14" t="s">
        <v>362</v>
      </c>
      <c r="B150" s="14" t="s">
        <v>363</v>
      </c>
      <c r="C150" s="14" t="s">
        <v>25</v>
      </c>
      <c r="D150" s="14" t="s">
        <v>16</v>
      </c>
      <c r="E150" s="15" t="n">
        <v>43.95</v>
      </c>
      <c r="F150" s="15" t="n">
        <v>88</v>
      </c>
      <c r="G150" s="17" t="n">
        <f aca="false">IFERROR(1-E150/F150,"")</f>
        <v>0.500568181818182</v>
      </c>
      <c r="H150" s="15" t="n">
        <v>59.95</v>
      </c>
      <c r="I150" s="18" t="n">
        <f aca="false">ROUND(H150*F150/E150,0)</f>
        <v>120</v>
      </c>
      <c r="J150" s="17" t="n">
        <f aca="false">IFERROR(1-H150/I150,"")</f>
        <v>0.500416666666667</v>
      </c>
      <c r="K150" s="15" t="n">
        <f aca="false">H150-E150</f>
        <v>16</v>
      </c>
      <c r="L150" s="19" t="n">
        <f aca="false">IFERROR(H150/E150-1,"")</f>
        <v>0.364050056882821</v>
      </c>
      <c r="M150" s="20" t="n">
        <v>30</v>
      </c>
      <c r="N150" s="14"/>
    </row>
    <row r="151" customFormat="false" ht="15" hidden="false" customHeight="false" outlineLevel="0" collapsed="false">
      <c r="A151" s="10" t="s">
        <v>364</v>
      </c>
      <c r="B151" s="10" t="s">
        <v>365</v>
      </c>
      <c r="C151" s="10" t="s">
        <v>25</v>
      </c>
      <c r="D151" s="10" t="s">
        <v>16</v>
      </c>
      <c r="E151" s="11" t="n">
        <v>44.95</v>
      </c>
      <c r="F151" s="11" t="n">
        <v>90</v>
      </c>
      <c r="G151" s="21" t="n">
        <f aca="false">IFERROR(1-E151/F151,"")</f>
        <v>0.500555555555556</v>
      </c>
      <c r="H151" s="11" t="n">
        <v>59.95</v>
      </c>
      <c r="I151" s="12" t="n">
        <f aca="false">ROUND(H151*F151/E151,0)</f>
        <v>120</v>
      </c>
      <c r="J151" s="21" t="n">
        <f aca="false">IFERROR(1-H151/I151,"")</f>
        <v>0.500416666666667</v>
      </c>
      <c r="K151" s="11" t="n">
        <f aca="false">H151-E151</f>
        <v>15</v>
      </c>
      <c r="L151" s="22" t="n">
        <f aca="false">IFERROR(H151/E151-1,"")</f>
        <v>0.333704115684093</v>
      </c>
      <c r="M151" s="23" t="n">
        <v>5</v>
      </c>
      <c r="N151" s="10"/>
    </row>
    <row r="152" customFormat="false" ht="15" hidden="false" customHeight="false" outlineLevel="0" collapsed="false">
      <c r="A152" s="14" t="s">
        <v>366</v>
      </c>
      <c r="B152" s="14" t="s">
        <v>367</v>
      </c>
      <c r="C152" s="14" t="s">
        <v>25</v>
      </c>
      <c r="D152" s="14" t="s">
        <v>16</v>
      </c>
      <c r="E152" s="15" t="n">
        <v>44.95</v>
      </c>
      <c r="F152" s="15" t="n">
        <v>90</v>
      </c>
      <c r="G152" s="17" t="n">
        <f aca="false">IFERROR(1-E152/F152,"")</f>
        <v>0.500555555555556</v>
      </c>
      <c r="H152" s="15" t="n">
        <v>59.95</v>
      </c>
      <c r="I152" s="18" t="n">
        <f aca="false">ROUND(H152*F152/E152,0)</f>
        <v>120</v>
      </c>
      <c r="J152" s="17" t="n">
        <f aca="false">IFERROR(1-H152/I152,"")</f>
        <v>0.500416666666667</v>
      </c>
      <c r="K152" s="15" t="n">
        <f aca="false">H152-E152</f>
        <v>15</v>
      </c>
      <c r="L152" s="19" t="n">
        <f aca="false">IFERROR(H152/E152-1,"")</f>
        <v>0.333704115684093</v>
      </c>
      <c r="M152" s="20" t="n">
        <v>4</v>
      </c>
      <c r="N152" s="14"/>
    </row>
    <row r="153" customFormat="false" ht="15" hidden="false" customHeight="false" outlineLevel="0" collapsed="false">
      <c r="A153" s="10" t="s">
        <v>368</v>
      </c>
      <c r="B153" s="10" t="s">
        <v>369</v>
      </c>
      <c r="C153" s="10" t="s">
        <v>25</v>
      </c>
      <c r="D153" s="10" t="s">
        <v>16</v>
      </c>
      <c r="E153" s="11" t="n">
        <v>44.95</v>
      </c>
      <c r="F153" s="11" t="n">
        <v>90</v>
      </c>
      <c r="G153" s="21" t="n">
        <f aca="false">IFERROR(1-E153/F153,"")</f>
        <v>0.500555555555556</v>
      </c>
      <c r="H153" s="11" t="n">
        <v>59.95</v>
      </c>
      <c r="I153" s="12" t="n">
        <f aca="false">ROUND(H153*F153/E153,0)</f>
        <v>120</v>
      </c>
      <c r="J153" s="21" t="n">
        <f aca="false">IFERROR(1-H153/I153,"")</f>
        <v>0.500416666666667</v>
      </c>
      <c r="K153" s="11" t="n">
        <f aca="false">H153-E153</f>
        <v>15</v>
      </c>
      <c r="L153" s="22" t="n">
        <f aca="false">IFERROR(H153/E153-1,"")</f>
        <v>0.333704115684093</v>
      </c>
      <c r="M153" s="23" t="n">
        <v>88</v>
      </c>
      <c r="N153" s="10"/>
    </row>
    <row r="154" customFormat="false" ht="15" hidden="false" customHeight="false" outlineLevel="0" collapsed="false">
      <c r="A154" s="14" t="s">
        <v>370</v>
      </c>
      <c r="B154" s="14" t="s">
        <v>371</v>
      </c>
      <c r="C154" s="14" t="s">
        <v>25</v>
      </c>
      <c r="D154" s="14" t="s">
        <v>16</v>
      </c>
      <c r="E154" s="15" t="n">
        <v>44.95</v>
      </c>
      <c r="F154" s="15" t="n">
        <v>90</v>
      </c>
      <c r="G154" s="17" t="n">
        <f aca="false">IFERROR(1-E154/F154,"")</f>
        <v>0.500555555555556</v>
      </c>
      <c r="H154" s="15" t="n">
        <v>59.95</v>
      </c>
      <c r="I154" s="18" t="n">
        <f aca="false">ROUND(H154*F154/E154,0)</f>
        <v>120</v>
      </c>
      <c r="J154" s="17" t="n">
        <f aca="false">IFERROR(1-H154/I154,"")</f>
        <v>0.500416666666667</v>
      </c>
      <c r="K154" s="15" t="n">
        <f aca="false">H154-E154</f>
        <v>15</v>
      </c>
      <c r="L154" s="19" t="n">
        <f aca="false">IFERROR(H154/E154-1,"")</f>
        <v>0.333704115684093</v>
      </c>
      <c r="M154" s="20" t="n">
        <v>20</v>
      </c>
      <c r="N154" s="14"/>
    </row>
    <row r="155" customFormat="false" ht="15" hidden="false" customHeight="false" outlineLevel="0" collapsed="false">
      <c r="A155" s="10" t="s">
        <v>372</v>
      </c>
      <c r="B155" s="10" t="s">
        <v>373</v>
      </c>
      <c r="C155" s="10" t="s">
        <v>25</v>
      </c>
      <c r="D155" s="10" t="s">
        <v>16</v>
      </c>
      <c r="E155" s="11" t="n">
        <v>44.95</v>
      </c>
      <c r="F155" s="11" t="n">
        <v>90</v>
      </c>
      <c r="G155" s="21" t="n">
        <f aca="false">IFERROR(1-E155/F155,"")</f>
        <v>0.500555555555556</v>
      </c>
      <c r="H155" s="11" t="n">
        <v>59.95</v>
      </c>
      <c r="I155" s="12" t="n">
        <f aca="false">ROUND(H155*F155/E155,0)</f>
        <v>120</v>
      </c>
      <c r="J155" s="21" t="n">
        <f aca="false">IFERROR(1-H155/I155,"")</f>
        <v>0.500416666666667</v>
      </c>
      <c r="K155" s="11" t="n">
        <f aca="false">H155-E155</f>
        <v>15</v>
      </c>
      <c r="L155" s="22" t="n">
        <f aca="false">IFERROR(H155/E155-1,"")</f>
        <v>0.333704115684093</v>
      </c>
      <c r="M155" s="23" t="n">
        <v>30</v>
      </c>
      <c r="N155" s="10"/>
    </row>
    <row r="156" customFormat="false" ht="15" hidden="false" customHeight="false" outlineLevel="0" collapsed="false">
      <c r="A156" s="14" t="s">
        <v>374</v>
      </c>
      <c r="B156" s="14" t="s">
        <v>375</v>
      </c>
      <c r="C156" s="14" t="s">
        <v>25</v>
      </c>
      <c r="D156" s="14" t="s">
        <v>16</v>
      </c>
      <c r="E156" s="15" t="n">
        <v>44.95</v>
      </c>
      <c r="F156" s="15" t="n">
        <v>90</v>
      </c>
      <c r="G156" s="17" t="n">
        <f aca="false">IFERROR(1-E156/F156,"")</f>
        <v>0.500555555555556</v>
      </c>
      <c r="H156" s="15" t="n">
        <v>59.95</v>
      </c>
      <c r="I156" s="18" t="n">
        <f aca="false">ROUND(H156*F156/E156,0)</f>
        <v>120</v>
      </c>
      <c r="J156" s="17" t="n">
        <f aca="false">IFERROR(1-H156/I156,"")</f>
        <v>0.500416666666667</v>
      </c>
      <c r="K156" s="15" t="n">
        <f aca="false">H156-E156</f>
        <v>15</v>
      </c>
      <c r="L156" s="19" t="n">
        <f aca="false">IFERROR(H156/E156-1,"")</f>
        <v>0.333704115684093</v>
      </c>
      <c r="M156" s="20" t="n">
        <v>5</v>
      </c>
      <c r="N156" s="14"/>
    </row>
    <row r="157" customFormat="false" ht="15" hidden="false" customHeight="false" outlineLevel="0" collapsed="false">
      <c r="A157" s="10" t="s">
        <v>376</v>
      </c>
      <c r="B157" s="10" t="s">
        <v>377</v>
      </c>
      <c r="C157" s="10" t="s">
        <v>25</v>
      </c>
      <c r="D157" s="10" t="s">
        <v>16</v>
      </c>
      <c r="E157" s="11" t="n">
        <v>44.95</v>
      </c>
      <c r="F157" s="11" t="n">
        <v>90</v>
      </c>
      <c r="G157" s="21" t="n">
        <f aca="false">IFERROR(1-E157/F157,"")</f>
        <v>0.500555555555556</v>
      </c>
      <c r="H157" s="11" t="n">
        <v>59.95</v>
      </c>
      <c r="I157" s="12" t="n">
        <f aca="false">ROUND(H157*F157/E157,0)</f>
        <v>120</v>
      </c>
      <c r="J157" s="21" t="n">
        <f aca="false">IFERROR(1-H157/I157,"")</f>
        <v>0.500416666666667</v>
      </c>
      <c r="K157" s="11" t="n">
        <f aca="false">H157-E157</f>
        <v>15</v>
      </c>
      <c r="L157" s="22" t="n">
        <f aca="false">IFERROR(H157/E157-1,"")</f>
        <v>0.333704115684093</v>
      </c>
      <c r="M157" s="23" t="n">
        <v>4</v>
      </c>
      <c r="N157" s="10"/>
    </row>
    <row r="158" customFormat="false" ht="15" hidden="false" customHeight="false" outlineLevel="0" collapsed="false">
      <c r="A158" s="14" t="s">
        <v>378</v>
      </c>
      <c r="B158" s="14" t="s">
        <v>379</v>
      </c>
      <c r="C158" s="14" t="s">
        <v>25</v>
      </c>
      <c r="D158" s="14" t="s">
        <v>16</v>
      </c>
      <c r="E158" s="15" t="n">
        <v>44.95</v>
      </c>
      <c r="F158" s="15" t="n">
        <v>90</v>
      </c>
      <c r="G158" s="17" t="n">
        <f aca="false">IFERROR(1-E158/F158,"")</f>
        <v>0.500555555555556</v>
      </c>
      <c r="H158" s="15" t="n">
        <v>59.95</v>
      </c>
      <c r="I158" s="18" t="n">
        <f aca="false">ROUND(H158*F158/E158,0)</f>
        <v>120</v>
      </c>
      <c r="J158" s="17" t="n">
        <f aca="false">IFERROR(1-H158/I158,"")</f>
        <v>0.500416666666667</v>
      </c>
      <c r="K158" s="15" t="n">
        <f aca="false">H158-E158</f>
        <v>15</v>
      </c>
      <c r="L158" s="19" t="n">
        <f aca="false">IFERROR(H158/E158-1,"")</f>
        <v>0.333704115684093</v>
      </c>
      <c r="M158" s="20" t="n">
        <v>12</v>
      </c>
      <c r="N158" s="14"/>
    </row>
    <row r="159" customFormat="false" ht="15" hidden="false" customHeight="false" outlineLevel="0" collapsed="false">
      <c r="A159" s="10" t="s">
        <v>380</v>
      </c>
      <c r="B159" s="10" t="s">
        <v>381</v>
      </c>
      <c r="C159" s="10" t="s">
        <v>25</v>
      </c>
      <c r="D159" s="10" t="s">
        <v>16</v>
      </c>
      <c r="E159" s="11" t="n">
        <v>44.95</v>
      </c>
      <c r="F159" s="11" t="n">
        <v>90</v>
      </c>
      <c r="G159" s="21" t="n">
        <f aca="false">IFERROR(1-E159/F159,"")</f>
        <v>0.500555555555556</v>
      </c>
      <c r="H159" s="11" t="n">
        <v>59.95</v>
      </c>
      <c r="I159" s="12" t="n">
        <f aca="false">ROUND(H159*F159/E159,0)</f>
        <v>120</v>
      </c>
      <c r="J159" s="21" t="n">
        <f aca="false">IFERROR(1-H159/I159,"")</f>
        <v>0.500416666666667</v>
      </c>
      <c r="K159" s="11" t="n">
        <f aca="false">H159-E159</f>
        <v>15</v>
      </c>
      <c r="L159" s="22" t="n">
        <f aca="false">IFERROR(H159/E159-1,"")</f>
        <v>0.333704115684093</v>
      </c>
      <c r="M159" s="23" t="n">
        <v>30</v>
      </c>
      <c r="N159" s="10"/>
    </row>
    <row r="160" customFormat="false" ht="15" hidden="false" customHeight="false" outlineLevel="0" collapsed="false">
      <c r="A160" s="14" t="s">
        <v>382</v>
      </c>
      <c r="B160" s="14" t="s">
        <v>383</v>
      </c>
      <c r="C160" s="14" t="s">
        <v>25</v>
      </c>
      <c r="D160" s="14" t="s">
        <v>16</v>
      </c>
      <c r="E160" s="15" t="n">
        <v>44.95</v>
      </c>
      <c r="F160" s="15" t="n">
        <v>90</v>
      </c>
      <c r="G160" s="17" t="n">
        <f aca="false">IFERROR(1-E160/F160,"")</f>
        <v>0.500555555555556</v>
      </c>
      <c r="H160" s="15" t="n">
        <v>59.95</v>
      </c>
      <c r="I160" s="18" t="n">
        <f aca="false">ROUND(H160*F160/E160,0)</f>
        <v>120</v>
      </c>
      <c r="J160" s="17" t="n">
        <f aca="false">IFERROR(1-H160/I160,"")</f>
        <v>0.500416666666667</v>
      </c>
      <c r="K160" s="15" t="n">
        <f aca="false">H160-E160</f>
        <v>15</v>
      </c>
      <c r="L160" s="19" t="n">
        <f aca="false">IFERROR(H160/E160-1,"")</f>
        <v>0.333704115684093</v>
      </c>
      <c r="M160" s="20" t="n">
        <v>55</v>
      </c>
      <c r="N160" s="14"/>
    </row>
    <row r="161" customFormat="false" ht="15" hidden="false" customHeight="false" outlineLevel="0" collapsed="false">
      <c r="A161" s="10" t="s">
        <v>384</v>
      </c>
      <c r="B161" s="10" t="s">
        <v>385</v>
      </c>
      <c r="C161" s="10" t="s">
        <v>25</v>
      </c>
      <c r="D161" s="10" t="s">
        <v>16</v>
      </c>
      <c r="E161" s="11" t="n">
        <v>44.95</v>
      </c>
      <c r="F161" s="11" t="n">
        <v>90</v>
      </c>
      <c r="G161" s="21" t="n">
        <f aca="false">IFERROR(1-E161/F161,"")</f>
        <v>0.500555555555556</v>
      </c>
      <c r="H161" s="11" t="n">
        <v>59.95</v>
      </c>
      <c r="I161" s="12" t="n">
        <f aca="false">ROUND(H161*F161/E161,0)</f>
        <v>120</v>
      </c>
      <c r="J161" s="21" t="n">
        <f aca="false">IFERROR(1-H161/I161,"")</f>
        <v>0.500416666666667</v>
      </c>
      <c r="K161" s="11" t="n">
        <f aca="false">H161-E161</f>
        <v>15</v>
      </c>
      <c r="L161" s="22" t="n">
        <f aca="false">IFERROR(H161/E161-1,"")</f>
        <v>0.333704115684093</v>
      </c>
      <c r="M161" s="23" t="n">
        <v>30</v>
      </c>
      <c r="N161" s="10"/>
    </row>
    <row r="162" customFormat="false" ht="15" hidden="false" customHeight="false" outlineLevel="0" collapsed="false">
      <c r="A162" s="14" t="s">
        <v>386</v>
      </c>
      <c r="B162" s="14" t="s">
        <v>387</v>
      </c>
      <c r="C162" s="14" t="s">
        <v>25</v>
      </c>
      <c r="D162" s="14" t="s">
        <v>16</v>
      </c>
      <c r="E162" s="15" t="n">
        <v>44.95</v>
      </c>
      <c r="F162" s="15" t="n">
        <v>90</v>
      </c>
      <c r="G162" s="17" t="n">
        <f aca="false">IFERROR(1-E162/F162,"")</f>
        <v>0.500555555555556</v>
      </c>
      <c r="H162" s="15" t="n">
        <v>59.95</v>
      </c>
      <c r="I162" s="18" t="n">
        <f aca="false">ROUND(H162*F162/E162,0)</f>
        <v>120</v>
      </c>
      <c r="J162" s="17" t="n">
        <f aca="false">IFERROR(1-H162/I162,"")</f>
        <v>0.500416666666667</v>
      </c>
      <c r="K162" s="15" t="n">
        <f aca="false">H162-E162</f>
        <v>15</v>
      </c>
      <c r="L162" s="19" t="n">
        <f aca="false">IFERROR(H162/E162-1,"")</f>
        <v>0.333704115684093</v>
      </c>
      <c r="M162" s="20" t="n">
        <v>24</v>
      </c>
      <c r="N162" s="14"/>
    </row>
    <row r="163" customFormat="false" ht="15" hidden="false" customHeight="false" outlineLevel="0" collapsed="false">
      <c r="A163" s="10" t="s">
        <v>388</v>
      </c>
      <c r="B163" s="10" t="s">
        <v>389</v>
      </c>
      <c r="C163" s="10" t="s">
        <v>25</v>
      </c>
      <c r="D163" s="10" t="s">
        <v>16</v>
      </c>
      <c r="E163" s="11" t="n">
        <v>44.95</v>
      </c>
      <c r="F163" s="11" t="n">
        <v>90</v>
      </c>
      <c r="G163" s="21" t="n">
        <f aca="false">IFERROR(1-E163/F163,"")</f>
        <v>0.500555555555556</v>
      </c>
      <c r="H163" s="11" t="n">
        <v>59.95</v>
      </c>
      <c r="I163" s="12" t="n">
        <f aca="false">ROUND(H163*F163/E163,0)</f>
        <v>120</v>
      </c>
      <c r="J163" s="21" t="n">
        <f aca="false">IFERROR(1-H163/I163,"")</f>
        <v>0.500416666666667</v>
      </c>
      <c r="K163" s="11" t="n">
        <f aca="false">H163-E163</f>
        <v>15</v>
      </c>
      <c r="L163" s="22" t="n">
        <f aca="false">IFERROR(H163/E163-1,"")</f>
        <v>0.333704115684093</v>
      </c>
      <c r="M163" s="23" t="n">
        <v>35</v>
      </c>
      <c r="N163" s="10"/>
    </row>
    <row r="164" customFormat="false" ht="15" hidden="false" customHeight="false" outlineLevel="0" collapsed="false">
      <c r="A164" s="14" t="s">
        <v>390</v>
      </c>
      <c r="B164" s="14" t="s">
        <v>391</v>
      </c>
      <c r="C164" s="14" t="s">
        <v>25</v>
      </c>
      <c r="D164" s="14" t="s">
        <v>16</v>
      </c>
      <c r="E164" s="15" t="n">
        <v>44.95</v>
      </c>
      <c r="F164" s="15" t="n">
        <v>90</v>
      </c>
      <c r="G164" s="17" t="n">
        <f aca="false">IFERROR(1-E164/F164,"")</f>
        <v>0.500555555555556</v>
      </c>
      <c r="H164" s="15" t="n">
        <v>59.95</v>
      </c>
      <c r="I164" s="18" t="n">
        <f aca="false">ROUND(H164*F164/E164,0)</f>
        <v>120</v>
      </c>
      <c r="J164" s="17" t="n">
        <f aca="false">IFERROR(1-H164/I164,"")</f>
        <v>0.500416666666667</v>
      </c>
      <c r="K164" s="15" t="n">
        <f aca="false">H164-E164</f>
        <v>15</v>
      </c>
      <c r="L164" s="19" t="n">
        <f aca="false">IFERROR(H164/E164-1,"")</f>
        <v>0.333704115684093</v>
      </c>
      <c r="M164" s="20" t="n">
        <v>25</v>
      </c>
      <c r="N164" s="14"/>
    </row>
    <row r="165" customFormat="false" ht="15" hidden="false" customHeight="false" outlineLevel="0" collapsed="false">
      <c r="A165" s="10" t="s">
        <v>392</v>
      </c>
      <c r="B165" s="10" t="s">
        <v>393</v>
      </c>
      <c r="C165" s="10" t="s">
        <v>25</v>
      </c>
      <c r="D165" s="10" t="s">
        <v>16</v>
      </c>
      <c r="E165" s="11" t="n">
        <v>44.95</v>
      </c>
      <c r="F165" s="11" t="n">
        <v>90</v>
      </c>
      <c r="G165" s="21" t="n">
        <f aca="false">IFERROR(1-E165/F165,"")</f>
        <v>0.500555555555556</v>
      </c>
      <c r="H165" s="11" t="n">
        <v>59.95</v>
      </c>
      <c r="I165" s="12" t="n">
        <f aca="false">ROUND(H165*F165/E165,0)</f>
        <v>120</v>
      </c>
      <c r="J165" s="21" t="n">
        <f aca="false">IFERROR(1-H165/I165,"")</f>
        <v>0.500416666666667</v>
      </c>
      <c r="K165" s="11" t="n">
        <f aca="false">H165-E165</f>
        <v>15</v>
      </c>
      <c r="L165" s="22" t="n">
        <f aca="false">IFERROR(H165/E165-1,"")</f>
        <v>0.333704115684093</v>
      </c>
      <c r="M165" s="23" t="n">
        <v>5</v>
      </c>
      <c r="N165" s="10"/>
    </row>
    <row r="166" customFormat="false" ht="15" hidden="false" customHeight="false" outlineLevel="0" collapsed="false">
      <c r="A166" s="14" t="s">
        <v>394</v>
      </c>
      <c r="B166" s="14" t="s">
        <v>395</v>
      </c>
      <c r="C166" s="14" t="s">
        <v>25</v>
      </c>
      <c r="D166" s="14" t="s">
        <v>16</v>
      </c>
      <c r="E166" s="15" t="n">
        <v>45.95</v>
      </c>
      <c r="F166" s="15" t="n">
        <v>92</v>
      </c>
      <c r="G166" s="17" t="n">
        <f aca="false">IFERROR(1-E166/F166,"")</f>
        <v>0.50054347826087</v>
      </c>
      <c r="H166" s="15" t="n">
        <v>59.95</v>
      </c>
      <c r="I166" s="18" t="n">
        <f aca="false">ROUND(H166*F166/E166,0)</f>
        <v>120</v>
      </c>
      <c r="J166" s="17" t="n">
        <f aca="false">IFERROR(1-H166/I166,"")</f>
        <v>0.500416666666667</v>
      </c>
      <c r="K166" s="15" t="n">
        <f aca="false">H166-E166</f>
        <v>14</v>
      </c>
      <c r="L166" s="19" t="n">
        <f aca="false">IFERROR(H166/E166-1,"")</f>
        <v>0.304678998911861</v>
      </c>
      <c r="M166" s="20" t="n">
        <v>6</v>
      </c>
      <c r="N166" s="14"/>
    </row>
    <row r="167" customFormat="false" ht="15" hidden="false" customHeight="false" outlineLevel="0" collapsed="false">
      <c r="A167" s="10" t="s">
        <v>396</v>
      </c>
      <c r="B167" s="10" t="s">
        <v>397</v>
      </c>
      <c r="C167" s="10" t="s">
        <v>25</v>
      </c>
      <c r="D167" s="10" t="s">
        <v>16</v>
      </c>
      <c r="E167" s="11" t="n">
        <v>45.95</v>
      </c>
      <c r="F167" s="11" t="n">
        <v>92</v>
      </c>
      <c r="G167" s="21" t="n">
        <f aca="false">IFERROR(1-E167/F167,"")</f>
        <v>0.50054347826087</v>
      </c>
      <c r="H167" s="11" t="n">
        <v>59.95</v>
      </c>
      <c r="I167" s="12" t="n">
        <f aca="false">ROUND(H167*F167/E167,0)</f>
        <v>120</v>
      </c>
      <c r="J167" s="21" t="n">
        <f aca="false">IFERROR(1-H167/I167,"")</f>
        <v>0.500416666666667</v>
      </c>
      <c r="K167" s="11" t="n">
        <f aca="false">H167-E167</f>
        <v>14</v>
      </c>
      <c r="L167" s="22" t="n">
        <f aca="false">IFERROR(H167/E167-1,"")</f>
        <v>0.304678998911861</v>
      </c>
      <c r="M167" s="23" t="n">
        <v>25</v>
      </c>
      <c r="N167" s="10"/>
    </row>
    <row r="168" customFormat="false" ht="15" hidden="false" customHeight="false" outlineLevel="0" collapsed="false">
      <c r="A168" s="14" t="s">
        <v>398</v>
      </c>
      <c r="B168" s="14" t="s">
        <v>399</v>
      </c>
      <c r="C168" s="14" t="s">
        <v>25</v>
      </c>
      <c r="D168" s="14" t="s">
        <v>16</v>
      </c>
      <c r="E168" s="15" t="n">
        <v>46.95</v>
      </c>
      <c r="F168" s="15" t="n">
        <v>94</v>
      </c>
      <c r="G168" s="17" t="n">
        <f aca="false">IFERROR(1-E168/F168,"")</f>
        <v>0.500531914893617</v>
      </c>
      <c r="H168" s="15" t="n">
        <v>59.95</v>
      </c>
      <c r="I168" s="18" t="n">
        <f aca="false">ROUND(H168*F168/E168,0)</f>
        <v>120</v>
      </c>
      <c r="J168" s="17" t="n">
        <f aca="false">IFERROR(1-H168/I168,"")</f>
        <v>0.500416666666667</v>
      </c>
      <c r="K168" s="15" t="n">
        <f aca="false">H168-E168</f>
        <v>13</v>
      </c>
      <c r="L168" s="19" t="n">
        <f aca="false">IFERROR(H168/E168-1,"")</f>
        <v>0.276890308839191</v>
      </c>
      <c r="M168" s="20" t="n">
        <v>6</v>
      </c>
      <c r="N168" s="14"/>
    </row>
    <row r="169" customFormat="false" ht="15" hidden="false" customHeight="false" outlineLevel="0" collapsed="false">
      <c r="A169" s="10" t="s">
        <v>400</v>
      </c>
      <c r="B169" s="10" t="s">
        <v>401</v>
      </c>
      <c r="C169" s="10" t="s">
        <v>25</v>
      </c>
      <c r="D169" s="10" t="s">
        <v>16</v>
      </c>
      <c r="E169" s="11" t="n">
        <v>46.95</v>
      </c>
      <c r="F169" s="11" t="n">
        <v>94</v>
      </c>
      <c r="G169" s="21" t="n">
        <f aca="false">IFERROR(1-E169/F169,"")</f>
        <v>0.500531914893617</v>
      </c>
      <c r="H169" s="11" t="n">
        <v>59.95</v>
      </c>
      <c r="I169" s="12" t="n">
        <f aca="false">ROUND(H169*F169/E169,0)</f>
        <v>120</v>
      </c>
      <c r="J169" s="21" t="n">
        <f aca="false">IFERROR(1-H169/I169,"")</f>
        <v>0.500416666666667</v>
      </c>
      <c r="K169" s="11" t="n">
        <f aca="false">H169-E169</f>
        <v>13</v>
      </c>
      <c r="L169" s="22" t="n">
        <f aca="false">IFERROR(H169/E169-1,"")</f>
        <v>0.276890308839191</v>
      </c>
      <c r="M169" s="23" t="n">
        <v>66</v>
      </c>
      <c r="N169" s="10"/>
    </row>
    <row r="170" customFormat="false" ht="15" hidden="false" customHeight="false" outlineLevel="0" collapsed="false">
      <c r="A170" s="14" t="s">
        <v>402</v>
      </c>
      <c r="B170" s="14" t="s">
        <v>403</v>
      </c>
      <c r="C170" s="14" t="s">
        <v>25</v>
      </c>
      <c r="D170" s="14" t="s">
        <v>16</v>
      </c>
      <c r="E170" s="15" t="n">
        <v>48.95</v>
      </c>
      <c r="F170" s="15" t="n">
        <v>98</v>
      </c>
      <c r="G170" s="17" t="n">
        <f aca="false">IFERROR(1-E170/F170,"")</f>
        <v>0.500510204081633</v>
      </c>
      <c r="H170" s="15" t="n">
        <v>59.95</v>
      </c>
      <c r="I170" s="18" t="n">
        <f aca="false">ROUND(H170*F170/E170,0)</f>
        <v>120</v>
      </c>
      <c r="J170" s="17" t="n">
        <f aca="false">IFERROR(1-H170/I170,"")</f>
        <v>0.500416666666667</v>
      </c>
      <c r="K170" s="15" t="n">
        <f aca="false">H170-E170</f>
        <v>11</v>
      </c>
      <c r="L170" s="19" t="n">
        <f aca="false">IFERROR(H170/E170-1,"")</f>
        <v>0.224719101123595</v>
      </c>
      <c r="M170" s="20" t="n">
        <v>8</v>
      </c>
      <c r="N170" s="14"/>
    </row>
    <row r="171" customFormat="false" ht="15" hidden="false" customHeight="false" outlineLevel="0" collapsed="false">
      <c r="A171" s="10" t="s">
        <v>404</v>
      </c>
      <c r="B171" s="10" t="s">
        <v>405</v>
      </c>
      <c r="C171" s="10" t="s">
        <v>25</v>
      </c>
      <c r="D171" s="10" t="s">
        <v>16</v>
      </c>
      <c r="E171" s="11" t="n">
        <v>48.95</v>
      </c>
      <c r="F171" s="11" t="n">
        <v>98</v>
      </c>
      <c r="G171" s="21" t="n">
        <f aca="false">IFERROR(1-E171/F171,"")</f>
        <v>0.500510204081633</v>
      </c>
      <c r="H171" s="11" t="n">
        <v>59.95</v>
      </c>
      <c r="I171" s="12" t="n">
        <f aca="false">ROUND(H171*F171/E171,0)</f>
        <v>120</v>
      </c>
      <c r="J171" s="21" t="n">
        <f aca="false">IFERROR(1-H171/I171,"")</f>
        <v>0.500416666666667</v>
      </c>
      <c r="K171" s="11" t="n">
        <f aca="false">H171-E171</f>
        <v>11</v>
      </c>
      <c r="L171" s="22" t="n">
        <f aca="false">IFERROR(H171/E171-1,"")</f>
        <v>0.224719101123595</v>
      </c>
      <c r="M171" s="23" t="n">
        <v>4</v>
      </c>
      <c r="N171" s="10"/>
    </row>
    <row r="172" customFormat="false" ht="15" hidden="false" customHeight="false" outlineLevel="0" collapsed="false">
      <c r="A172" s="14" t="s">
        <v>406</v>
      </c>
      <c r="B172" s="14" t="s">
        <v>407</v>
      </c>
      <c r="C172" s="14" t="s">
        <v>25</v>
      </c>
      <c r="D172" s="14" t="s">
        <v>16</v>
      </c>
      <c r="E172" s="15" t="n">
        <v>48.95</v>
      </c>
      <c r="F172" s="15" t="n">
        <v>98</v>
      </c>
      <c r="G172" s="17" t="n">
        <f aca="false">IFERROR(1-E172/F172,"")</f>
        <v>0.500510204081633</v>
      </c>
      <c r="H172" s="15" t="n">
        <v>59.95</v>
      </c>
      <c r="I172" s="18" t="n">
        <f aca="false">ROUND(H172*F172/E172,0)</f>
        <v>120</v>
      </c>
      <c r="J172" s="17" t="n">
        <f aca="false">IFERROR(1-H172/I172,"")</f>
        <v>0.500416666666667</v>
      </c>
      <c r="K172" s="15" t="n">
        <f aca="false">H172-E172</f>
        <v>11</v>
      </c>
      <c r="L172" s="19" t="n">
        <f aca="false">IFERROR(H172/E172-1,"")</f>
        <v>0.224719101123595</v>
      </c>
      <c r="M172" s="20" t="n">
        <v>5</v>
      </c>
      <c r="N172" s="14"/>
    </row>
    <row r="173" customFormat="false" ht="15" hidden="false" customHeight="false" outlineLevel="0" collapsed="false">
      <c r="A173" s="10" t="s">
        <v>408</v>
      </c>
      <c r="B173" s="10" t="s">
        <v>409</v>
      </c>
      <c r="C173" s="10" t="s">
        <v>25</v>
      </c>
      <c r="D173" s="10" t="s">
        <v>16</v>
      </c>
      <c r="E173" s="11" t="n">
        <v>48.95</v>
      </c>
      <c r="F173" s="11" t="n">
        <v>98</v>
      </c>
      <c r="G173" s="21" t="n">
        <f aca="false">IFERROR(1-E173/F173,"")</f>
        <v>0.500510204081633</v>
      </c>
      <c r="H173" s="11" t="n">
        <v>59.95</v>
      </c>
      <c r="I173" s="12" t="n">
        <f aca="false">ROUND(H173*F173/E173,0)</f>
        <v>120</v>
      </c>
      <c r="J173" s="21" t="n">
        <f aca="false">IFERROR(1-H173/I173,"")</f>
        <v>0.500416666666667</v>
      </c>
      <c r="K173" s="11" t="n">
        <f aca="false">H173-E173</f>
        <v>11</v>
      </c>
      <c r="L173" s="22" t="n">
        <f aca="false">IFERROR(H173/E173-1,"")</f>
        <v>0.224719101123595</v>
      </c>
      <c r="M173" s="23" t="n">
        <v>5</v>
      </c>
      <c r="N173" s="10"/>
    </row>
    <row r="174" customFormat="false" ht="15" hidden="false" customHeight="false" outlineLevel="0" collapsed="false">
      <c r="A174" s="14" t="s">
        <v>410</v>
      </c>
      <c r="B174" s="14" t="s">
        <v>411</v>
      </c>
      <c r="C174" s="14" t="s">
        <v>25</v>
      </c>
      <c r="D174" s="14" t="s">
        <v>16</v>
      </c>
      <c r="E174" s="15" t="n">
        <v>49.95</v>
      </c>
      <c r="F174" s="15" t="n">
        <v>100</v>
      </c>
      <c r="G174" s="17" t="n">
        <f aca="false">IFERROR(1-E174/F174,"")</f>
        <v>0.5005</v>
      </c>
      <c r="H174" s="15" t="n">
        <v>59.95</v>
      </c>
      <c r="I174" s="18" t="n">
        <f aca="false">ROUND(H174*F174/E174,0)</f>
        <v>120</v>
      </c>
      <c r="J174" s="17" t="n">
        <f aca="false">IFERROR(1-H174/I174,"")</f>
        <v>0.500416666666667</v>
      </c>
      <c r="K174" s="15" t="n">
        <f aca="false">H174-E174</f>
        <v>10</v>
      </c>
      <c r="L174" s="19" t="n">
        <f aca="false">IFERROR(H174/E174-1,"")</f>
        <v>0.2002002002002</v>
      </c>
      <c r="M174" s="20" t="n">
        <v>6</v>
      </c>
      <c r="N174" s="14"/>
    </row>
    <row r="175" customFormat="false" ht="15" hidden="false" customHeight="false" outlineLevel="0" collapsed="false">
      <c r="A175" s="10" t="s">
        <v>412</v>
      </c>
      <c r="B175" s="10" t="s">
        <v>413</v>
      </c>
      <c r="C175" s="10" t="s">
        <v>25</v>
      </c>
      <c r="D175" s="10" t="s">
        <v>16</v>
      </c>
      <c r="E175" s="11" t="n">
        <v>49.95</v>
      </c>
      <c r="F175" s="11" t="n">
        <v>100</v>
      </c>
      <c r="G175" s="21" t="n">
        <f aca="false">IFERROR(1-E175/F175,"")</f>
        <v>0.5005</v>
      </c>
      <c r="H175" s="11" t="n">
        <v>59.95</v>
      </c>
      <c r="I175" s="12" t="n">
        <f aca="false">ROUND(H175*F175/E175,0)</f>
        <v>120</v>
      </c>
      <c r="J175" s="21" t="n">
        <f aca="false">IFERROR(1-H175/I175,"")</f>
        <v>0.500416666666667</v>
      </c>
      <c r="K175" s="11" t="n">
        <f aca="false">H175-E175</f>
        <v>10</v>
      </c>
      <c r="L175" s="22" t="n">
        <f aca="false">IFERROR(H175/E175-1,"")</f>
        <v>0.2002002002002</v>
      </c>
      <c r="M175" s="23" t="n">
        <v>24</v>
      </c>
      <c r="N175" s="10"/>
    </row>
    <row r="176" customFormat="false" ht="15" hidden="false" customHeight="false" outlineLevel="0" collapsed="false">
      <c r="A176" s="14" t="s">
        <v>414</v>
      </c>
      <c r="B176" s="14" t="s">
        <v>415</v>
      </c>
      <c r="C176" s="14" t="s">
        <v>25</v>
      </c>
      <c r="D176" s="14" t="s">
        <v>16</v>
      </c>
      <c r="E176" s="15" t="n">
        <v>49.95</v>
      </c>
      <c r="F176" s="15" t="n">
        <v>100</v>
      </c>
      <c r="G176" s="17" t="n">
        <f aca="false">IFERROR(1-E176/F176,"")</f>
        <v>0.5005</v>
      </c>
      <c r="H176" s="15" t="n">
        <v>59.95</v>
      </c>
      <c r="I176" s="18" t="n">
        <f aca="false">ROUND(H176*F176/E176,0)</f>
        <v>120</v>
      </c>
      <c r="J176" s="17" t="n">
        <f aca="false">IFERROR(1-H176/I176,"")</f>
        <v>0.500416666666667</v>
      </c>
      <c r="K176" s="15" t="n">
        <f aca="false">H176-E176</f>
        <v>10</v>
      </c>
      <c r="L176" s="19" t="n">
        <f aca="false">IFERROR(H176/E176-1,"")</f>
        <v>0.2002002002002</v>
      </c>
      <c r="M176" s="20" t="n">
        <v>12</v>
      </c>
      <c r="N176" s="14"/>
    </row>
    <row r="177" customFormat="false" ht="15" hidden="false" customHeight="false" outlineLevel="0" collapsed="false">
      <c r="A177" s="10" t="s">
        <v>416</v>
      </c>
      <c r="B177" s="10" t="s">
        <v>417</v>
      </c>
      <c r="C177" s="10" t="s">
        <v>25</v>
      </c>
      <c r="D177" s="10" t="s">
        <v>16</v>
      </c>
      <c r="E177" s="11" t="n">
        <v>49.95</v>
      </c>
      <c r="F177" s="11" t="n">
        <v>100</v>
      </c>
      <c r="G177" s="21" t="n">
        <f aca="false">IFERROR(1-E177/F177,"")</f>
        <v>0.5005</v>
      </c>
      <c r="H177" s="11" t="n">
        <v>59.95</v>
      </c>
      <c r="I177" s="12" t="n">
        <f aca="false">ROUND(H177*F177/E177,0)</f>
        <v>120</v>
      </c>
      <c r="J177" s="21" t="n">
        <f aca="false">IFERROR(1-H177/I177,"")</f>
        <v>0.500416666666667</v>
      </c>
      <c r="K177" s="11" t="n">
        <f aca="false">H177-E177</f>
        <v>10</v>
      </c>
      <c r="L177" s="22" t="n">
        <f aca="false">IFERROR(H177/E177-1,"")</f>
        <v>0.2002002002002</v>
      </c>
      <c r="M177" s="23" t="n">
        <v>6</v>
      </c>
      <c r="N177" s="10"/>
    </row>
    <row r="178" customFormat="false" ht="15" hidden="false" customHeight="false" outlineLevel="0" collapsed="false">
      <c r="A178" s="14" t="s">
        <v>418</v>
      </c>
      <c r="B178" s="14" t="s">
        <v>419</v>
      </c>
      <c r="C178" s="14" t="s">
        <v>25</v>
      </c>
      <c r="D178" s="14" t="s">
        <v>16</v>
      </c>
      <c r="E178" s="15" t="n">
        <v>49.95</v>
      </c>
      <c r="F178" s="15" t="n">
        <v>100</v>
      </c>
      <c r="G178" s="17" t="n">
        <f aca="false">IFERROR(1-E178/F178,"")</f>
        <v>0.5005</v>
      </c>
      <c r="H178" s="15" t="n">
        <v>59.95</v>
      </c>
      <c r="I178" s="18" t="n">
        <f aca="false">ROUND(H178*F178/E178,0)</f>
        <v>120</v>
      </c>
      <c r="J178" s="17" t="n">
        <f aca="false">IFERROR(1-H178/I178,"")</f>
        <v>0.500416666666667</v>
      </c>
      <c r="K178" s="15" t="n">
        <f aca="false">H178-E178</f>
        <v>10</v>
      </c>
      <c r="L178" s="19" t="n">
        <f aca="false">IFERROR(H178/E178-1,"")</f>
        <v>0.2002002002002</v>
      </c>
      <c r="M178" s="20" t="n">
        <v>24</v>
      </c>
      <c r="N178" s="14"/>
    </row>
    <row r="179" customFormat="false" ht="15" hidden="false" customHeight="false" outlineLevel="0" collapsed="false">
      <c r="A179" s="10" t="s">
        <v>420</v>
      </c>
      <c r="B179" s="10" t="s">
        <v>421</v>
      </c>
      <c r="C179" s="10" t="s">
        <v>25</v>
      </c>
      <c r="D179" s="10" t="s">
        <v>16</v>
      </c>
      <c r="E179" s="11" t="n">
        <v>49.95</v>
      </c>
      <c r="F179" s="11" t="n">
        <v>100</v>
      </c>
      <c r="G179" s="21" t="n">
        <f aca="false">IFERROR(1-E179/F179,"")</f>
        <v>0.5005</v>
      </c>
      <c r="H179" s="11" t="n">
        <v>59.95</v>
      </c>
      <c r="I179" s="12" t="n">
        <f aca="false">ROUND(H179*F179/E179,0)</f>
        <v>120</v>
      </c>
      <c r="J179" s="21" t="n">
        <f aca="false">IFERROR(1-H179/I179,"")</f>
        <v>0.500416666666667</v>
      </c>
      <c r="K179" s="11" t="n">
        <f aca="false">H179-E179</f>
        <v>10</v>
      </c>
      <c r="L179" s="22" t="n">
        <f aca="false">IFERROR(H179/E179-1,"")</f>
        <v>0.2002002002002</v>
      </c>
      <c r="M179" s="23" t="n">
        <v>24</v>
      </c>
      <c r="N179" s="10"/>
    </row>
    <row r="180" customFormat="false" ht="15" hidden="false" customHeight="false" outlineLevel="0" collapsed="false">
      <c r="A180" s="14" t="s">
        <v>422</v>
      </c>
      <c r="B180" s="14" t="s">
        <v>423</v>
      </c>
      <c r="C180" s="14" t="s">
        <v>25</v>
      </c>
      <c r="D180" s="14" t="s">
        <v>16</v>
      </c>
      <c r="E180" s="15" t="n">
        <v>49.95</v>
      </c>
      <c r="F180" s="15" t="n">
        <v>100</v>
      </c>
      <c r="G180" s="17" t="n">
        <f aca="false">IFERROR(1-E180/F180,"")</f>
        <v>0.5005</v>
      </c>
      <c r="H180" s="15" t="n">
        <v>59.95</v>
      </c>
      <c r="I180" s="18" t="n">
        <f aca="false">ROUND(H180*F180/E180,0)</f>
        <v>120</v>
      </c>
      <c r="J180" s="17" t="n">
        <f aca="false">IFERROR(1-H180/I180,"")</f>
        <v>0.500416666666667</v>
      </c>
      <c r="K180" s="15" t="n">
        <f aca="false">H180-E180</f>
        <v>10</v>
      </c>
      <c r="L180" s="19" t="n">
        <f aca="false">IFERROR(H180/E180-1,"")</f>
        <v>0.2002002002002</v>
      </c>
      <c r="M180" s="20" t="n">
        <v>6</v>
      </c>
      <c r="N180" s="14"/>
    </row>
    <row r="181" customFormat="false" ht="15" hidden="false" customHeight="false" outlineLevel="0" collapsed="false">
      <c r="A181" s="10" t="s">
        <v>424</v>
      </c>
      <c r="B181" s="10" t="s">
        <v>425</v>
      </c>
      <c r="C181" s="10" t="s">
        <v>25</v>
      </c>
      <c r="D181" s="10" t="s">
        <v>16</v>
      </c>
      <c r="E181" s="11" t="n">
        <v>49.95</v>
      </c>
      <c r="F181" s="11" t="n">
        <v>100</v>
      </c>
      <c r="G181" s="21" t="n">
        <f aca="false">IFERROR(1-E181/F181,"")</f>
        <v>0.5005</v>
      </c>
      <c r="H181" s="11" t="n">
        <v>59.95</v>
      </c>
      <c r="I181" s="12" t="n">
        <f aca="false">ROUND(H181*F181/E181,0)</f>
        <v>120</v>
      </c>
      <c r="J181" s="21" t="n">
        <f aca="false">IFERROR(1-H181/I181,"")</f>
        <v>0.500416666666667</v>
      </c>
      <c r="K181" s="11" t="n">
        <f aca="false">H181-E181</f>
        <v>10</v>
      </c>
      <c r="L181" s="22" t="n">
        <f aca="false">IFERROR(H181/E181-1,"")</f>
        <v>0.2002002002002</v>
      </c>
      <c r="M181" s="23" t="n">
        <v>30</v>
      </c>
      <c r="N181" s="10"/>
    </row>
    <row r="182" customFormat="false" ht="15" hidden="false" customHeight="false" outlineLevel="0" collapsed="false">
      <c r="A182" s="14" t="s">
        <v>426</v>
      </c>
      <c r="B182" s="14" t="s">
        <v>427</v>
      </c>
      <c r="C182" s="14" t="s">
        <v>25</v>
      </c>
      <c r="D182" s="14" t="s">
        <v>16</v>
      </c>
      <c r="E182" s="15" t="n">
        <v>49.95</v>
      </c>
      <c r="F182" s="15" t="n">
        <v>100</v>
      </c>
      <c r="G182" s="17" t="n">
        <f aca="false">IFERROR(1-E182/F182,"")</f>
        <v>0.5005</v>
      </c>
      <c r="H182" s="15" t="n">
        <v>59.95</v>
      </c>
      <c r="I182" s="18" t="n">
        <f aca="false">ROUND(H182*F182/E182,0)</f>
        <v>120</v>
      </c>
      <c r="J182" s="17" t="n">
        <f aca="false">IFERROR(1-H182/I182,"")</f>
        <v>0.500416666666667</v>
      </c>
      <c r="K182" s="15" t="n">
        <f aca="false">H182-E182</f>
        <v>10</v>
      </c>
      <c r="L182" s="19" t="n">
        <f aca="false">IFERROR(H182/E182-1,"")</f>
        <v>0.2002002002002</v>
      </c>
      <c r="M182" s="20" t="n">
        <v>55</v>
      </c>
      <c r="N182" s="14"/>
    </row>
    <row r="183" customFormat="false" ht="15" hidden="false" customHeight="false" outlineLevel="0" collapsed="false">
      <c r="A183" s="10" t="s">
        <v>428</v>
      </c>
      <c r="B183" s="10" t="s">
        <v>429</v>
      </c>
      <c r="C183" s="10" t="s">
        <v>25</v>
      </c>
      <c r="D183" s="10" t="s">
        <v>16</v>
      </c>
      <c r="E183" s="11" t="n">
        <v>49.95</v>
      </c>
      <c r="F183" s="11" t="n">
        <v>100</v>
      </c>
      <c r="G183" s="21" t="n">
        <f aca="false">IFERROR(1-E183/F183,"")</f>
        <v>0.5005</v>
      </c>
      <c r="H183" s="11" t="n">
        <v>59.95</v>
      </c>
      <c r="I183" s="12" t="n">
        <f aca="false">ROUND(H183*F183/E183,0)</f>
        <v>120</v>
      </c>
      <c r="J183" s="21" t="n">
        <f aca="false">IFERROR(1-H183/I183,"")</f>
        <v>0.500416666666667</v>
      </c>
      <c r="K183" s="11" t="n">
        <f aca="false">H183-E183</f>
        <v>10</v>
      </c>
      <c r="L183" s="22" t="n">
        <f aca="false">IFERROR(H183/E183-1,"")</f>
        <v>0.2002002002002</v>
      </c>
      <c r="M183" s="23" t="n">
        <v>30</v>
      </c>
      <c r="N183" s="10"/>
    </row>
    <row r="184" customFormat="false" ht="15" hidden="false" customHeight="false" outlineLevel="0" collapsed="false">
      <c r="A184" s="14" t="s">
        <v>430</v>
      </c>
      <c r="B184" s="14" t="s">
        <v>431</v>
      </c>
      <c r="C184" s="14" t="s">
        <v>25</v>
      </c>
      <c r="D184" s="14" t="s">
        <v>16</v>
      </c>
      <c r="E184" s="15" t="n">
        <v>49.95</v>
      </c>
      <c r="F184" s="15" t="n">
        <v>100</v>
      </c>
      <c r="G184" s="17" t="n">
        <f aca="false">IFERROR(1-E184/F184,"")</f>
        <v>0.5005</v>
      </c>
      <c r="H184" s="15" t="n">
        <v>59.95</v>
      </c>
      <c r="I184" s="18" t="n">
        <f aca="false">ROUND(H184*F184/E184,0)</f>
        <v>120</v>
      </c>
      <c r="J184" s="17" t="n">
        <f aca="false">IFERROR(1-H184/I184,"")</f>
        <v>0.500416666666667</v>
      </c>
      <c r="K184" s="15" t="n">
        <f aca="false">H184-E184</f>
        <v>10</v>
      </c>
      <c r="L184" s="19" t="n">
        <f aca="false">IFERROR(H184/E184-1,"")</f>
        <v>0.2002002002002</v>
      </c>
      <c r="M184" s="20" t="n">
        <v>30</v>
      </c>
      <c r="N184" s="14"/>
    </row>
    <row r="185" customFormat="false" ht="15" hidden="false" customHeight="false" outlineLevel="0" collapsed="false">
      <c r="A185" s="10" t="s">
        <v>432</v>
      </c>
      <c r="B185" s="10" t="s">
        <v>433</v>
      </c>
      <c r="C185" s="10" t="s">
        <v>25</v>
      </c>
      <c r="D185" s="10" t="s">
        <v>16</v>
      </c>
      <c r="E185" s="11" t="n">
        <v>49.95</v>
      </c>
      <c r="F185" s="11" t="n">
        <v>100</v>
      </c>
      <c r="G185" s="21" t="n">
        <f aca="false">IFERROR(1-E185/F185,"")</f>
        <v>0.5005</v>
      </c>
      <c r="H185" s="11" t="n">
        <v>59.95</v>
      </c>
      <c r="I185" s="12" t="n">
        <f aca="false">ROUND(H185*F185/E185,0)</f>
        <v>120</v>
      </c>
      <c r="J185" s="21" t="n">
        <f aca="false">IFERROR(1-H185/I185,"")</f>
        <v>0.500416666666667</v>
      </c>
      <c r="K185" s="11" t="n">
        <f aca="false">H185-E185</f>
        <v>10</v>
      </c>
      <c r="L185" s="22" t="n">
        <f aca="false">IFERROR(H185/E185-1,"")</f>
        <v>0.2002002002002</v>
      </c>
      <c r="M185" s="23" t="n">
        <v>8</v>
      </c>
      <c r="N185" s="10"/>
    </row>
    <row r="186" customFormat="false" ht="15" hidden="false" customHeight="false" outlineLevel="0" collapsed="false">
      <c r="A186" s="14" t="s">
        <v>434</v>
      </c>
      <c r="B186" s="14" t="s">
        <v>435</v>
      </c>
      <c r="C186" s="14" t="s">
        <v>25</v>
      </c>
      <c r="D186" s="14" t="s">
        <v>16</v>
      </c>
      <c r="E186" s="15" t="n">
        <v>49.95</v>
      </c>
      <c r="F186" s="15" t="n">
        <v>100</v>
      </c>
      <c r="G186" s="17" t="n">
        <f aca="false">IFERROR(1-E186/F186,"")</f>
        <v>0.5005</v>
      </c>
      <c r="H186" s="15" t="n">
        <v>59.95</v>
      </c>
      <c r="I186" s="18" t="n">
        <f aca="false">ROUND(H186*F186/E186,0)</f>
        <v>120</v>
      </c>
      <c r="J186" s="17" t="n">
        <f aca="false">IFERROR(1-H186/I186,"")</f>
        <v>0.500416666666667</v>
      </c>
      <c r="K186" s="15" t="n">
        <f aca="false">H186-E186</f>
        <v>10</v>
      </c>
      <c r="L186" s="19" t="n">
        <f aca="false">IFERROR(H186/E186-1,"")</f>
        <v>0.2002002002002</v>
      </c>
      <c r="M186" s="20" t="n">
        <v>11</v>
      </c>
      <c r="N186" s="14"/>
    </row>
    <row r="187" customFormat="false" ht="15" hidden="false" customHeight="false" outlineLevel="0" collapsed="false">
      <c r="A187" s="10" t="s">
        <v>436</v>
      </c>
      <c r="B187" s="10" t="s">
        <v>437</v>
      </c>
      <c r="C187" s="10" t="s">
        <v>25</v>
      </c>
      <c r="D187" s="10" t="s">
        <v>16</v>
      </c>
      <c r="E187" s="11" t="n">
        <v>49.95</v>
      </c>
      <c r="F187" s="11" t="n">
        <v>100</v>
      </c>
      <c r="G187" s="21" t="n">
        <f aca="false">IFERROR(1-E187/F187,"")</f>
        <v>0.5005</v>
      </c>
      <c r="H187" s="11" t="n">
        <v>59.95</v>
      </c>
      <c r="I187" s="12" t="n">
        <f aca="false">ROUND(H187*F187/E187,0)</f>
        <v>120</v>
      </c>
      <c r="J187" s="21" t="n">
        <f aca="false">IFERROR(1-H187/I187,"")</f>
        <v>0.500416666666667</v>
      </c>
      <c r="K187" s="11" t="n">
        <f aca="false">H187-E187</f>
        <v>10</v>
      </c>
      <c r="L187" s="22" t="n">
        <f aca="false">IFERROR(H187/E187-1,"")</f>
        <v>0.2002002002002</v>
      </c>
      <c r="M187" s="23" t="n">
        <v>6</v>
      </c>
      <c r="N187" s="10"/>
    </row>
    <row r="188" customFormat="false" ht="15" hidden="false" customHeight="false" outlineLevel="0" collapsed="false">
      <c r="A188" s="14" t="s">
        <v>438</v>
      </c>
      <c r="B188" s="14" t="s">
        <v>439</v>
      </c>
      <c r="C188" s="14" t="s">
        <v>25</v>
      </c>
      <c r="D188" s="14" t="s">
        <v>16</v>
      </c>
      <c r="E188" s="15" t="n">
        <v>49.95</v>
      </c>
      <c r="F188" s="15" t="n">
        <v>100</v>
      </c>
      <c r="G188" s="17" t="n">
        <f aca="false">IFERROR(1-E188/F188,"")</f>
        <v>0.5005</v>
      </c>
      <c r="H188" s="15" t="n">
        <v>59.95</v>
      </c>
      <c r="I188" s="18" t="n">
        <f aca="false">ROUND(H188*F188/E188,0)</f>
        <v>120</v>
      </c>
      <c r="J188" s="17" t="n">
        <f aca="false">IFERROR(1-H188/I188,"")</f>
        <v>0.500416666666667</v>
      </c>
      <c r="K188" s="15" t="n">
        <f aca="false">H188-E188</f>
        <v>10</v>
      </c>
      <c r="L188" s="19" t="n">
        <f aca="false">IFERROR(H188/E188-1,"")</f>
        <v>0.2002002002002</v>
      </c>
      <c r="M188" s="20" t="n">
        <v>6</v>
      </c>
      <c r="N188" s="14"/>
    </row>
    <row r="189" customFormat="false" ht="15" hidden="false" customHeight="false" outlineLevel="0" collapsed="false">
      <c r="A189" s="10" t="s">
        <v>440</v>
      </c>
      <c r="B189" s="10" t="s">
        <v>441</v>
      </c>
      <c r="C189" s="10" t="s">
        <v>27</v>
      </c>
      <c r="D189" s="10" t="s">
        <v>16</v>
      </c>
      <c r="E189" s="11" t="n">
        <v>34.95</v>
      </c>
      <c r="F189" s="11" t="n">
        <v>70</v>
      </c>
      <c r="G189" s="21" t="n">
        <f aca="false">IFERROR(1-E189/F189,"")</f>
        <v>0.500714285714286</v>
      </c>
      <c r="H189" s="11" t="n">
        <v>59.95</v>
      </c>
      <c r="I189" s="12" t="n">
        <f aca="false">ROUND(H189*F189/E189,0)</f>
        <v>120</v>
      </c>
      <c r="J189" s="21" t="n">
        <f aca="false">IFERROR(1-H189/I189,"")</f>
        <v>0.500416666666667</v>
      </c>
      <c r="K189" s="11" t="n">
        <f aca="false">H189-E189</f>
        <v>25</v>
      </c>
      <c r="L189" s="22" t="n">
        <f aca="false">IFERROR(H189/E189-1,"")</f>
        <v>0.715307582260372</v>
      </c>
      <c r="M189" s="23" t="n">
        <v>3</v>
      </c>
      <c r="N189" s="10"/>
    </row>
    <row r="190" customFormat="false" ht="15" hidden="false" customHeight="false" outlineLevel="0" collapsed="false">
      <c r="A190" s="14" t="s">
        <v>442</v>
      </c>
      <c r="B190" s="14" t="s">
        <v>443</v>
      </c>
      <c r="C190" s="14" t="s">
        <v>27</v>
      </c>
      <c r="D190" s="14" t="s">
        <v>16</v>
      </c>
      <c r="E190" s="15" t="n">
        <v>34.95</v>
      </c>
      <c r="F190" s="15" t="n">
        <v>70</v>
      </c>
      <c r="G190" s="17" t="n">
        <f aca="false">IFERROR(1-E190/F190,"")</f>
        <v>0.500714285714286</v>
      </c>
      <c r="H190" s="15" t="n">
        <v>59.95</v>
      </c>
      <c r="I190" s="18" t="n">
        <f aca="false">ROUND(H190*F190/E190,0)</f>
        <v>120</v>
      </c>
      <c r="J190" s="17" t="n">
        <f aca="false">IFERROR(1-H190/I190,"")</f>
        <v>0.500416666666667</v>
      </c>
      <c r="K190" s="15" t="n">
        <f aca="false">H190-E190</f>
        <v>25</v>
      </c>
      <c r="L190" s="19" t="n">
        <f aca="false">IFERROR(H190/E190-1,"")</f>
        <v>0.715307582260372</v>
      </c>
      <c r="M190" s="20" t="n">
        <v>6</v>
      </c>
      <c r="N190" s="14"/>
    </row>
    <row r="191" customFormat="false" ht="15" hidden="false" customHeight="false" outlineLevel="0" collapsed="false">
      <c r="A191" s="10" t="s">
        <v>444</v>
      </c>
      <c r="B191" s="10" t="s">
        <v>445</v>
      </c>
      <c r="C191" s="10" t="s">
        <v>27</v>
      </c>
      <c r="D191" s="10" t="s">
        <v>16</v>
      </c>
      <c r="E191" s="11" t="n">
        <v>44.95</v>
      </c>
      <c r="F191" s="11" t="n">
        <v>90</v>
      </c>
      <c r="G191" s="21" t="n">
        <f aca="false">IFERROR(1-E191/F191,"")</f>
        <v>0.500555555555556</v>
      </c>
      <c r="H191" s="11" t="n">
        <v>59.95</v>
      </c>
      <c r="I191" s="12" t="n">
        <f aca="false">ROUND(H191*F191/E191,0)</f>
        <v>120</v>
      </c>
      <c r="J191" s="21" t="n">
        <f aca="false">IFERROR(1-H191/I191,"")</f>
        <v>0.500416666666667</v>
      </c>
      <c r="K191" s="11" t="n">
        <f aca="false">H191-E191</f>
        <v>15</v>
      </c>
      <c r="L191" s="22" t="n">
        <f aca="false">IFERROR(H191/E191-1,"")</f>
        <v>0.333704115684093</v>
      </c>
      <c r="M191" s="23" t="n">
        <v>20</v>
      </c>
      <c r="N191" s="10"/>
    </row>
    <row r="192" customFormat="false" ht="15" hidden="false" customHeight="false" outlineLevel="0" collapsed="false">
      <c r="A192" s="14" t="s">
        <v>446</v>
      </c>
      <c r="B192" s="14" t="s">
        <v>447</v>
      </c>
      <c r="C192" s="14" t="s">
        <v>27</v>
      </c>
      <c r="D192" s="14" t="s">
        <v>16</v>
      </c>
      <c r="E192" s="15" t="n">
        <v>44.95</v>
      </c>
      <c r="F192" s="15" t="n">
        <v>90</v>
      </c>
      <c r="G192" s="17" t="n">
        <f aca="false">IFERROR(1-E192/F192,"")</f>
        <v>0.500555555555556</v>
      </c>
      <c r="H192" s="15" t="n">
        <v>59.95</v>
      </c>
      <c r="I192" s="18" t="n">
        <f aca="false">ROUND(H192*F192/E192,0)</f>
        <v>120</v>
      </c>
      <c r="J192" s="17" t="n">
        <f aca="false">IFERROR(1-H192/I192,"")</f>
        <v>0.500416666666667</v>
      </c>
      <c r="K192" s="15" t="n">
        <f aca="false">H192-E192</f>
        <v>15</v>
      </c>
      <c r="L192" s="19" t="n">
        <f aca="false">IFERROR(H192/E192-1,"")</f>
        <v>0.333704115684093</v>
      </c>
      <c r="M192" s="20" t="n">
        <v>7</v>
      </c>
      <c r="N192" s="14"/>
    </row>
    <row r="193" customFormat="false" ht="15" hidden="false" customHeight="false" outlineLevel="0" collapsed="false">
      <c r="A193" s="10" t="s">
        <v>448</v>
      </c>
      <c r="B193" s="10" t="s">
        <v>449</v>
      </c>
      <c r="C193" s="10" t="s">
        <v>27</v>
      </c>
      <c r="D193" s="10" t="s">
        <v>16</v>
      </c>
      <c r="E193" s="11" t="n">
        <v>49.95</v>
      </c>
      <c r="F193" s="11" t="n">
        <v>100</v>
      </c>
      <c r="G193" s="21" t="n">
        <f aca="false">IFERROR(1-E193/F193,"")</f>
        <v>0.5005</v>
      </c>
      <c r="H193" s="11" t="n">
        <v>59.95</v>
      </c>
      <c r="I193" s="12" t="n">
        <f aca="false">ROUND(H193*F193/E193,0)</f>
        <v>120</v>
      </c>
      <c r="J193" s="21" t="n">
        <f aca="false">IFERROR(1-H193/I193,"")</f>
        <v>0.500416666666667</v>
      </c>
      <c r="K193" s="11" t="n">
        <f aca="false">H193-E193</f>
        <v>10</v>
      </c>
      <c r="L193" s="22" t="n">
        <f aca="false">IFERROR(H193/E193-1,"")</f>
        <v>0.2002002002002</v>
      </c>
      <c r="M193" s="23" t="n">
        <v>63</v>
      </c>
      <c r="N193" s="10"/>
    </row>
    <row r="194" customFormat="false" ht="15" hidden="false" customHeight="false" outlineLevel="0" collapsed="false">
      <c r="A194" s="14" t="s">
        <v>450</v>
      </c>
      <c r="B194" s="14" t="s">
        <v>451</v>
      </c>
      <c r="C194" s="14" t="s">
        <v>28</v>
      </c>
      <c r="D194" s="14" t="s">
        <v>16</v>
      </c>
      <c r="E194" s="15" t="n">
        <v>34.95</v>
      </c>
      <c r="F194" s="15" t="n">
        <v>70</v>
      </c>
      <c r="G194" s="17" t="n">
        <f aca="false">IFERROR(1-E194/F194,"")</f>
        <v>0.500714285714286</v>
      </c>
      <c r="H194" s="15" t="n">
        <v>59.95</v>
      </c>
      <c r="I194" s="18" t="n">
        <f aca="false">ROUND(H194*F194/E194,0)</f>
        <v>120</v>
      </c>
      <c r="J194" s="17" t="n">
        <f aca="false">IFERROR(1-H194/I194,"")</f>
        <v>0.500416666666667</v>
      </c>
      <c r="K194" s="15" t="n">
        <f aca="false">H194-E194</f>
        <v>25</v>
      </c>
      <c r="L194" s="19" t="n">
        <f aca="false">IFERROR(H194/E194-1,"")</f>
        <v>0.715307582260372</v>
      </c>
      <c r="M194" s="20" t="n">
        <v>25</v>
      </c>
      <c r="N194" s="14"/>
    </row>
    <row r="195" customFormat="false" ht="15" hidden="false" customHeight="false" outlineLevel="0" collapsed="false">
      <c r="A195" s="10" t="s">
        <v>452</v>
      </c>
      <c r="B195" s="10" t="s">
        <v>453</v>
      </c>
      <c r="C195" s="10" t="s">
        <v>28</v>
      </c>
      <c r="D195" s="10" t="s">
        <v>16</v>
      </c>
      <c r="E195" s="11" t="n">
        <v>34.95</v>
      </c>
      <c r="F195" s="11" t="n">
        <v>70</v>
      </c>
      <c r="G195" s="21" t="n">
        <f aca="false">IFERROR(1-E195/F195,"")</f>
        <v>0.500714285714286</v>
      </c>
      <c r="H195" s="11" t="n">
        <v>59.95</v>
      </c>
      <c r="I195" s="12" t="n">
        <f aca="false">ROUND(H195*F195/E195,0)</f>
        <v>120</v>
      </c>
      <c r="J195" s="21" t="n">
        <f aca="false">IFERROR(1-H195/I195,"")</f>
        <v>0.500416666666667</v>
      </c>
      <c r="K195" s="11" t="n">
        <f aca="false">H195-E195</f>
        <v>25</v>
      </c>
      <c r="L195" s="22" t="n">
        <f aca="false">IFERROR(H195/E195-1,"")</f>
        <v>0.715307582260372</v>
      </c>
      <c r="M195" s="23" t="n">
        <v>65</v>
      </c>
      <c r="N195" s="10"/>
    </row>
    <row r="196" customFormat="false" ht="15" hidden="false" customHeight="false" outlineLevel="0" collapsed="false">
      <c r="A196" s="14" t="s">
        <v>454</v>
      </c>
      <c r="B196" s="14" t="s">
        <v>455</v>
      </c>
      <c r="C196" s="14" t="s">
        <v>28</v>
      </c>
      <c r="D196" s="14" t="s">
        <v>16</v>
      </c>
      <c r="E196" s="15" t="n">
        <v>36.95</v>
      </c>
      <c r="F196" s="15" t="n">
        <v>74</v>
      </c>
      <c r="G196" s="17" t="n">
        <f aca="false">IFERROR(1-E196/F196,"")</f>
        <v>0.500675675675676</v>
      </c>
      <c r="H196" s="15" t="n">
        <v>59.95</v>
      </c>
      <c r="I196" s="18" t="n">
        <f aca="false">ROUND(H196*F196/E196,0)</f>
        <v>120</v>
      </c>
      <c r="J196" s="17" t="n">
        <f aca="false">IFERROR(1-H196/I196,"")</f>
        <v>0.500416666666667</v>
      </c>
      <c r="K196" s="15" t="n">
        <f aca="false">H196-E196</f>
        <v>23</v>
      </c>
      <c r="L196" s="19" t="n">
        <f aca="false">IFERROR(H196/E196-1,"")</f>
        <v>0.622462787550744</v>
      </c>
      <c r="M196" s="20" t="n">
        <v>12</v>
      </c>
      <c r="N196" s="14"/>
    </row>
    <row r="197" customFormat="false" ht="15" hidden="false" customHeight="false" outlineLevel="0" collapsed="false">
      <c r="A197" s="10" t="s">
        <v>456</v>
      </c>
      <c r="B197" s="10" t="s">
        <v>457</v>
      </c>
      <c r="C197" s="10" t="s">
        <v>28</v>
      </c>
      <c r="D197" s="10" t="s">
        <v>16</v>
      </c>
      <c r="E197" s="11" t="n">
        <v>39.95</v>
      </c>
      <c r="F197" s="11" t="n">
        <v>80</v>
      </c>
      <c r="G197" s="21" t="n">
        <f aca="false">IFERROR(1-E197/F197,"")</f>
        <v>0.500625</v>
      </c>
      <c r="H197" s="11" t="n">
        <v>59.95</v>
      </c>
      <c r="I197" s="12" t="n">
        <f aca="false">ROUND(H197*F197/E197,0)</f>
        <v>120</v>
      </c>
      <c r="J197" s="21" t="n">
        <f aca="false">IFERROR(1-H197/I197,"")</f>
        <v>0.500416666666667</v>
      </c>
      <c r="K197" s="11" t="n">
        <f aca="false">H197-E197</f>
        <v>20</v>
      </c>
      <c r="L197" s="22" t="n">
        <f aca="false">IFERROR(H197/E197-1,"")</f>
        <v>0.500625782227785</v>
      </c>
      <c r="M197" s="23" t="n">
        <v>6</v>
      </c>
      <c r="N197" s="10"/>
    </row>
    <row r="198" customFormat="false" ht="15" hidden="false" customHeight="false" outlineLevel="0" collapsed="false">
      <c r="A198" s="14" t="s">
        <v>458</v>
      </c>
      <c r="B198" s="14" t="s">
        <v>459</v>
      </c>
      <c r="C198" s="14" t="s">
        <v>28</v>
      </c>
      <c r="D198" s="14" t="s">
        <v>16</v>
      </c>
      <c r="E198" s="15" t="n">
        <v>39.95</v>
      </c>
      <c r="F198" s="15" t="n">
        <v>80</v>
      </c>
      <c r="G198" s="17" t="n">
        <f aca="false">IFERROR(1-E198/F198,"")</f>
        <v>0.500625</v>
      </c>
      <c r="H198" s="15" t="n">
        <v>59.95</v>
      </c>
      <c r="I198" s="18" t="n">
        <f aca="false">ROUND(H198*F198/E198,0)</f>
        <v>120</v>
      </c>
      <c r="J198" s="17" t="n">
        <f aca="false">IFERROR(1-H198/I198,"")</f>
        <v>0.500416666666667</v>
      </c>
      <c r="K198" s="15" t="n">
        <f aca="false">H198-E198</f>
        <v>20</v>
      </c>
      <c r="L198" s="19" t="n">
        <f aca="false">IFERROR(H198/E198-1,"")</f>
        <v>0.500625782227785</v>
      </c>
      <c r="M198" s="20" t="n">
        <v>40</v>
      </c>
      <c r="N198" s="14"/>
    </row>
    <row r="199" customFormat="false" ht="15" hidden="false" customHeight="false" outlineLevel="0" collapsed="false">
      <c r="A199" s="10" t="s">
        <v>460</v>
      </c>
      <c r="B199" s="10" t="s">
        <v>461</v>
      </c>
      <c r="C199" s="10" t="s">
        <v>28</v>
      </c>
      <c r="D199" s="10" t="s">
        <v>16</v>
      </c>
      <c r="E199" s="11" t="n">
        <v>40.95</v>
      </c>
      <c r="F199" s="11" t="n">
        <v>82</v>
      </c>
      <c r="G199" s="21" t="n">
        <f aca="false">IFERROR(1-E199/F199,"")</f>
        <v>0.500609756097561</v>
      </c>
      <c r="H199" s="11" t="n">
        <v>59.95</v>
      </c>
      <c r="I199" s="12" t="n">
        <f aca="false">ROUND(H199*F199/E199,0)</f>
        <v>120</v>
      </c>
      <c r="J199" s="21" t="n">
        <f aca="false">IFERROR(1-H199/I199,"")</f>
        <v>0.500416666666667</v>
      </c>
      <c r="K199" s="11" t="n">
        <f aca="false">H199-E199</f>
        <v>19</v>
      </c>
      <c r="L199" s="22" t="n">
        <f aca="false">IFERROR(H199/E199-1,"")</f>
        <v>0.463980463980464</v>
      </c>
      <c r="M199" s="23" t="n">
        <v>20</v>
      </c>
      <c r="N199" s="10"/>
    </row>
    <row r="200" customFormat="false" ht="15" hidden="false" customHeight="false" outlineLevel="0" collapsed="false">
      <c r="A200" s="14" t="s">
        <v>462</v>
      </c>
      <c r="B200" s="14" t="s">
        <v>463</v>
      </c>
      <c r="C200" s="14" t="s">
        <v>28</v>
      </c>
      <c r="D200" s="14" t="s">
        <v>16</v>
      </c>
      <c r="E200" s="15" t="n">
        <v>40.95</v>
      </c>
      <c r="F200" s="15" t="n">
        <v>82</v>
      </c>
      <c r="G200" s="17" t="n">
        <f aca="false">IFERROR(1-E200/F200,"")</f>
        <v>0.500609756097561</v>
      </c>
      <c r="H200" s="15" t="n">
        <v>59.95</v>
      </c>
      <c r="I200" s="18" t="n">
        <f aca="false">ROUND(H200*F200/E200,0)</f>
        <v>120</v>
      </c>
      <c r="J200" s="17" t="n">
        <f aca="false">IFERROR(1-H200/I200,"")</f>
        <v>0.500416666666667</v>
      </c>
      <c r="K200" s="15" t="n">
        <f aca="false">H200-E200</f>
        <v>19</v>
      </c>
      <c r="L200" s="19" t="n">
        <f aca="false">IFERROR(H200/E200-1,"")</f>
        <v>0.463980463980464</v>
      </c>
      <c r="M200" s="20" t="n">
        <v>21</v>
      </c>
      <c r="N200" s="14"/>
    </row>
    <row r="201" customFormat="false" ht="15" hidden="false" customHeight="false" outlineLevel="0" collapsed="false">
      <c r="A201" s="10" t="s">
        <v>464</v>
      </c>
      <c r="B201" s="10" t="s">
        <v>465</v>
      </c>
      <c r="C201" s="10" t="s">
        <v>28</v>
      </c>
      <c r="D201" s="10" t="s">
        <v>16</v>
      </c>
      <c r="E201" s="11" t="n">
        <v>42.95</v>
      </c>
      <c r="F201" s="11" t="n">
        <v>86</v>
      </c>
      <c r="G201" s="21" t="n">
        <f aca="false">IFERROR(1-E201/F201,"")</f>
        <v>0.500581395348837</v>
      </c>
      <c r="H201" s="11" t="n">
        <v>59.95</v>
      </c>
      <c r="I201" s="12" t="n">
        <f aca="false">ROUND(H201*F201/E201,0)</f>
        <v>120</v>
      </c>
      <c r="J201" s="21" t="n">
        <f aca="false">IFERROR(1-H201/I201,"")</f>
        <v>0.500416666666667</v>
      </c>
      <c r="K201" s="11" t="n">
        <f aca="false">H201-E201</f>
        <v>17</v>
      </c>
      <c r="L201" s="22" t="n">
        <f aca="false">IFERROR(H201/E201-1,"")</f>
        <v>0.39580908032596</v>
      </c>
      <c r="M201" s="23" t="n">
        <v>35</v>
      </c>
      <c r="N201" s="10"/>
    </row>
    <row r="202" customFormat="false" ht="15" hidden="false" customHeight="false" outlineLevel="0" collapsed="false">
      <c r="A202" s="14" t="s">
        <v>466</v>
      </c>
      <c r="B202" s="14" t="s">
        <v>467</v>
      </c>
      <c r="C202" s="14" t="s">
        <v>28</v>
      </c>
      <c r="D202" s="14" t="s">
        <v>16</v>
      </c>
      <c r="E202" s="15" t="n">
        <v>42.95</v>
      </c>
      <c r="F202" s="15" t="n">
        <v>86</v>
      </c>
      <c r="G202" s="17" t="n">
        <f aca="false">IFERROR(1-E202/F202,"")</f>
        <v>0.500581395348837</v>
      </c>
      <c r="H202" s="15" t="n">
        <v>59.95</v>
      </c>
      <c r="I202" s="18" t="n">
        <f aca="false">ROUND(H202*F202/E202,0)</f>
        <v>120</v>
      </c>
      <c r="J202" s="17" t="n">
        <f aca="false">IFERROR(1-H202/I202,"")</f>
        <v>0.500416666666667</v>
      </c>
      <c r="K202" s="15" t="n">
        <f aca="false">H202-E202</f>
        <v>17</v>
      </c>
      <c r="L202" s="19" t="n">
        <f aca="false">IFERROR(H202/E202-1,"")</f>
        <v>0.39580908032596</v>
      </c>
      <c r="M202" s="20" t="n">
        <v>8</v>
      </c>
      <c r="N202" s="14"/>
    </row>
    <row r="203" customFormat="false" ht="15" hidden="false" customHeight="false" outlineLevel="0" collapsed="false">
      <c r="A203" s="10" t="s">
        <v>468</v>
      </c>
      <c r="B203" s="10" t="s">
        <v>469</v>
      </c>
      <c r="C203" s="10" t="s">
        <v>28</v>
      </c>
      <c r="D203" s="10" t="s">
        <v>16</v>
      </c>
      <c r="E203" s="11" t="n">
        <v>44.95</v>
      </c>
      <c r="F203" s="11" t="n">
        <v>90</v>
      </c>
      <c r="G203" s="21" t="n">
        <f aca="false">IFERROR(1-E203/F203,"")</f>
        <v>0.500555555555556</v>
      </c>
      <c r="H203" s="11" t="n">
        <v>59.95</v>
      </c>
      <c r="I203" s="12" t="n">
        <f aca="false">ROUND(H203*F203/E203,0)</f>
        <v>120</v>
      </c>
      <c r="J203" s="21" t="n">
        <f aca="false">IFERROR(1-H203/I203,"")</f>
        <v>0.500416666666667</v>
      </c>
      <c r="K203" s="11" t="n">
        <f aca="false">H203-E203</f>
        <v>15</v>
      </c>
      <c r="L203" s="22" t="n">
        <f aca="false">IFERROR(H203/E203-1,"")</f>
        <v>0.333704115684093</v>
      </c>
      <c r="M203" s="23" t="n">
        <v>30</v>
      </c>
      <c r="N203" s="10"/>
    </row>
    <row r="204" customFormat="false" ht="15" hidden="false" customHeight="false" outlineLevel="0" collapsed="false">
      <c r="A204" s="14" t="s">
        <v>470</v>
      </c>
      <c r="B204" s="14" t="s">
        <v>471</v>
      </c>
      <c r="C204" s="14" t="s">
        <v>28</v>
      </c>
      <c r="D204" s="14" t="s">
        <v>16</v>
      </c>
      <c r="E204" s="15" t="n">
        <v>49.95</v>
      </c>
      <c r="F204" s="15" t="n">
        <v>100</v>
      </c>
      <c r="G204" s="17" t="n">
        <f aca="false">IFERROR(1-E204/F204,"")</f>
        <v>0.5005</v>
      </c>
      <c r="H204" s="15" t="n">
        <v>59.95</v>
      </c>
      <c r="I204" s="18" t="n">
        <f aca="false">ROUND(H204*F204/E204,0)</f>
        <v>120</v>
      </c>
      <c r="J204" s="17" t="n">
        <f aca="false">IFERROR(1-H204/I204,"")</f>
        <v>0.500416666666667</v>
      </c>
      <c r="K204" s="15" t="n">
        <f aca="false">H204-E204</f>
        <v>10</v>
      </c>
      <c r="L204" s="19" t="n">
        <f aca="false">IFERROR(H204/E204-1,"")</f>
        <v>0.2002002002002</v>
      </c>
      <c r="M204" s="20" t="n">
        <v>25</v>
      </c>
      <c r="N204" s="14"/>
    </row>
    <row r="205" customFormat="false" ht="15" hidden="false" customHeight="false" outlineLevel="0" collapsed="false">
      <c r="A205" s="10" t="s">
        <v>472</v>
      </c>
      <c r="B205" s="10" t="s">
        <v>473</v>
      </c>
      <c r="C205" s="10" t="s">
        <v>28</v>
      </c>
      <c r="D205" s="10" t="s">
        <v>16</v>
      </c>
      <c r="E205" s="11" t="n">
        <v>49.95</v>
      </c>
      <c r="F205" s="11" t="n">
        <v>100</v>
      </c>
      <c r="G205" s="21" t="n">
        <f aca="false">IFERROR(1-E205/F205,"")</f>
        <v>0.5005</v>
      </c>
      <c r="H205" s="11" t="n">
        <v>59.95</v>
      </c>
      <c r="I205" s="12" t="n">
        <f aca="false">ROUND(H205*F205/E205,0)</f>
        <v>120</v>
      </c>
      <c r="J205" s="21" t="n">
        <f aca="false">IFERROR(1-H205/I205,"")</f>
        <v>0.500416666666667</v>
      </c>
      <c r="K205" s="11" t="n">
        <f aca="false">H205-E205</f>
        <v>10</v>
      </c>
      <c r="L205" s="22" t="n">
        <f aca="false">IFERROR(H205/E205-1,"")</f>
        <v>0.2002002002002</v>
      </c>
      <c r="M205" s="23" t="n">
        <v>12</v>
      </c>
      <c r="N205" s="10"/>
    </row>
    <row r="206" customFormat="false" ht="15" hidden="false" customHeight="false" outlineLevel="0" collapsed="false">
      <c r="A206" s="14" t="s">
        <v>474</v>
      </c>
      <c r="B206" s="14" t="s">
        <v>475</v>
      </c>
      <c r="C206" s="14" t="s">
        <v>28</v>
      </c>
      <c r="D206" s="14" t="s">
        <v>16</v>
      </c>
      <c r="E206" s="15" t="n">
        <v>49.95</v>
      </c>
      <c r="F206" s="15" t="n">
        <v>100</v>
      </c>
      <c r="G206" s="17" t="n">
        <f aca="false">IFERROR(1-E206/F206,"")</f>
        <v>0.5005</v>
      </c>
      <c r="H206" s="15" t="n">
        <v>59.95</v>
      </c>
      <c r="I206" s="18" t="n">
        <f aca="false">ROUND(H206*F206/E206,0)</f>
        <v>120</v>
      </c>
      <c r="J206" s="17" t="n">
        <f aca="false">IFERROR(1-H206/I206,"")</f>
        <v>0.500416666666667</v>
      </c>
      <c r="K206" s="15" t="n">
        <f aca="false">H206-E206</f>
        <v>10</v>
      </c>
      <c r="L206" s="19" t="n">
        <f aca="false">IFERROR(H206/E206-1,"")</f>
        <v>0.2002002002002</v>
      </c>
      <c r="M206" s="20" t="n">
        <v>45</v>
      </c>
      <c r="N206" s="14"/>
    </row>
    <row r="207" customFormat="false" ht="15" hidden="false" customHeight="false" outlineLevel="0" collapsed="false">
      <c r="A207" s="10" t="s">
        <v>476</v>
      </c>
      <c r="B207" s="10" t="s">
        <v>477</v>
      </c>
      <c r="C207" s="10" t="s">
        <v>28</v>
      </c>
      <c r="D207" s="10" t="s">
        <v>16</v>
      </c>
      <c r="E207" s="11" t="n">
        <v>49.95</v>
      </c>
      <c r="F207" s="11" t="n">
        <v>100</v>
      </c>
      <c r="G207" s="21" t="n">
        <f aca="false">IFERROR(1-E207/F207,"")</f>
        <v>0.5005</v>
      </c>
      <c r="H207" s="11" t="n">
        <v>59.95</v>
      </c>
      <c r="I207" s="12" t="n">
        <f aca="false">ROUND(H207*F207/E207,0)</f>
        <v>120</v>
      </c>
      <c r="J207" s="21" t="n">
        <f aca="false">IFERROR(1-H207/I207,"")</f>
        <v>0.500416666666667</v>
      </c>
      <c r="K207" s="11" t="n">
        <f aca="false">H207-E207</f>
        <v>10</v>
      </c>
      <c r="L207" s="22" t="n">
        <f aca="false">IFERROR(H207/E207-1,"")</f>
        <v>0.2002002002002</v>
      </c>
      <c r="M207" s="23" t="n">
        <v>35</v>
      </c>
      <c r="N207" s="10"/>
    </row>
    <row r="208" customFormat="false" ht="15" hidden="false" customHeight="false" outlineLevel="0" collapsed="false">
      <c r="A208" s="14" t="s">
        <v>478</v>
      </c>
      <c r="B208" s="14" t="s">
        <v>479</v>
      </c>
      <c r="C208" s="14" t="s">
        <v>28</v>
      </c>
      <c r="D208" s="14" t="s">
        <v>16</v>
      </c>
      <c r="E208" s="15" t="n">
        <v>49.95</v>
      </c>
      <c r="F208" s="15" t="n">
        <v>100</v>
      </c>
      <c r="G208" s="17" t="n">
        <f aca="false">IFERROR(1-E208/F208,"")</f>
        <v>0.5005</v>
      </c>
      <c r="H208" s="15" t="n">
        <v>59.95</v>
      </c>
      <c r="I208" s="18" t="n">
        <f aca="false">ROUND(H208*F208/E208,0)</f>
        <v>120</v>
      </c>
      <c r="J208" s="17" t="n">
        <f aca="false">IFERROR(1-H208/I208,"")</f>
        <v>0.500416666666667</v>
      </c>
      <c r="K208" s="15" t="n">
        <f aca="false">H208-E208</f>
        <v>10</v>
      </c>
      <c r="L208" s="19" t="n">
        <f aca="false">IFERROR(H208/E208-1,"")</f>
        <v>0.2002002002002</v>
      </c>
      <c r="M208" s="20" t="n">
        <v>42</v>
      </c>
      <c r="N208" s="14"/>
    </row>
    <row r="209" customFormat="false" ht="15" hidden="false" customHeight="false" outlineLevel="0" collapsed="false">
      <c r="A209" s="10" t="s">
        <v>480</v>
      </c>
      <c r="B209" s="10" t="s">
        <v>481</v>
      </c>
      <c r="C209" s="10" t="s">
        <v>28</v>
      </c>
      <c r="D209" s="10" t="s">
        <v>16</v>
      </c>
      <c r="E209" s="11" t="n">
        <v>49.95</v>
      </c>
      <c r="F209" s="11" t="n">
        <v>100</v>
      </c>
      <c r="G209" s="21" t="n">
        <f aca="false">IFERROR(1-E209/F209,"")</f>
        <v>0.5005</v>
      </c>
      <c r="H209" s="11" t="n">
        <v>59.95</v>
      </c>
      <c r="I209" s="12" t="n">
        <f aca="false">ROUND(H209*F209/E209,0)</f>
        <v>120</v>
      </c>
      <c r="J209" s="21" t="n">
        <f aca="false">IFERROR(1-H209/I209,"")</f>
        <v>0.500416666666667</v>
      </c>
      <c r="K209" s="11" t="n">
        <f aca="false">H209-E209</f>
        <v>10</v>
      </c>
      <c r="L209" s="22" t="n">
        <f aca="false">IFERROR(H209/E209-1,"")</f>
        <v>0.2002002002002</v>
      </c>
      <c r="M209" s="23" t="n">
        <v>60</v>
      </c>
      <c r="N209" s="10"/>
    </row>
    <row r="210" customFormat="false" ht="15" hidden="false" customHeight="false" outlineLevel="0" collapsed="false">
      <c r="A210" s="14" t="s">
        <v>482</v>
      </c>
      <c r="B210" s="14" t="s">
        <v>483</v>
      </c>
      <c r="C210" s="14" t="s">
        <v>30</v>
      </c>
      <c r="D210" s="14" t="s">
        <v>16</v>
      </c>
      <c r="E210" s="15" t="n">
        <v>34.95</v>
      </c>
      <c r="F210" s="15" t="n">
        <v>70</v>
      </c>
      <c r="G210" s="17" t="n">
        <f aca="false">IFERROR(1-E210/F210,"")</f>
        <v>0.500714285714286</v>
      </c>
      <c r="H210" s="15" t="n">
        <v>59.95</v>
      </c>
      <c r="I210" s="18" t="n">
        <f aca="false">ROUND(H210*F210/E210,0)</f>
        <v>120</v>
      </c>
      <c r="J210" s="17" t="n">
        <f aca="false">IFERROR(1-H210/I210,"")</f>
        <v>0.500416666666667</v>
      </c>
      <c r="K210" s="15" t="n">
        <f aca="false">H210-E210</f>
        <v>25</v>
      </c>
      <c r="L210" s="19" t="n">
        <f aca="false">IFERROR(H210/E210-1,"")</f>
        <v>0.715307582260372</v>
      </c>
      <c r="M210" s="20" t="n">
        <v>24</v>
      </c>
      <c r="N210" s="14"/>
    </row>
    <row r="211" customFormat="false" ht="15" hidden="false" customHeight="false" outlineLevel="0" collapsed="false">
      <c r="A211" s="10" t="s">
        <v>484</v>
      </c>
      <c r="B211" s="10" t="s">
        <v>485</v>
      </c>
      <c r="C211" s="10" t="s">
        <v>30</v>
      </c>
      <c r="D211" s="10" t="s">
        <v>16</v>
      </c>
      <c r="E211" s="11" t="n">
        <v>40.95</v>
      </c>
      <c r="F211" s="11" t="n">
        <v>82</v>
      </c>
      <c r="G211" s="21" t="n">
        <f aca="false">IFERROR(1-E211/F211,"")</f>
        <v>0.500609756097561</v>
      </c>
      <c r="H211" s="11" t="n">
        <v>59.95</v>
      </c>
      <c r="I211" s="12" t="n">
        <f aca="false">ROUND(H211*F211/E211,0)</f>
        <v>120</v>
      </c>
      <c r="J211" s="21" t="n">
        <f aca="false">IFERROR(1-H211/I211,"")</f>
        <v>0.500416666666667</v>
      </c>
      <c r="K211" s="11" t="n">
        <f aca="false">H211-E211</f>
        <v>19</v>
      </c>
      <c r="L211" s="22" t="n">
        <f aca="false">IFERROR(H211/E211-1,"")</f>
        <v>0.463980463980464</v>
      </c>
      <c r="M211" s="23" t="n">
        <v>15</v>
      </c>
      <c r="N211" s="10"/>
    </row>
    <row r="212" customFormat="false" ht="15" hidden="false" customHeight="false" outlineLevel="0" collapsed="false">
      <c r="A212" s="14" t="s">
        <v>486</v>
      </c>
      <c r="B212" s="14" t="s">
        <v>487</v>
      </c>
      <c r="C212" s="14" t="s">
        <v>30</v>
      </c>
      <c r="D212" s="14" t="s">
        <v>16</v>
      </c>
      <c r="E212" s="15" t="n">
        <v>41.95</v>
      </c>
      <c r="F212" s="15" t="n">
        <v>84</v>
      </c>
      <c r="G212" s="17" t="n">
        <f aca="false">IFERROR(1-E212/F212,"")</f>
        <v>0.500595238095238</v>
      </c>
      <c r="H212" s="15" t="n">
        <v>59.95</v>
      </c>
      <c r="I212" s="18" t="n">
        <f aca="false">ROUND(H212*F212/E212,0)</f>
        <v>120</v>
      </c>
      <c r="J212" s="17" t="n">
        <f aca="false">IFERROR(1-H212/I212,"")</f>
        <v>0.500416666666667</v>
      </c>
      <c r="K212" s="15" t="n">
        <f aca="false">H212-E212</f>
        <v>18</v>
      </c>
      <c r="L212" s="19" t="n">
        <f aca="false">IFERROR(H212/E212-1,"")</f>
        <v>0.429082240762813</v>
      </c>
      <c r="M212" s="20" t="n">
        <v>48</v>
      </c>
      <c r="N212" s="14"/>
    </row>
    <row r="213" customFormat="false" ht="15" hidden="false" customHeight="false" outlineLevel="0" collapsed="false">
      <c r="A213" s="10" t="s">
        <v>488</v>
      </c>
      <c r="B213" s="10" t="s">
        <v>489</v>
      </c>
      <c r="C213" s="10" t="s">
        <v>30</v>
      </c>
      <c r="D213" s="10" t="s">
        <v>16</v>
      </c>
      <c r="E213" s="11" t="n">
        <v>42.95</v>
      </c>
      <c r="F213" s="11" t="n">
        <v>86</v>
      </c>
      <c r="G213" s="21" t="n">
        <f aca="false">IFERROR(1-E213/F213,"")</f>
        <v>0.500581395348837</v>
      </c>
      <c r="H213" s="11" t="n">
        <v>59.95</v>
      </c>
      <c r="I213" s="12" t="n">
        <f aca="false">ROUND(H213*F213/E213,0)</f>
        <v>120</v>
      </c>
      <c r="J213" s="21" t="n">
        <f aca="false">IFERROR(1-H213/I213,"")</f>
        <v>0.500416666666667</v>
      </c>
      <c r="K213" s="11" t="n">
        <f aca="false">H213-E213</f>
        <v>17</v>
      </c>
      <c r="L213" s="22" t="n">
        <f aca="false">IFERROR(H213/E213-1,"")</f>
        <v>0.39580908032596</v>
      </c>
      <c r="M213" s="23" t="n">
        <v>20</v>
      </c>
      <c r="N213" s="10"/>
    </row>
    <row r="214" customFormat="false" ht="15" hidden="false" customHeight="false" outlineLevel="0" collapsed="false">
      <c r="A214" s="14" t="s">
        <v>490</v>
      </c>
      <c r="B214" s="14" t="s">
        <v>491</v>
      </c>
      <c r="C214" s="14" t="s">
        <v>30</v>
      </c>
      <c r="D214" s="14" t="s">
        <v>16</v>
      </c>
      <c r="E214" s="15" t="n">
        <v>44.95</v>
      </c>
      <c r="F214" s="15" t="n">
        <v>90</v>
      </c>
      <c r="G214" s="17" t="n">
        <f aca="false">IFERROR(1-E214/F214,"")</f>
        <v>0.500555555555556</v>
      </c>
      <c r="H214" s="15" t="n">
        <v>59.95</v>
      </c>
      <c r="I214" s="18" t="n">
        <f aca="false">ROUND(H214*F214/E214,0)</f>
        <v>120</v>
      </c>
      <c r="J214" s="17" t="n">
        <f aca="false">IFERROR(1-H214/I214,"")</f>
        <v>0.500416666666667</v>
      </c>
      <c r="K214" s="15" t="n">
        <f aca="false">H214-E214</f>
        <v>15</v>
      </c>
      <c r="L214" s="19" t="n">
        <f aca="false">IFERROR(H214/E214-1,"")</f>
        <v>0.333704115684093</v>
      </c>
      <c r="M214" s="20" t="n">
        <v>5</v>
      </c>
      <c r="N214" s="14"/>
    </row>
    <row r="215" customFormat="false" ht="15" hidden="false" customHeight="false" outlineLevel="0" collapsed="false">
      <c r="A215" s="10" t="s">
        <v>492</v>
      </c>
      <c r="B215" s="10" t="s">
        <v>493</v>
      </c>
      <c r="C215" s="10" t="s">
        <v>30</v>
      </c>
      <c r="D215" s="10" t="s">
        <v>16</v>
      </c>
      <c r="E215" s="11" t="n">
        <v>48.95</v>
      </c>
      <c r="F215" s="11" t="n">
        <v>98</v>
      </c>
      <c r="G215" s="21" t="n">
        <f aca="false">IFERROR(1-E215/F215,"")</f>
        <v>0.500510204081633</v>
      </c>
      <c r="H215" s="11" t="n">
        <v>59.95</v>
      </c>
      <c r="I215" s="12" t="n">
        <f aca="false">ROUND(H215*F215/E215,0)</f>
        <v>120</v>
      </c>
      <c r="J215" s="21" t="n">
        <f aca="false">IFERROR(1-H215/I215,"")</f>
        <v>0.500416666666667</v>
      </c>
      <c r="K215" s="11" t="n">
        <f aca="false">H215-E215</f>
        <v>11</v>
      </c>
      <c r="L215" s="22" t="n">
        <f aca="false">IFERROR(H215/E215-1,"")</f>
        <v>0.224719101123595</v>
      </c>
      <c r="M215" s="23" t="n">
        <v>6</v>
      </c>
      <c r="N215" s="10"/>
    </row>
    <row r="216" customFormat="false" ht="15" hidden="false" customHeight="false" outlineLevel="0" collapsed="false">
      <c r="A216" s="14" t="s">
        <v>494</v>
      </c>
      <c r="B216" s="14" t="s">
        <v>495</v>
      </c>
      <c r="C216" s="14" t="s">
        <v>30</v>
      </c>
      <c r="D216" s="14" t="s">
        <v>16</v>
      </c>
      <c r="E216" s="15" t="n">
        <v>49.95</v>
      </c>
      <c r="F216" s="15" t="n">
        <v>100</v>
      </c>
      <c r="G216" s="17" t="n">
        <f aca="false">IFERROR(1-E216/F216,"")</f>
        <v>0.5005</v>
      </c>
      <c r="H216" s="15" t="n">
        <v>59.95</v>
      </c>
      <c r="I216" s="18" t="n">
        <f aca="false">ROUND(H216*F216/E216,0)</f>
        <v>120</v>
      </c>
      <c r="J216" s="17" t="n">
        <f aca="false">IFERROR(1-H216/I216,"")</f>
        <v>0.500416666666667</v>
      </c>
      <c r="K216" s="15" t="n">
        <f aca="false">H216-E216</f>
        <v>10</v>
      </c>
      <c r="L216" s="19" t="n">
        <f aca="false">IFERROR(H216/E216-1,"")</f>
        <v>0.2002002002002</v>
      </c>
      <c r="M216" s="20" t="n">
        <v>10</v>
      </c>
      <c r="N216" s="14"/>
    </row>
    <row r="217" customFormat="false" ht="15" hidden="false" customHeight="false" outlineLevel="0" collapsed="false">
      <c r="A217" s="10" t="s">
        <v>496</v>
      </c>
      <c r="B217" s="10" t="s">
        <v>497</v>
      </c>
      <c r="C217" s="10" t="s">
        <v>30</v>
      </c>
      <c r="D217" s="10" t="s">
        <v>16</v>
      </c>
      <c r="E217" s="11" t="n">
        <v>49.95</v>
      </c>
      <c r="F217" s="11" t="n">
        <v>100</v>
      </c>
      <c r="G217" s="21" t="n">
        <f aca="false">IFERROR(1-E217/F217,"")</f>
        <v>0.5005</v>
      </c>
      <c r="H217" s="11" t="n">
        <v>59.95</v>
      </c>
      <c r="I217" s="12" t="n">
        <f aca="false">ROUND(H217*F217/E217,0)</f>
        <v>120</v>
      </c>
      <c r="J217" s="21" t="n">
        <f aca="false">IFERROR(1-H217/I217,"")</f>
        <v>0.500416666666667</v>
      </c>
      <c r="K217" s="11" t="n">
        <f aca="false">H217-E217</f>
        <v>10</v>
      </c>
      <c r="L217" s="22" t="n">
        <f aca="false">IFERROR(H217/E217-1,"")</f>
        <v>0.2002002002002</v>
      </c>
      <c r="M217" s="23" t="n">
        <v>8</v>
      </c>
      <c r="N217" s="10"/>
    </row>
    <row r="218" customFormat="false" ht="15" hidden="false" customHeight="false" outlineLevel="0" collapsed="false">
      <c r="A218" s="14" t="s">
        <v>498</v>
      </c>
      <c r="B218" s="14" t="s">
        <v>499</v>
      </c>
      <c r="C218" s="14" t="s">
        <v>30</v>
      </c>
      <c r="D218" s="14" t="s">
        <v>16</v>
      </c>
      <c r="E218" s="15" t="n">
        <v>49.95</v>
      </c>
      <c r="F218" s="15" t="n">
        <v>100</v>
      </c>
      <c r="G218" s="17" t="n">
        <f aca="false">IFERROR(1-E218/F218,"")</f>
        <v>0.5005</v>
      </c>
      <c r="H218" s="15" t="n">
        <v>59.95</v>
      </c>
      <c r="I218" s="18" t="n">
        <f aca="false">ROUND(H218*F218/E218,0)</f>
        <v>120</v>
      </c>
      <c r="J218" s="17" t="n">
        <f aca="false">IFERROR(1-H218/I218,"")</f>
        <v>0.500416666666667</v>
      </c>
      <c r="K218" s="15" t="n">
        <f aca="false">H218-E218</f>
        <v>10</v>
      </c>
      <c r="L218" s="19" t="n">
        <f aca="false">IFERROR(H218/E218-1,"")</f>
        <v>0.2002002002002</v>
      </c>
      <c r="M218" s="20" t="n">
        <v>20</v>
      </c>
      <c r="N218" s="14"/>
    </row>
    <row r="219" customFormat="false" ht="15" hidden="false" customHeight="false" outlineLevel="0" collapsed="false">
      <c r="A219" s="10" t="s">
        <v>500</v>
      </c>
      <c r="B219" s="10" t="s">
        <v>501</v>
      </c>
      <c r="C219" s="10" t="s">
        <v>30</v>
      </c>
      <c r="D219" s="10" t="s">
        <v>16</v>
      </c>
      <c r="E219" s="11" t="n">
        <v>49.95</v>
      </c>
      <c r="F219" s="11" t="n">
        <v>100</v>
      </c>
      <c r="G219" s="21" t="n">
        <f aca="false">IFERROR(1-E219/F219,"")</f>
        <v>0.5005</v>
      </c>
      <c r="H219" s="11" t="n">
        <v>59.95</v>
      </c>
      <c r="I219" s="12" t="n">
        <f aca="false">ROUND(H219*F219/E219,0)</f>
        <v>120</v>
      </c>
      <c r="J219" s="21" t="n">
        <f aca="false">IFERROR(1-H219/I219,"")</f>
        <v>0.500416666666667</v>
      </c>
      <c r="K219" s="11" t="n">
        <f aca="false">H219-E219</f>
        <v>10</v>
      </c>
      <c r="L219" s="22" t="n">
        <f aca="false">IFERROR(H219/E219-1,"")</f>
        <v>0.2002002002002</v>
      </c>
      <c r="M219" s="23" t="n">
        <v>36</v>
      </c>
      <c r="N219" s="10"/>
    </row>
    <row r="220" customFormat="false" ht="15" hidden="false" customHeight="false" outlineLevel="0" collapsed="false">
      <c r="A220" s="14" t="s">
        <v>502</v>
      </c>
      <c r="B220" s="14" t="s">
        <v>503</v>
      </c>
      <c r="C220" s="14" t="s">
        <v>30</v>
      </c>
      <c r="D220" s="14" t="s">
        <v>16</v>
      </c>
      <c r="E220" s="15" t="n">
        <v>49.95</v>
      </c>
      <c r="F220" s="15" t="n">
        <v>100</v>
      </c>
      <c r="G220" s="17" t="n">
        <f aca="false">IFERROR(1-E220/F220,"")</f>
        <v>0.5005</v>
      </c>
      <c r="H220" s="15" t="n">
        <v>59.95</v>
      </c>
      <c r="I220" s="18" t="n">
        <f aca="false">ROUND(H220*F220/E220,0)</f>
        <v>120</v>
      </c>
      <c r="J220" s="17" t="n">
        <f aca="false">IFERROR(1-H220/I220,"")</f>
        <v>0.500416666666667</v>
      </c>
      <c r="K220" s="15" t="n">
        <f aca="false">H220-E220</f>
        <v>10</v>
      </c>
      <c r="L220" s="19" t="n">
        <f aca="false">IFERROR(H220/E220-1,"")</f>
        <v>0.2002002002002</v>
      </c>
      <c r="M220" s="20" t="n">
        <v>6</v>
      </c>
      <c r="N220" s="14"/>
    </row>
    <row r="221" customFormat="false" ht="15" hidden="false" customHeight="false" outlineLevel="0" collapsed="false">
      <c r="A221" s="10" t="s">
        <v>504</v>
      </c>
      <c r="B221" s="10" t="s">
        <v>505</v>
      </c>
      <c r="C221" s="10" t="s">
        <v>30</v>
      </c>
      <c r="D221" s="10" t="s">
        <v>16</v>
      </c>
      <c r="E221" s="11" t="n">
        <v>49.95</v>
      </c>
      <c r="F221" s="11" t="n">
        <v>100</v>
      </c>
      <c r="G221" s="21" t="n">
        <f aca="false">IFERROR(1-E221/F221,"")</f>
        <v>0.5005</v>
      </c>
      <c r="H221" s="11" t="n">
        <v>59.95</v>
      </c>
      <c r="I221" s="12" t="n">
        <f aca="false">ROUND(H221*F221/E221,0)</f>
        <v>120</v>
      </c>
      <c r="J221" s="21" t="n">
        <f aca="false">IFERROR(1-H221/I221,"")</f>
        <v>0.500416666666667</v>
      </c>
      <c r="K221" s="11" t="n">
        <f aca="false">H221-E221</f>
        <v>10</v>
      </c>
      <c r="L221" s="22" t="n">
        <f aca="false">IFERROR(H221/E221-1,"")</f>
        <v>0.2002002002002</v>
      </c>
      <c r="M221" s="23" t="n">
        <v>24</v>
      </c>
      <c r="N221" s="10"/>
    </row>
    <row r="222" customFormat="false" ht="15" hidden="false" customHeight="false" outlineLevel="0" collapsed="false">
      <c r="A222" s="14" t="s">
        <v>506</v>
      </c>
      <c r="B222" s="14" t="s">
        <v>507</v>
      </c>
      <c r="C222" s="14" t="s">
        <v>32</v>
      </c>
      <c r="D222" s="14" t="s">
        <v>16</v>
      </c>
      <c r="E222" s="15" t="n">
        <v>47.95</v>
      </c>
      <c r="F222" s="15" t="n">
        <v>96</v>
      </c>
      <c r="G222" s="17" t="n">
        <f aca="false">IFERROR(1-E222/F222,"")</f>
        <v>0.500520833333333</v>
      </c>
      <c r="H222" s="15" t="n">
        <v>59.95</v>
      </c>
      <c r="I222" s="18" t="n">
        <f aca="false">ROUND(H222*F222/E222,0)</f>
        <v>120</v>
      </c>
      <c r="J222" s="17" t="n">
        <f aca="false">IFERROR(1-H222/I222,"")</f>
        <v>0.500416666666667</v>
      </c>
      <c r="K222" s="15" t="n">
        <f aca="false">H222-E222</f>
        <v>12</v>
      </c>
      <c r="L222" s="19" t="n">
        <f aca="false">IFERROR(H222/E222-1,"")</f>
        <v>0.250260688216893</v>
      </c>
      <c r="M222" s="20" t="n">
        <v>30</v>
      </c>
      <c r="N222" s="14"/>
    </row>
    <row r="223" customFormat="false" ht="15" hidden="false" customHeight="false" outlineLevel="0" collapsed="false">
      <c r="A223" s="10" t="s">
        <v>508</v>
      </c>
      <c r="B223" s="10" t="s">
        <v>509</v>
      </c>
      <c r="C223" s="10" t="s">
        <v>36</v>
      </c>
      <c r="D223" s="10" t="s">
        <v>16</v>
      </c>
      <c r="E223" s="11" t="n">
        <v>49.95</v>
      </c>
      <c r="F223" s="11" t="n">
        <v>100</v>
      </c>
      <c r="G223" s="21" t="n">
        <f aca="false">IFERROR(1-E223/F223,"")</f>
        <v>0.5005</v>
      </c>
      <c r="H223" s="11" t="n">
        <v>59.95</v>
      </c>
      <c r="I223" s="12" t="n">
        <f aca="false">ROUND(H223*F223/E223,0)</f>
        <v>120</v>
      </c>
      <c r="J223" s="21" t="n">
        <f aca="false">IFERROR(1-H223/I223,"")</f>
        <v>0.500416666666667</v>
      </c>
      <c r="K223" s="11" t="n">
        <f aca="false">H223-E223</f>
        <v>10</v>
      </c>
      <c r="L223" s="22" t="n">
        <f aca="false">IFERROR(H223/E223-1,"")</f>
        <v>0.2002002002002</v>
      </c>
      <c r="M223" s="23" t="n">
        <v>48</v>
      </c>
      <c r="N223" s="10"/>
    </row>
    <row r="224" customFormat="false" ht="15" hidden="false" customHeight="false" outlineLevel="0" collapsed="false">
      <c r="A224" s="14" t="s">
        <v>510</v>
      </c>
      <c r="B224" s="14" t="s">
        <v>511</v>
      </c>
      <c r="C224" s="14" t="s">
        <v>37</v>
      </c>
      <c r="D224" s="14" t="s">
        <v>16</v>
      </c>
      <c r="E224" s="15" t="n">
        <v>28.95</v>
      </c>
      <c r="F224" s="15" t="n">
        <v>58</v>
      </c>
      <c r="G224" s="17" t="n">
        <f aca="false">IFERROR(1-E224/F224,"")</f>
        <v>0.500862068965517</v>
      </c>
      <c r="H224" s="15" t="n">
        <v>59.95</v>
      </c>
      <c r="I224" s="18" t="n">
        <f aca="false">ROUND(H224*F224/E224,0)</f>
        <v>120</v>
      </c>
      <c r="J224" s="17" t="n">
        <f aca="false">IFERROR(1-H224/I224,"")</f>
        <v>0.500416666666667</v>
      </c>
      <c r="K224" s="15" t="n">
        <f aca="false">H224-E224</f>
        <v>31</v>
      </c>
      <c r="L224" s="19" t="n">
        <f aca="false">IFERROR(H224/E224-1,"")</f>
        <v>1.07081174438687</v>
      </c>
      <c r="M224" s="20" t="n">
        <v>34</v>
      </c>
      <c r="N224" s="14"/>
    </row>
    <row r="225" customFormat="false" ht="15" hidden="false" customHeight="false" outlineLevel="0" collapsed="false">
      <c r="A225" s="10" t="s">
        <v>512</v>
      </c>
      <c r="B225" s="10" t="s">
        <v>513</v>
      </c>
      <c r="C225" s="10" t="s">
        <v>37</v>
      </c>
      <c r="D225" s="10" t="s">
        <v>16</v>
      </c>
      <c r="E225" s="11" t="n">
        <v>34.95</v>
      </c>
      <c r="F225" s="11" t="n">
        <v>70</v>
      </c>
      <c r="G225" s="21" t="n">
        <f aca="false">IFERROR(1-E225/F225,"")</f>
        <v>0.500714285714286</v>
      </c>
      <c r="H225" s="11" t="n">
        <v>59.95</v>
      </c>
      <c r="I225" s="12" t="n">
        <f aca="false">ROUND(H225*F225/E225,0)</f>
        <v>120</v>
      </c>
      <c r="J225" s="21" t="n">
        <f aca="false">IFERROR(1-H225/I225,"")</f>
        <v>0.500416666666667</v>
      </c>
      <c r="K225" s="11" t="n">
        <f aca="false">H225-E225</f>
        <v>25</v>
      </c>
      <c r="L225" s="22" t="n">
        <f aca="false">IFERROR(H225/E225-1,"")</f>
        <v>0.715307582260372</v>
      </c>
      <c r="M225" s="23" t="n">
        <v>68</v>
      </c>
      <c r="N225" s="10"/>
    </row>
    <row r="226" customFormat="false" ht="15" hidden="false" customHeight="false" outlineLevel="0" collapsed="false">
      <c r="A226" s="14" t="s">
        <v>514</v>
      </c>
      <c r="B226" s="14" t="s">
        <v>515</v>
      </c>
      <c r="C226" s="14" t="s">
        <v>37</v>
      </c>
      <c r="D226" s="14" t="s">
        <v>16</v>
      </c>
      <c r="E226" s="15" t="n">
        <v>35.95</v>
      </c>
      <c r="F226" s="15" t="n">
        <v>72</v>
      </c>
      <c r="G226" s="17" t="n">
        <f aca="false">IFERROR(1-E226/F226,"")</f>
        <v>0.500694444444444</v>
      </c>
      <c r="H226" s="15" t="n">
        <v>59.95</v>
      </c>
      <c r="I226" s="18" t="n">
        <f aca="false">ROUND(H226*F226/E226,0)</f>
        <v>120</v>
      </c>
      <c r="J226" s="17" t="n">
        <f aca="false">IFERROR(1-H226/I226,"")</f>
        <v>0.500416666666667</v>
      </c>
      <c r="K226" s="15" t="n">
        <f aca="false">H226-E226</f>
        <v>24</v>
      </c>
      <c r="L226" s="19" t="n">
        <f aca="false">IFERROR(H226/E226-1,"")</f>
        <v>0.66759388038943</v>
      </c>
      <c r="M226" s="20" t="n">
        <v>102</v>
      </c>
      <c r="N226" s="14"/>
    </row>
    <row r="227" customFormat="false" ht="15" hidden="false" customHeight="false" outlineLevel="0" collapsed="false">
      <c r="A227" s="10" t="s">
        <v>516</v>
      </c>
      <c r="B227" s="10" t="s">
        <v>517</v>
      </c>
      <c r="C227" s="10" t="s">
        <v>37</v>
      </c>
      <c r="D227" s="10" t="s">
        <v>16</v>
      </c>
      <c r="E227" s="11" t="n">
        <v>35.95</v>
      </c>
      <c r="F227" s="11" t="n">
        <v>72</v>
      </c>
      <c r="G227" s="21" t="n">
        <f aca="false">IFERROR(1-E227/F227,"")</f>
        <v>0.500694444444444</v>
      </c>
      <c r="H227" s="11" t="n">
        <v>59.95</v>
      </c>
      <c r="I227" s="12" t="n">
        <f aca="false">ROUND(H227*F227/E227,0)</f>
        <v>120</v>
      </c>
      <c r="J227" s="21" t="n">
        <f aca="false">IFERROR(1-H227/I227,"")</f>
        <v>0.500416666666667</v>
      </c>
      <c r="K227" s="11" t="n">
        <f aca="false">H227-E227</f>
        <v>24</v>
      </c>
      <c r="L227" s="22" t="n">
        <f aca="false">IFERROR(H227/E227-1,"")</f>
        <v>0.66759388038943</v>
      </c>
      <c r="M227" s="23" t="n">
        <v>85</v>
      </c>
      <c r="N227" s="10"/>
    </row>
    <row r="228" customFormat="false" ht="15" hidden="false" customHeight="false" outlineLevel="0" collapsed="false">
      <c r="A228" s="14" t="s">
        <v>518</v>
      </c>
      <c r="B228" s="14" t="s">
        <v>519</v>
      </c>
      <c r="C228" s="14" t="s">
        <v>37</v>
      </c>
      <c r="D228" s="14" t="s">
        <v>16</v>
      </c>
      <c r="E228" s="15" t="n">
        <v>38.95</v>
      </c>
      <c r="F228" s="15" t="n">
        <v>78</v>
      </c>
      <c r="G228" s="17" t="n">
        <f aca="false">IFERROR(1-E228/F228,"")</f>
        <v>0.500641025641026</v>
      </c>
      <c r="H228" s="15" t="n">
        <v>59.95</v>
      </c>
      <c r="I228" s="18" t="n">
        <f aca="false">ROUND(H228*F228/E228,0)</f>
        <v>120</v>
      </c>
      <c r="J228" s="17" t="n">
        <f aca="false">IFERROR(1-H228/I228,"")</f>
        <v>0.500416666666667</v>
      </c>
      <c r="K228" s="15" t="n">
        <f aca="false">H228-E228</f>
        <v>21</v>
      </c>
      <c r="L228" s="19" t="n">
        <f aca="false">IFERROR(H228/E228-1,"")</f>
        <v>0.539152759948652</v>
      </c>
      <c r="M228" s="20" t="n">
        <v>102</v>
      </c>
      <c r="N228" s="14"/>
    </row>
    <row r="229" customFormat="false" ht="15" hidden="false" customHeight="false" outlineLevel="0" collapsed="false">
      <c r="A229" s="10" t="s">
        <v>520</v>
      </c>
      <c r="B229" s="10" t="s">
        <v>521</v>
      </c>
      <c r="C229" s="10" t="s">
        <v>37</v>
      </c>
      <c r="D229" s="10" t="s">
        <v>16</v>
      </c>
      <c r="E229" s="11" t="n">
        <v>39.95</v>
      </c>
      <c r="F229" s="11" t="n">
        <v>80</v>
      </c>
      <c r="G229" s="21" t="n">
        <f aca="false">IFERROR(1-E229/F229,"")</f>
        <v>0.500625</v>
      </c>
      <c r="H229" s="11" t="n">
        <v>59.95</v>
      </c>
      <c r="I229" s="12" t="n">
        <f aca="false">ROUND(H229*F229/E229,0)</f>
        <v>120</v>
      </c>
      <c r="J229" s="21" t="n">
        <f aca="false">IFERROR(1-H229/I229,"")</f>
        <v>0.500416666666667</v>
      </c>
      <c r="K229" s="11" t="n">
        <f aca="false">H229-E229</f>
        <v>20</v>
      </c>
      <c r="L229" s="22" t="n">
        <f aca="false">IFERROR(H229/E229-1,"")</f>
        <v>0.500625782227785</v>
      </c>
      <c r="M229" s="23" t="n">
        <v>51</v>
      </c>
      <c r="N229" s="10"/>
    </row>
    <row r="230" customFormat="false" ht="15" hidden="false" customHeight="false" outlineLevel="0" collapsed="false">
      <c r="A230" s="14" t="s">
        <v>522</v>
      </c>
      <c r="B230" s="14" t="s">
        <v>523</v>
      </c>
      <c r="C230" s="14" t="s">
        <v>37</v>
      </c>
      <c r="D230" s="14" t="s">
        <v>16</v>
      </c>
      <c r="E230" s="15" t="n">
        <v>39.95</v>
      </c>
      <c r="F230" s="15" t="n">
        <v>80</v>
      </c>
      <c r="G230" s="17" t="n">
        <f aca="false">IFERROR(1-E230/F230,"")</f>
        <v>0.500625</v>
      </c>
      <c r="H230" s="15" t="n">
        <v>59.95</v>
      </c>
      <c r="I230" s="18" t="n">
        <f aca="false">ROUND(H230*F230/E230,0)</f>
        <v>120</v>
      </c>
      <c r="J230" s="17" t="n">
        <f aca="false">IFERROR(1-H230/I230,"")</f>
        <v>0.500416666666667</v>
      </c>
      <c r="K230" s="15" t="n">
        <f aca="false">H230-E230</f>
        <v>20</v>
      </c>
      <c r="L230" s="19" t="n">
        <f aca="false">IFERROR(H230/E230-1,"")</f>
        <v>0.500625782227785</v>
      </c>
      <c r="M230" s="20" t="n">
        <v>34</v>
      </c>
      <c r="N230" s="14"/>
    </row>
    <row r="231" customFormat="false" ht="15" hidden="false" customHeight="false" outlineLevel="0" collapsed="false">
      <c r="A231" s="10" t="s">
        <v>524</v>
      </c>
      <c r="B231" s="10" t="s">
        <v>525</v>
      </c>
      <c r="C231" s="10" t="s">
        <v>37</v>
      </c>
      <c r="D231" s="10" t="s">
        <v>16</v>
      </c>
      <c r="E231" s="11" t="n">
        <v>39.95</v>
      </c>
      <c r="F231" s="11" t="n">
        <v>80</v>
      </c>
      <c r="G231" s="21" t="n">
        <f aca="false">IFERROR(1-E231/F231,"")</f>
        <v>0.500625</v>
      </c>
      <c r="H231" s="11" t="n">
        <v>59.95</v>
      </c>
      <c r="I231" s="12" t="n">
        <f aca="false">ROUND(H231*F231/E231,0)</f>
        <v>120</v>
      </c>
      <c r="J231" s="21" t="n">
        <f aca="false">IFERROR(1-H231/I231,"")</f>
        <v>0.500416666666667</v>
      </c>
      <c r="K231" s="11" t="n">
        <f aca="false">H231-E231</f>
        <v>20</v>
      </c>
      <c r="L231" s="22" t="n">
        <f aca="false">IFERROR(H231/E231-1,"")</f>
        <v>0.500625782227785</v>
      </c>
      <c r="M231" s="23" t="n">
        <v>68</v>
      </c>
      <c r="N231" s="10"/>
    </row>
    <row r="232" customFormat="false" ht="15" hidden="false" customHeight="false" outlineLevel="0" collapsed="false">
      <c r="A232" s="14" t="s">
        <v>526</v>
      </c>
      <c r="B232" s="14" t="s">
        <v>527</v>
      </c>
      <c r="C232" s="14" t="s">
        <v>37</v>
      </c>
      <c r="D232" s="14" t="s">
        <v>16</v>
      </c>
      <c r="E232" s="15" t="n">
        <v>39.95</v>
      </c>
      <c r="F232" s="15" t="n">
        <v>80</v>
      </c>
      <c r="G232" s="17" t="n">
        <f aca="false">IFERROR(1-E232/F232,"")</f>
        <v>0.500625</v>
      </c>
      <c r="H232" s="15" t="n">
        <v>59.95</v>
      </c>
      <c r="I232" s="18" t="n">
        <f aca="false">ROUND(H232*F232/E232,0)</f>
        <v>120</v>
      </c>
      <c r="J232" s="17" t="n">
        <f aca="false">IFERROR(1-H232/I232,"")</f>
        <v>0.500416666666667</v>
      </c>
      <c r="K232" s="15" t="n">
        <f aca="false">H232-E232</f>
        <v>20</v>
      </c>
      <c r="L232" s="19" t="n">
        <f aca="false">IFERROR(H232/E232-1,"")</f>
        <v>0.500625782227785</v>
      </c>
      <c r="M232" s="20" t="n">
        <v>102</v>
      </c>
      <c r="N232" s="14"/>
    </row>
    <row r="233" customFormat="false" ht="15" hidden="false" customHeight="false" outlineLevel="0" collapsed="false">
      <c r="A233" s="10" t="s">
        <v>528</v>
      </c>
      <c r="B233" s="10" t="s">
        <v>529</v>
      </c>
      <c r="C233" s="10" t="s">
        <v>37</v>
      </c>
      <c r="D233" s="10" t="s">
        <v>16</v>
      </c>
      <c r="E233" s="11" t="n">
        <v>39.95</v>
      </c>
      <c r="F233" s="11" t="n">
        <v>80</v>
      </c>
      <c r="G233" s="21" t="n">
        <f aca="false">IFERROR(1-E233/F233,"")</f>
        <v>0.500625</v>
      </c>
      <c r="H233" s="11" t="n">
        <v>59.95</v>
      </c>
      <c r="I233" s="12" t="n">
        <f aca="false">ROUND(H233*F233/E233,0)</f>
        <v>120</v>
      </c>
      <c r="J233" s="21" t="n">
        <f aca="false">IFERROR(1-H233/I233,"")</f>
        <v>0.500416666666667</v>
      </c>
      <c r="K233" s="11" t="n">
        <f aca="false">H233-E233</f>
        <v>20</v>
      </c>
      <c r="L233" s="22" t="n">
        <f aca="false">IFERROR(H233/E233-1,"")</f>
        <v>0.500625782227785</v>
      </c>
      <c r="M233" s="23" t="n">
        <v>68</v>
      </c>
      <c r="N233" s="10"/>
    </row>
    <row r="234" customFormat="false" ht="15" hidden="false" customHeight="false" outlineLevel="0" collapsed="false">
      <c r="A234" s="14" t="s">
        <v>530</v>
      </c>
      <c r="B234" s="14" t="s">
        <v>531</v>
      </c>
      <c r="C234" s="14" t="s">
        <v>37</v>
      </c>
      <c r="D234" s="14" t="s">
        <v>16</v>
      </c>
      <c r="E234" s="15" t="n">
        <v>39.95</v>
      </c>
      <c r="F234" s="15" t="n">
        <v>80</v>
      </c>
      <c r="G234" s="17" t="n">
        <f aca="false">IFERROR(1-E234/F234,"")</f>
        <v>0.500625</v>
      </c>
      <c r="H234" s="15" t="n">
        <v>59.95</v>
      </c>
      <c r="I234" s="18" t="n">
        <f aca="false">ROUND(H234*F234/E234,0)</f>
        <v>120</v>
      </c>
      <c r="J234" s="17" t="n">
        <f aca="false">IFERROR(1-H234/I234,"")</f>
        <v>0.500416666666667</v>
      </c>
      <c r="K234" s="15" t="n">
        <f aca="false">H234-E234</f>
        <v>20</v>
      </c>
      <c r="L234" s="19" t="n">
        <f aca="false">IFERROR(H234/E234-1,"")</f>
        <v>0.500625782227785</v>
      </c>
      <c r="M234" s="20" t="n">
        <v>51</v>
      </c>
      <c r="N234" s="14"/>
    </row>
    <row r="235" customFormat="false" ht="15" hidden="false" customHeight="false" outlineLevel="0" collapsed="false">
      <c r="A235" s="10" t="s">
        <v>532</v>
      </c>
      <c r="B235" s="10" t="s">
        <v>533</v>
      </c>
      <c r="C235" s="10" t="s">
        <v>37</v>
      </c>
      <c r="D235" s="10" t="s">
        <v>16</v>
      </c>
      <c r="E235" s="11" t="n">
        <v>40.95</v>
      </c>
      <c r="F235" s="11" t="n">
        <v>82</v>
      </c>
      <c r="G235" s="21" t="n">
        <f aca="false">IFERROR(1-E235/F235,"")</f>
        <v>0.500609756097561</v>
      </c>
      <c r="H235" s="11" t="n">
        <v>59.95</v>
      </c>
      <c r="I235" s="12" t="n">
        <f aca="false">ROUND(H235*F235/E235,0)</f>
        <v>120</v>
      </c>
      <c r="J235" s="21" t="n">
        <f aca="false">IFERROR(1-H235/I235,"")</f>
        <v>0.500416666666667</v>
      </c>
      <c r="K235" s="11" t="n">
        <f aca="false">H235-E235</f>
        <v>19</v>
      </c>
      <c r="L235" s="22" t="n">
        <f aca="false">IFERROR(H235/E235-1,"")</f>
        <v>0.463980463980464</v>
      </c>
      <c r="M235" s="23" t="n">
        <v>85</v>
      </c>
      <c r="N235" s="10"/>
    </row>
    <row r="236" customFormat="false" ht="15" hidden="false" customHeight="false" outlineLevel="0" collapsed="false">
      <c r="A236" s="14" t="s">
        <v>534</v>
      </c>
      <c r="B236" s="14" t="s">
        <v>535</v>
      </c>
      <c r="C236" s="14" t="s">
        <v>37</v>
      </c>
      <c r="D236" s="14" t="s">
        <v>16</v>
      </c>
      <c r="E236" s="15" t="n">
        <v>41.95</v>
      </c>
      <c r="F236" s="15" t="n">
        <v>84</v>
      </c>
      <c r="G236" s="17" t="n">
        <f aca="false">IFERROR(1-E236/F236,"")</f>
        <v>0.500595238095238</v>
      </c>
      <c r="H236" s="15" t="n">
        <v>59.95</v>
      </c>
      <c r="I236" s="18" t="n">
        <f aca="false">ROUND(H236*F236/E236,0)</f>
        <v>120</v>
      </c>
      <c r="J236" s="17" t="n">
        <f aca="false">IFERROR(1-H236/I236,"")</f>
        <v>0.500416666666667</v>
      </c>
      <c r="K236" s="15" t="n">
        <f aca="false">H236-E236</f>
        <v>18</v>
      </c>
      <c r="L236" s="19" t="n">
        <f aca="false">IFERROR(H236/E236-1,"")</f>
        <v>0.429082240762813</v>
      </c>
      <c r="M236" s="20" t="n">
        <v>68</v>
      </c>
      <c r="N236" s="14"/>
    </row>
    <row r="237" customFormat="false" ht="15" hidden="false" customHeight="false" outlineLevel="0" collapsed="false">
      <c r="A237" s="10" t="s">
        <v>536</v>
      </c>
      <c r="B237" s="10" t="s">
        <v>537</v>
      </c>
      <c r="C237" s="10" t="s">
        <v>37</v>
      </c>
      <c r="D237" s="10" t="s">
        <v>16</v>
      </c>
      <c r="E237" s="11" t="n">
        <v>43.95</v>
      </c>
      <c r="F237" s="11" t="n">
        <v>88</v>
      </c>
      <c r="G237" s="21" t="n">
        <f aca="false">IFERROR(1-E237/F237,"")</f>
        <v>0.500568181818182</v>
      </c>
      <c r="H237" s="11" t="n">
        <v>59.95</v>
      </c>
      <c r="I237" s="12" t="n">
        <f aca="false">ROUND(H237*F237/E237,0)</f>
        <v>120</v>
      </c>
      <c r="J237" s="21" t="n">
        <f aca="false">IFERROR(1-H237/I237,"")</f>
        <v>0.500416666666667</v>
      </c>
      <c r="K237" s="11" t="n">
        <f aca="false">H237-E237</f>
        <v>16</v>
      </c>
      <c r="L237" s="22" t="n">
        <f aca="false">IFERROR(H237/E237-1,"")</f>
        <v>0.364050056882821</v>
      </c>
      <c r="M237" s="23" t="n">
        <v>34</v>
      </c>
      <c r="N237" s="10"/>
    </row>
    <row r="238" customFormat="false" ht="15" hidden="false" customHeight="false" outlineLevel="0" collapsed="false">
      <c r="A238" s="14" t="s">
        <v>538</v>
      </c>
      <c r="B238" s="14" t="s">
        <v>539</v>
      </c>
      <c r="C238" s="14" t="s">
        <v>37</v>
      </c>
      <c r="D238" s="14" t="s">
        <v>16</v>
      </c>
      <c r="E238" s="15" t="n">
        <v>43.95</v>
      </c>
      <c r="F238" s="15" t="n">
        <v>88</v>
      </c>
      <c r="G238" s="17" t="n">
        <f aca="false">IFERROR(1-E238/F238,"")</f>
        <v>0.500568181818182</v>
      </c>
      <c r="H238" s="15" t="n">
        <v>59.95</v>
      </c>
      <c r="I238" s="18" t="n">
        <f aca="false">ROUND(H238*F238/E238,0)</f>
        <v>120</v>
      </c>
      <c r="J238" s="17" t="n">
        <f aca="false">IFERROR(1-H238/I238,"")</f>
        <v>0.500416666666667</v>
      </c>
      <c r="K238" s="15" t="n">
        <f aca="false">H238-E238</f>
        <v>16</v>
      </c>
      <c r="L238" s="19" t="n">
        <f aca="false">IFERROR(H238/E238-1,"")</f>
        <v>0.364050056882821</v>
      </c>
      <c r="M238" s="20" t="n">
        <v>220</v>
      </c>
      <c r="N238" s="14"/>
    </row>
    <row r="239" customFormat="false" ht="15" hidden="false" customHeight="false" outlineLevel="0" collapsed="false">
      <c r="A239" s="10" t="s">
        <v>540</v>
      </c>
      <c r="B239" s="10" t="s">
        <v>541</v>
      </c>
      <c r="C239" s="10" t="s">
        <v>37</v>
      </c>
      <c r="D239" s="10" t="s">
        <v>16</v>
      </c>
      <c r="E239" s="11" t="n">
        <v>44.95</v>
      </c>
      <c r="F239" s="11" t="n">
        <v>90</v>
      </c>
      <c r="G239" s="21" t="n">
        <f aca="false">IFERROR(1-E239/F239,"")</f>
        <v>0.500555555555556</v>
      </c>
      <c r="H239" s="11" t="n">
        <v>59.95</v>
      </c>
      <c r="I239" s="12" t="n">
        <f aca="false">ROUND(H239*F239/E239,0)</f>
        <v>120</v>
      </c>
      <c r="J239" s="21" t="n">
        <f aca="false">IFERROR(1-H239/I239,"")</f>
        <v>0.500416666666667</v>
      </c>
      <c r="K239" s="11" t="n">
        <f aca="false">H239-E239</f>
        <v>15</v>
      </c>
      <c r="L239" s="22" t="n">
        <f aca="false">IFERROR(H239/E239-1,"")</f>
        <v>0.333704115684093</v>
      </c>
      <c r="M239" s="23" t="n">
        <v>102</v>
      </c>
      <c r="N239" s="10"/>
    </row>
    <row r="240" customFormat="false" ht="15" hidden="false" customHeight="false" outlineLevel="0" collapsed="false">
      <c r="A240" s="14" t="s">
        <v>542</v>
      </c>
      <c r="B240" s="14" t="s">
        <v>543</v>
      </c>
      <c r="C240" s="14" t="s">
        <v>37</v>
      </c>
      <c r="D240" s="14" t="s">
        <v>16</v>
      </c>
      <c r="E240" s="15" t="n">
        <v>44.95</v>
      </c>
      <c r="F240" s="15" t="n">
        <v>90</v>
      </c>
      <c r="G240" s="17" t="n">
        <f aca="false">IFERROR(1-E240/F240,"")</f>
        <v>0.500555555555556</v>
      </c>
      <c r="H240" s="15" t="n">
        <v>59.95</v>
      </c>
      <c r="I240" s="18" t="n">
        <f aca="false">ROUND(H240*F240/E240,0)</f>
        <v>120</v>
      </c>
      <c r="J240" s="17" t="n">
        <f aca="false">IFERROR(1-H240/I240,"")</f>
        <v>0.500416666666667</v>
      </c>
      <c r="K240" s="15" t="n">
        <f aca="false">H240-E240</f>
        <v>15</v>
      </c>
      <c r="L240" s="19" t="n">
        <f aca="false">IFERROR(H240/E240-1,"")</f>
        <v>0.333704115684093</v>
      </c>
      <c r="M240" s="20" t="n">
        <v>136</v>
      </c>
      <c r="N240" s="14"/>
    </row>
    <row r="241" customFormat="false" ht="15" hidden="false" customHeight="false" outlineLevel="0" collapsed="false">
      <c r="A241" s="10" t="s">
        <v>544</v>
      </c>
      <c r="B241" s="10" t="s">
        <v>545</v>
      </c>
      <c r="C241" s="10" t="s">
        <v>37</v>
      </c>
      <c r="D241" s="10" t="s">
        <v>16</v>
      </c>
      <c r="E241" s="11" t="n">
        <v>44.95</v>
      </c>
      <c r="F241" s="11" t="n">
        <v>90</v>
      </c>
      <c r="G241" s="21" t="n">
        <f aca="false">IFERROR(1-E241/F241,"")</f>
        <v>0.500555555555556</v>
      </c>
      <c r="H241" s="11" t="n">
        <v>59.95</v>
      </c>
      <c r="I241" s="12" t="n">
        <f aca="false">ROUND(H241*F241/E241,0)</f>
        <v>120</v>
      </c>
      <c r="J241" s="21" t="n">
        <f aca="false">IFERROR(1-H241/I241,"")</f>
        <v>0.500416666666667</v>
      </c>
      <c r="K241" s="11" t="n">
        <f aca="false">H241-E241</f>
        <v>15</v>
      </c>
      <c r="L241" s="22" t="n">
        <f aca="false">IFERROR(H241/E241-1,"")</f>
        <v>0.333704115684093</v>
      </c>
      <c r="M241" s="23" t="n">
        <v>68</v>
      </c>
      <c r="N241" s="10"/>
    </row>
    <row r="242" customFormat="false" ht="15" hidden="false" customHeight="false" outlineLevel="0" collapsed="false">
      <c r="A242" s="14" t="s">
        <v>546</v>
      </c>
      <c r="B242" s="14" t="s">
        <v>547</v>
      </c>
      <c r="C242" s="14" t="s">
        <v>37</v>
      </c>
      <c r="D242" s="14" t="s">
        <v>16</v>
      </c>
      <c r="E242" s="15" t="n">
        <v>44.95</v>
      </c>
      <c r="F242" s="15" t="n">
        <v>90</v>
      </c>
      <c r="G242" s="17" t="n">
        <f aca="false">IFERROR(1-E242/F242,"")</f>
        <v>0.500555555555556</v>
      </c>
      <c r="H242" s="15" t="n">
        <v>59.95</v>
      </c>
      <c r="I242" s="18" t="n">
        <f aca="false">ROUND(H242*F242/E242,0)</f>
        <v>120</v>
      </c>
      <c r="J242" s="17" t="n">
        <f aca="false">IFERROR(1-H242/I242,"")</f>
        <v>0.500416666666667</v>
      </c>
      <c r="K242" s="15" t="n">
        <f aca="false">H242-E242</f>
        <v>15</v>
      </c>
      <c r="L242" s="19" t="n">
        <f aca="false">IFERROR(H242/E242-1,"")</f>
        <v>0.333704115684093</v>
      </c>
      <c r="M242" s="20" t="n">
        <v>68</v>
      </c>
      <c r="N242" s="14"/>
    </row>
    <row r="243" customFormat="false" ht="15" hidden="false" customHeight="false" outlineLevel="0" collapsed="false">
      <c r="A243" s="10" t="s">
        <v>548</v>
      </c>
      <c r="B243" s="10" t="s">
        <v>549</v>
      </c>
      <c r="C243" s="10" t="s">
        <v>37</v>
      </c>
      <c r="D243" s="10" t="s">
        <v>16</v>
      </c>
      <c r="E243" s="11" t="n">
        <v>44.95</v>
      </c>
      <c r="F243" s="11" t="n">
        <v>90</v>
      </c>
      <c r="G243" s="21" t="n">
        <f aca="false">IFERROR(1-E243/F243,"")</f>
        <v>0.500555555555556</v>
      </c>
      <c r="H243" s="11" t="n">
        <v>59.95</v>
      </c>
      <c r="I243" s="12" t="n">
        <f aca="false">ROUND(H243*F243/E243,0)</f>
        <v>120</v>
      </c>
      <c r="J243" s="21" t="n">
        <f aca="false">IFERROR(1-H243/I243,"")</f>
        <v>0.500416666666667</v>
      </c>
      <c r="K243" s="11" t="n">
        <f aca="false">H243-E243</f>
        <v>15</v>
      </c>
      <c r="L243" s="22" t="n">
        <f aca="false">IFERROR(H243/E243-1,"")</f>
        <v>0.333704115684093</v>
      </c>
      <c r="M243" s="23" t="n">
        <v>51</v>
      </c>
      <c r="N243" s="10"/>
    </row>
    <row r="244" customFormat="false" ht="15" hidden="false" customHeight="false" outlineLevel="0" collapsed="false">
      <c r="A244" s="14" t="s">
        <v>550</v>
      </c>
      <c r="B244" s="14" t="s">
        <v>551</v>
      </c>
      <c r="C244" s="14" t="s">
        <v>37</v>
      </c>
      <c r="D244" s="14" t="s">
        <v>16</v>
      </c>
      <c r="E244" s="15" t="n">
        <v>44.95</v>
      </c>
      <c r="F244" s="15" t="n">
        <v>90</v>
      </c>
      <c r="G244" s="17" t="n">
        <f aca="false">IFERROR(1-E244/F244,"")</f>
        <v>0.500555555555556</v>
      </c>
      <c r="H244" s="15" t="n">
        <v>59.95</v>
      </c>
      <c r="I244" s="18" t="n">
        <f aca="false">ROUND(H244*F244/E244,0)</f>
        <v>120</v>
      </c>
      <c r="J244" s="17" t="n">
        <f aca="false">IFERROR(1-H244/I244,"")</f>
        <v>0.500416666666667</v>
      </c>
      <c r="K244" s="15" t="n">
        <f aca="false">H244-E244</f>
        <v>15</v>
      </c>
      <c r="L244" s="19" t="n">
        <f aca="false">IFERROR(H244/E244-1,"")</f>
        <v>0.333704115684093</v>
      </c>
      <c r="M244" s="20" t="n">
        <v>85</v>
      </c>
      <c r="N244" s="14"/>
    </row>
    <row r="245" customFormat="false" ht="15" hidden="false" customHeight="false" outlineLevel="0" collapsed="false">
      <c r="A245" s="10" t="s">
        <v>552</v>
      </c>
      <c r="B245" s="10" t="s">
        <v>553</v>
      </c>
      <c r="C245" s="10" t="s">
        <v>37</v>
      </c>
      <c r="D245" s="10" t="s">
        <v>16</v>
      </c>
      <c r="E245" s="11" t="n">
        <v>44.95</v>
      </c>
      <c r="F245" s="11" t="n">
        <v>90</v>
      </c>
      <c r="G245" s="21" t="n">
        <f aca="false">IFERROR(1-E245/F245,"")</f>
        <v>0.500555555555556</v>
      </c>
      <c r="H245" s="11" t="n">
        <v>59.95</v>
      </c>
      <c r="I245" s="12" t="n">
        <f aca="false">ROUND(H245*F245/E245,0)</f>
        <v>120</v>
      </c>
      <c r="J245" s="21" t="n">
        <f aca="false">IFERROR(1-H245/I245,"")</f>
        <v>0.500416666666667</v>
      </c>
      <c r="K245" s="11" t="n">
        <f aca="false">H245-E245</f>
        <v>15</v>
      </c>
      <c r="L245" s="22" t="n">
        <f aca="false">IFERROR(H245/E245-1,"")</f>
        <v>0.333704115684093</v>
      </c>
      <c r="M245" s="23" t="n">
        <v>54</v>
      </c>
      <c r="N245" s="10"/>
    </row>
    <row r="246" customFormat="false" ht="15" hidden="false" customHeight="false" outlineLevel="0" collapsed="false">
      <c r="A246" s="14" t="s">
        <v>554</v>
      </c>
      <c r="B246" s="14" t="s">
        <v>555</v>
      </c>
      <c r="C246" s="14" t="s">
        <v>37</v>
      </c>
      <c r="D246" s="14" t="s">
        <v>16</v>
      </c>
      <c r="E246" s="15" t="n">
        <v>44.95</v>
      </c>
      <c r="F246" s="15" t="n">
        <v>90</v>
      </c>
      <c r="G246" s="17" t="n">
        <f aca="false">IFERROR(1-E246/F246,"")</f>
        <v>0.500555555555556</v>
      </c>
      <c r="H246" s="15" t="n">
        <v>59.95</v>
      </c>
      <c r="I246" s="18" t="n">
        <f aca="false">ROUND(H246*F246/E246,0)</f>
        <v>120</v>
      </c>
      <c r="J246" s="17" t="n">
        <f aca="false">IFERROR(1-H246/I246,"")</f>
        <v>0.500416666666667</v>
      </c>
      <c r="K246" s="15" t="n">
        <f aca="false">H246-E246</f>
        <v>15</v>
      </c>
      <c r="L246" s="19" t="n">
        <f aca="false">IFERROR(H246/E246-1,"")</f>
        <v>0.333704115684093</v>
      </c>
      <c r="M246" s="20" t="n">
        <v>17</v>
      </c>
      <c r="N246" s="14"/>
    </row>
    <row r="247" customFormat="false" ht="15" hidden="false" customHeight="false" outlineLevel="0" collapsed="false">
      <c r="A247" s="10" t="s">
        <v>556</v>
      </c>
      <c r="B247" s="10" t="s">
        <v>557</v>
      </c>
      <c r="C247" s="10" t="s">
        <v>37</v>
      </c>
      <c r="D247" s="10" t="s">
        <v>16</v>
      </c>
      <c r="E247" s="11" t="n">
        <v>44.95</v>
      </c>
      <c r="F247" s="11" t="n">
        <v>90</v>
      </c>
      <c r="G247" s="21" t="n">
        <f aca="false">IFERROR(1-E247/F247,"")</f>
        <v>0.500555555555556</v>
      </c>
      <c r="H247" s="11" t="n">
        <v>59.95</v>
      </c>
      <c r="I247" s="12" t="n">
        <f aca="false">ROUND(H247*F247/E247,0)</f>
        <v>120</v>
      </c>
      <c r="J247" s="21" t="n">
        <f aca="false">IFERROR(1-H247/I247,"")</f>
        <v>0.500416666666667</v>
      </c>
      <c r="K247" s="11" t="n">
        <f aca="false">H247-E247</f>
        <v>15</v>
      </c>
      <c r="L247" s="22" t="n">
        <f aca="false">IFERROR(H247/E247-1,"")</f>
        <v>0.333704115684093</v>
      </c>
      <c r="M247" s="23" t="n">
        <v>85</v>
      </c>
      <c r="N247" s="10"/>
    </row>
    <row r="248" customFormat="false" ht="15" hidden="false" customHeight="false" outlineLevel="0" collapsed="false">
      <c r="A248" s="14" t="s">
        <v>558</v>
      </c>
      <c r="B248" s="14" t="s">
        <v>559</v>
      </c>
      <c r="C248" s="14" t="s">
        <v>37</v>
      </c>
      <c r="D248" s="14" t="s">
        <v>16</v>
      </c>
      <c r="E248" s="15" t="n">
        <v>45.95</v>
      </c>
      <c r="F248" s="15" t="n">
        <v>92</v>
      </c>
      <c r="G248" s="17" t="n">
        <f aca="false">IFERROR(1-E248/F248,"")</f>
        <v>0.50054347826087</v>
      </c>
      <c r="H248" s="15" t="n">
        <v>59.95</v>
      </c>
      <c r="I248" s="18" t="n">
        <f aca="false">ROUND(H248*F248/E248,0)</f>
        <v>120</v>
      </c>
      <c r="J248" s="17" t="n">
        <f aca="false">IFERROR(1-H248/I248,"")</f>
        <v>0.500416666666667</v>
      </c>
      <c r="K248" s="15" t="n">
        <f aca="false">H248-E248</f>
        <v>14</v>
      </c>
      <c r="L248" s="19" t="n">
        <f aca="false">IFERROR(H248/E248-1,"")</f>
        <v>0.304678998911861</v>
      </c>
      <c r="M248" s="20" t="n">
        <v>68</v>
      </c>
      <c r="N248" s="14"/>
    </row>
    <row r="249" customFormat="false" ht="15" hidden="false" customHeight="false" outlineLevel="0" collapsed="false">
      <c r="A249" s="10" t="s">
        <v>560</v>
      </c>
      <c r="B249" s="10" t="s">
        <v>561</v>
      </c>
      <c r="C249" s="10" t="s">
        <v>37</v>
      </c>
      <c r="D249" s="10" t="s">
        <v>16</v>
      </c>
      <c r="E249" s="11" t="n">
        <v>46.95</v>
      </c>
      <c r="F249" s="11" t="n">
        <v>94</v>
      </c>
      <c r="G249" s="21" t="n">
        <f aca="false">IFERROR(1-E249/F249,"")</f>
        <v>0.500531914893617</v>
      </c>
      <c r="H249" s="11" t="n">
        <v>59.95</v>
      </c>
      <c r="I249" s="12" t="n">
        <f aca="false">ROUND(H249*F249/E249,0)</f>
        <v>120</v>
      </c>
      <c r="J249" s="21" t="n">
        <f aca="false">IFERROR(1-H249/I249,"")</f>
        <v>0.500416666666667</v>
      </c>
      <c r="K249" s="11" t="n">
        <f aca="false">H249-E249</f>
        <v>13</v>
      </c>
      <c r="L249" s="22" t="n">
        <f aca="false">IFERROR(H249/E249-1,"")</f>
        <v>0.276890308839191</v>
      </c>
      <c r="M249" s="23" t="n">
        <v>102</v>
      </c>
      <c r="N249" s="10"/>
    </row>
    <row r="250" customFormat="false" ht="15" hidden="false" customHeight="false" outlineLevel="0" collapsed="false">
      <c r="A250" s="14" t="s">
        <v>562</v>
      </c>
      <c r="B250" s="14" t="s">
        <v>563</v>
      </c>
      <c r="C250" s="14" t="s">
        <v>37</v>
      </c>
      <c r="D250" s="14" t="s">
        <v>16</v>
      </c>
      <c r="E250" s="15" t="n">
        <v>47.95</v>
      </c>
      <c r="F250" s="15" t="n">
        <v>96</v>
      </c>
      <c r="G250" s="17" t="n">
        <f aca="false">IFERROR(1-E250/F250,"")</f>
        <v>0.500520833333333</v>
      </c>
      <c r="H250" s="15" t="n">
        <v>59.95</v>
      </c>
      <c r="I250" s="18" t="n">
        <f aca="false">ROUND(H250*F250/E250,0)</f>
        <v>120</v>
      </c>
      <c r="J250" s="17" t="n">
        <f aca="false">IFERROR(1-H250/I250,"")</f>
        <v>0.500416666666667</v>
      </c>
      <c r="K250" s="15" t="n">
        <f aca="false">H250-E250</f>
        <v>12</v>
      </c>
      <c r="L250" s="19" t="n">
        <f aca="false">IFERROR(H250/E250-1,"")</f>
        <v>0.250260688216893</v>
      </c>
      <c r="M250" s="20" t="n">
        <v>17</v>
      </c>
      <c r="N250" s="14"/>
    </row>
    <row r="251" customFormat="false" ht="15" hidden="false" customHeight="false" outlineLevel="0" collapsed="false">
      <c r="A251" s="10" t="s">
        <v>564</v>
      </c>
      <c r="B251" s="10" t="s">
        <v>565</v>
      </c>
      <c r="C251" s="10" t="s">
        <v>37</v>
      </c>
      <c r="D251" s="10" t="s">
        <v>16</v>
      </c>
      <c r="E251" s="11" t="n">
        <v>48.95</v>
      </c>
      <c r="F251" s="11" t="n">
        <v>98</v>
      </c>
      <c r="G251" s="21" t="n">
        <f aca="false">IFERROR(1-E251/F251,"")</f>
        <v>0.500510204081633</v>
      </c>
      <c r="H251" s="11" t="n">
        <v>59.95</v>
      </c>
      <c r="I251" s="12" t="n">
        <f aca="false">ROUND(H251*F251/E251,0)</f>
        <v>120</v>
      </c>
      <c r="J251" s="21" t="n">
        <f aca="false">IFERROR(1-H251/I251,"")</f>
        <v>0.500416666666667</v>
      </c>
      <c r="K251" s="11" t="n">
        <f aca="false">H251-E251</f>
        <v>11</v>
      </c>
      <c r="L251" s="22" t="n">
        <f aca="false">IFERROR(H251/E251-1,"")</f>
        <v>0.224719101123595</v>
      </c>
      <c r="M251" s="23" t="n">
        <v>85</v>
      </c>
      <c r="N251" s="10"/>
    </row>
    <row r="252" customFormat="false" ht="15" hidden="false" customHeight="false" outlineLevel="0" collapsed="false">
      <c r="A252" s="14" t="s">
        <v>566</v>
      </c>
      <c r="B252" s="14" t="s">
        <v>567</v>
      </c>
      <c r="C252" s="14" t="s">
        <v>37</v>
      </c>
      <c r="D252" s="14" t="s">
        <v>16</v>
      </c>
      <c r="E252" s="15" t="n">
        <v>49.95</v>
      </c>
      <c r="F252" s="15" t="n">
        <v>100</v>
      </c>
      <c r="G252" s="17" t="n">
        <f aca="false">IFERROR(1-E252/F252,"")</f>
        <v>0.5005</v>
      </c>
      <c r="H252" s="15" t="n">
        <v>59.95</v>
      </c>
      <c r="I252" s="18" t="n">
        <f aca="false">ROUND(H252*F252/E252,0)</f>
        <v>120</v>
      </c>
      <c r="J252" s="17" t="n">
        <f aca="false">IFERROR(1-H252/I252,"")</f>
        <v>0.500416666666667</v>
      </c>
      <c r="K252" s="15" t="n">
        <f aca="false">H252-E252</f>
        <v>10</v>
      </c>
      <c r="L252" s="19" t="n">
        <f aca="false">IFERROR(H252/E252-1,"")</f>
        <v>0.2002002002002</v>
      </c>
      <c r="M252" s="20" t="n">
        <v>17</v>
      </c>
      <c r="N252" s="14"/>
    </row>
    <row r="253" customFormat="false" ht="15" hidden="false" customHeight="false" outlineLevel="0" collapsed="false">
      <c r="A253" s="10" t="s">
        <v>568</v>
      </c>
      <c r="B253" s="10" t="s">
        <v>569</v>
      </c>
      <c r="C253" s="10" t="s">
        <v>37</v>
      </c>
      <c r="D253" s="10" t="s">
        <v>16</v>
      </c>
      <c r="E253" s="11" t="n">
        <v>49.95</v>
      </c>
      <c r="F253" s="11" t="n">
        <v>100</v>
      </c>
      <c r="G253" s="21" t="n">
        <f aca="false">IFERROR(1-E253/F253,"")</f>
        <v>0.5005</v>
      </c>
      <c r="H253" s="11" t="n">
        <v>59.95</v>
      </c>
      <c r="I253" s="12" t="n">
        <f aca="false">ROUND(H253*F253/E253,0)</f>
        <v>120</v>
      </c>
      <c r="J253" s="21" t="n">
        <f aca="false">IFERROR(1-H253/I253,"")</f>
        <v>0.500416666666667</v>
      </c>
      <c r="K253" s="11" t="n">
        <f aca="false">H253-E253</f>
        <v>10</v>
      </c>
      <c r="L253" s="22" t="n">
        <f aca="false">IFERROR(H253/E253-1,"")</f>
        <v>0.2002002002002</v>
      </c>
      <c r="M253" s="23" t="n">
        <v>85</v>
      </c>
      <c r="N253" s="10"/>
    </row>
    <row r="254" customFormat="false" ht="15" hidden="false" customHeight="false" outlineLevel="0" collapsed="false">
      <c r="A254" s="14" t="s">
        <v>570</v>
      </c>
      <c r="B254" s="14" t="s">
        <v>571</v>
      </c>
      <c r="C254" s="14" t="s">
        <v>37</v>
      </c>
      <c r="D254" s="14" t="s">
        <v>16</v>
      </c>
      <c r="E254" s="15" t="n">
        <v>49.95</v>
      </c>
      <c r="F254" s="15" t="n">
        <v>100</v>
      </c>
      <c r="G254" s="17" t="n">
        <f aca="false">IFERROR(1-E254/F254,"")</f>
        <v>0.5005</v>
      </c>
      <c r="H254" s="15" t="n">
        <v>59.95</v>
      </c>
      <c r="I254" s="18" t="n">
        <f aca="false">ROUND(H254*F254/E254,0)</f>
        <v>120</v>
      </c>
      <c r="J254" s="17" t="n">
        <f aca="false">IFERROR(1-H254/I254,"")</f>
        <v>0.500416666666667</v>
      </c>
      <c r="K254" s="15" t="n">
        <f aca="false">H254-E254</f>
        <v>10</v>
      </c>
      <c r="L254" s="19" t="n">
        <f aca="false">IFERROR(H254/E254-1,"")</f>
        <v>0.2002002002002</v>
      </c>
      <c r="M254" s="20" t="n">
        <v>68</v>
      </c>
      <c r="N254" s="14"/>
    </row>
    <row r="255" customFormat="false" ht="15" hidden="false" customHeight="false" outlineLevel="0" collapsed="false">
      <c r="A255" s="10" t="s">
        <v>572</v>
      </c>
      <c r="B255" s="10" t="s">
        <v>573</v>
      </c>
      <c r="C255" s="10" t="s">
        <v>37</v>
      </c>
      <c r="D255" s="10" t="s">
        <v>16</v>
      </c>
      <c r="E255" s="11" t="n">
        <v>49.95</v>
      </c>
      <c r="F255" s="11" t="n">
        <v>100</v>
      </c>
      <c r="G255" s="21" t="n">
        <f aca="false">IFERROR(1-E255/F255,"")</f>
        <v>0.5005</v>
      </c>
      <c r="H255" s="11" t="n">
        <v>59.95</v>
      </c>
      <c r="I255" s="12" t="n">
        <f aca="false">ROUND(H255*F255/E255,0)</f>
        <v>120</v>
      </c>
      <c r="J255" s="21" t="n">
        <f aca="false">IFERROR(1-H255/I255,"")</f>
        <v>0.500416666666667</v>
      </c>
      <c r="K255" s="11" t="n">
        <f aca="false">H255-E255</f>
        <v>10</v>
      </c>
      <c r="L255" s="22" t="n">
        <f aca="false">IFERROR(H255/E255-1,"")</f>
        <v>0.2002002002002</v>
      </c>
      <c r="M255" s="23" t="n">
        <v>85</v>
      </c>
      <c r="N255" s="10"/>
    </row>
    <row r="256" customFormat="false" ht="15" hidden="false" customHeight="false" outlineLevel="0" collapsed="false">
      <c r="A256" s="14" t="s">
        <v>574</v>
      </c>
      <c r="B256" s="14" t="s">
        <v>573</v>
      </c>
      <c r="C256" s="14" t="s">
        <v>37</v>
      </c>
      <c r="D256" s="14" t="s">
        <v>16</v>
      </c>
      <c r="E256" s="15" t="n">
        <v>49.95</v>
      </c>
      <c r="F256" s="15" t="n">
        <v>100</v>
      </c>
      <c r="G256" s="17" t="n">
        <f aca="false">IFERROR(1-E256/F256,"")</f>
        <v>0.5005</v>
      </c>
      <c r="H256" s="15" t="n">
        <v>59.95</v>
      </c>
      <c r="I256" s="18" t="n">
        <f aca="false">ROUND(H256*F256/E256,0)</f>
        <v>120</v>
      </c>
      <c r="J256" s="17" t="n">
        <f aca="false">IFERROR(1-H256/I256,"")</f>
        <v>0.500416666666667</v>
      </c>
      <c r="K256" s="15" t="n">
        <f aca="false">H256-E256</f>
        <v>10</v>
      </c>
      <c r="L256" s="19" t="n">
        <f aca="false">IFERROR(H256/E256-1,"")</f>
        <v>0.2002002002002</v>
      </c>
      <c r="M256" s="20" t="n">
        <v>85</v>
      </c>
      <c r="N256" s="14"/>
    </row>
    <row r="257" customFormat="false" ht="15" hidden="false" customHeight="false" outlineLevel="0" collapsed="false">
      <c r="A257" s="10" t="s">
        <v>575</v>
      </c>
      <c r="B257" s="10" t="s">
        <v>576</v>
      </c>
      <c r="C257" s="10" t="s">
        <v>37</v>
      </c>
      <c r="D257" s="10" t="s">
        <v>16</v>
      </c>
      <c r="E257" s="11" t="n">
        <v>49.95</v>
      </c>
      <c r="F257" s="11" t="n">
        <v>100</v>
      </c>
      <c r="G257" s="21" t="n">
        <f aca="false">IFERROR(1-E257/F257,"")</f>
        <v>0.5005</v>
      </c>
      <c r="H257" s="11" t="n">
        <v>59.95</v>
      </c>
      <c r="I257" s="12" t="n">
        <f aca="false">ROUND(H257*F257/E257,0)</f>
        <v>120</v>
      </c>
      <c r="J257" s="21" t="n">
        <f aca="false">IFERROR(1-H257/I257,"")</f>
        <v>0.500416666666667</v>
      </c>
      <c r="K257" s="11" t="n">
        <f aca="false">H257-E257</f>
        <v>10</v>
      </c>
      <c r="L257" s="22" t="n">
        <f aca="false">IFERROR(H257/E257-1,"")</f>
        <v>0.2002002002002</v>
      </c>
      <c r="M257" s="23" t="n">
        <v>51</v>
      </c>
      <c r="N257" s="10"/>
    </row>
    <row r="258" customFormat="false" ht="15" hidden="false" customHeight="false" outlineLevel="0" collapsed="false">
      <c r="A258" s="14" t="s">
        <v>577</v>
      </c>
      <c r="B258" s="14" t="s">
        <v>578</v>
      </c>
      <c r="C258" s="14" t="s">
        <v>37</v>
      </c>
      <c r="D258" s="14" t="s">
        <v>16</v>
      </c>
      <c r="E258" s="15" t="n">
        <v>49.95</v>
      </c>
      <c r="F258" s="15" t="n">
        <v>100</v>
      </c>
      <c r="G258" s="17" t="n">
        <f aca="false">IFERROR(1-E258/F258,"")</f>
        <v>0.5005</v>
      </c>
      <c r="H258" s="15" t="n">
        <v>59.95</v>
      </c>
      <c r="I258" s="18" t="n">
        <f aca="false">ROUND(H258*F258/E258,0)</f>
        <v>120</v>
      </c>
      <c r="J258" s="17" t="n">
        <f aca="false">IFERROR(1-H258/I258,"")</f>
        <v>0.500416666666667</v>
      </c>
      <c r="K258" s="15" t="n">
        <f aca="false">H258-E258</f>
        <v>10</v>
      </c>
      <c r="L258" s="19" t="n">
        <f aca="false">IFERROR(H258/E258-1,"")</f>
        <v>0.2002002002002</v>
      </c>
      <c r="M258" s="20" t="n">
        <v>68</v>
      </c>
      <c r="N258" s="14"/>
    </row>
    <row r="259" customFormat="false" ht="15" hidden="false" customHeight="false" outlineLevel="0" collapsed="false">
      <c r="A259" s="24" t="s">
        <v>579</v>
      </c>
      <c r="B259" s="24" t="s">
        <v>580</v>
      </c>
      <c r="C259" s="24" t="s">
        <v>37</v>
      </c>
      <c r="D259" s="24" t="s">
        <v>16</v>
      </c>
      <c r="E259" s="25" t="n">
        <v>49.95</v>
      </c>
      <c r="F259" s="25" t="n">
        <v>40</v>
      </c>
      <c r="G259" s="26" t="n">
        <f aca="false">IFERROR(1-E259/F259,"")</f>
        <v>-0.24875</v>
      </c>
      <c r="H259" s="25" t="n">
        <v>59.95</v>
      </c>
      <c r="I259" s="27" t="n">
        <f aca="false">ROUND(H259*2,0)</f>
        <v>120</v>
      </c>
      <c r="J259" s="26" t="n">
        <f aca="false">IFERROR(1-H259/I259,"")</f>
        <v>0.500416666666667</v>
      </c>
      <c r="K259" s="25" t="n">
        <f aca="false">H259-E259</f>
        <v>10</v>
      </c>
      <c r="L259" s="28" t="n">
        <f aca="false">IFERROR(H259/E259-1,"")</f>
        <v>0.2002002002002</v>
      </c>
      <c r="M259" s="29" t="n">
        <v>17</v>
      </c>
      <c r="N259" s="24" t="s">
        <v>581</v>
      </c>
    </row>
    <row r="260" customFormat="false" ht="15" hidden="false" customHeight="false" outlineLevel="0" collapsed="false">
      <c r="A260" s="14" t="s">
        <v>582</v>
      </c>
      <c r="B260" s="14" t="s">
        <v>583</v>
      </c>
      <c r="C260" s="14" t="s">
        <v>38</v>
      </c>
      <c r="D260" s="14" t="s">
        <v>16</v>
      </c>
      <c r="E260" s="15" t="n">
        <v>32.95</v>
      </c>
      <c r="F260" s="15" t="n">
        <v>66</v>
      </c>
      <c r="G260" s="17" t="n">
        <f aca="false">IFERROR(1-E260/F260,"")</f>
        <v>0.500757575757576</v>
      </c>
      <c r="H260" s="15" t="n">
        <v>59.95</v>
      </c>
      <c r="I260" s="18" t="n">
        <f aca="false">ROUND(H260*F260/E260,0)</f>
        <v>120</v>
      </c>
      <c r="J260" s="17" t="n">
        <f aca="false">IFERROR(1-H260/I260,"")</f>
        <v>0.500416666666667</v>
      </c>
      <c r="K260" s="15" t="n">
        <f aca="false">H260-E260</f>
        <v>27</v>
      </c>
      <c r="L260" s="19" t="n">
        <f aca="false">IFERROR(H260/E260-1,"")</f>
        <v>0.819423368740516</v>
      </c>
      <c r="M260" s="20" t="n">
        <v>85</v>
      </c>
      <c r="N260" s="14"/>
    </row>
    <row r="261" customFormat="false" ht="15" hidden="false" customHeight="false" outlineLevel="0" collapsed="false">
      <c r="A261" s="10" t="s">
        <v>584</v>
      </c>
      <c r="B261" s="10" t="s">
        <v>585</v>
      </c>
      <c r="C261" s="10" t="s">
        <v>38</v>
      </c>
      <c r="D261" s="10" t="s">
        <v>16</v>
      </c>
      <c r="E261" s="11" t="n">
        <v>34.95</v>
      </c>
      <c r="F261" s="11" t="n">
        <v>70</v>
      </c>
      <c r="G261" s="21" t="n">
        <f aca="false">IFERROR(1-E261/F261,"")</f>
        <v>0.500714285714286</v>
      </c>
      <c r="H261" s="11" t="n">
        <v>59.95</v>
      </c>
      <c r="I261" s="12" t="n">
        <f aca="false">ROUND(H261*F261/E261,0)</f>
        <v>120</v>
      </c>
      <c r="J261" s="21" t="n">
        <f aca="false">IFERROR(1-H261/I261,"")</f>
        <v>0.500416666666667</v>
      </c>
      <c r="K261" s="11" t="n">
        <f aca="false">H261-E261</f>
        <v>25</v>
      </c>
      <c r="L261" s="22" t="n">
        <f aca="false">IFERROR(H261/E261-1,"")</f>
        <v>0.715307582260372</v>
      </c>
      <c r="M261" s="23" t="n">
        <v>24</v>
      </c>
      <c r="N261" s="10"/>
    </row>
    <row r="262" customFormat="false" ht="15" hidden="false" customHeight="false" outlineLevel="0" collapsed="false">
      <c r="A262" s="14" t="s">
        <v>586</v>
      </c>
      <c r="B262" s="14" t="s">
        <v>587</v>
      </c>
      <c r="C262" s="14" t="s">
        <v>38</v>
      </c>
      <c r="D262" s="14" t="s">
        <v>16</v>
      </c>
      <c r="E262" s="15" t="n">
        <v>39.95</v>
      </c>
      <c r="F262" s="15" t="n">
        <v>80</v>
      </c>
      <c r="G262" s="17" t="n">
        <f aca="false">IFERROR(1-E262/F262,"")</f>
        <v>0.500625</v>
      </c>
      <c r="H262" s="15" t="n">
        <v>59.95</v>
      </c>
      <c r="I262" s="18" t="n">
        <f aca="false">ROUND(H262*F262/E262,0)</f>
        <v>120</v>
      </c>
      <c r="J262" s="17" t="n">
        <f aca="false">IFERROR(1-H262/I262,"")</f>
        <v>0.500416666666667</v>
      </c>
      <c r="K262" s="15" t="n">
        <f aca="false">H262-E262</f>
        <v>20</v>
      </c>
      <c r="L262" s="19" t="n">
        <f aca="false">IFERROR(H262/E262-1,"")</f>
        <v>0.500625782227785</v>
      </c>
      <c r="M262" s="20" t="n">
        <v>51</v>
      </c>
      <c r="N262" s="14"/>
    </row>
    <row r="263" customFormat="false" ht="15" hidden="false" customHeight="false" outlineLevel="0" collapsed="false">
      <c r="A263" s="10" t="s">
        <v>588</v>
      </c>
      <c r="B263" s="10" t="s">
        <v>589</v>
      </c>
      <c r="C263" s="10" t="s">
        <v>38</v>
      </c>
      <c r="D263" s="10" t="s">
        <v>16</v>
      </c>
      <c r="E263" s="11" t="n">
        <v>39.95</v>
      </c>
      <c r="F263" s="11" t="n">
        <v>80</v>
      </c>
      <c r="G263" s="21" t="n">
        <f aca="false">IFERROR(1-E263/F263,"")</f>
        <v>0.500625</v>
      </c>
      <c r="H263" s="11" t="n">
        <v>59.95</v>
      </c>
      <c r="I263" s="12" t="n">
        <f aca="false">ROUND(H263*F263/E263,0)</f>
        <v>120</v>
      </c>
      <c r="J263" s="21" t="n">
        <f aca="false">IFERROR(1-H263/I263,"")</f>
        <v>0.500416666666667</v>
      </c>
      <c r="K263" s="11" t="n">
        <f aca="false">H263-E263</f>
        <v>20</v>
      </c>
      <c r="L263" s="22" t="n">
        <f aca="false">IFERROR(H263/E263-1,"")</f>
        <v>0.500625782227785</v>
      </c>
      <c r="M263" s="23" t="n">
        <v>51</v>
      </c>
      <c r="N263" s="10"/>
    </row>
    <row r="264" customFormat="false" ht="15" hidden="false" customHeight="false" outlineLevel="0" collapsed="false">
      <c r="A264" s="14" t="s">
        <v>590</v>
      </c>
      <c r="B264" s="14" t="s">
        <v>591</v>
      </c>
      <c r="C264" s="14" t="s">
        <v>38</v>
      </c>
      <c r="D264" s="14" t="s">
        <v>16</v>
      </c>
      <c r="E264" s="15" t="n">
        <v>39.95</v>
      </c>
      <c r="F264" s="15" t="n">
        <v>80</v>
      </c>
      <c r="G264" s="17" t="n">
        <f aca="false">IFERROR(1-E264/F264,"")</f>
        <v>0.500625</v>
      </c>
      <c r="H264" s="15" t="n">
        <v>59.95</v>
      </c>
      <c r="I264" s="18" t="n">
        <f aca="false">ROUND(H264*F264/E264,0)</f>
        <v>120</v>
      </c>
      <c r="J264" s="17" t="n">
        <f aca="false">IFERROR(1-H264/I264,"")</f>
        <v>0.500416666666667</v>
      </c>
      <c r="K264" s="15" t="n">
        <f aca="false">H264-E264</f>
        <v>20</v>
      </c>
      <c r="L264" s="19" t="n">
        <f aca="false">IFERROR(H264/E264-1,"")</f>
        <v>0.500625782227785</v>
      </c>
      <c r="M264" s="20" t="n">
        <v>102</v>
      </c>
      <c r="N264" s="14"/>
    </row>
    <row r="265" customFormat="false" ht="15" hidden="false" customHeight="false" outlineLevel="0" collapsed="false">
      <c r="A265" s="10" t="s">
        <v>592</v>
      </c>
      <c r="B265" s="10" t="s">
        <v>593</v>
      </c>
      <c r="C265" s="10" t="s">
        <v>38</v>
      </c>
      <c r="D265" s="10" t="s">
        <v>16</v>
      </c>
      <c r="E265" s="11" t="n">
        <v>39.95</v>
      </c>
      <c r="F265" s="11" t="n">
        <v>80</v>
      </c>
      <c r="G265" s="21" t="n">
        <f aca="false">IFERROR(1-E265/F265,"")</f>
        <v>0.500625</v>
      </c>
      <c r="H265" s="11" t="n">
        <v>59.95</v>
      </c>
      <c r="I265" s="12" t="n">
        <f aca="false">ROUND(H265*F265/E265,0)</f>
        <v>120</v>
      </c>
      <c r="J265" s="21" t="n">
        <f aca="false">IFERROR(1-H265/I265,"")</f>
        <v>0.500416666666667</v>
      </c>
      <c r="K265" s="11" t="n">
        <f aca="false">H265-E265</f>
        <v>20</v>
      </c>
      <c r="L265" s="22" t="n">
        <f aca="false">IFERROR(H265/E265-1,"")</f>
        <v>0.500625782227785</v>
      </c>
      <c r="M265" s="23" t="n">
        <v>85</v>
      </c>
      <c r="N265" s="10"/>
    </row>
    <row r="266" customFormat="false" ht="15" hidden="false" customHeight="false" outlineLevel="0" collapsed="false">
      <c r="A266" s="14" t="s">
        <v>594</v>
      </c>
      <c r="B266" s="14" t="s">
        <v>595</v>
      </c>
      <c r="C266" s="14" t="s">
        <v>38</v>
      </c>
      <c r="D266" s="14" t="s">
        <v>16</v>
      </c>
      <c r="E266" s="15" t="n">
        <v>42.95</v>
      </c>
      <c r="F266" s="15" t="n">
        <v>86</v>
      </c>
      <c r="G266" s="17" t="n">
        <f aca="false">IFERROR(1-E266/F266,"")</f>
        <v>0.500581395348837</v>
      </c>
      <c r="H266" s="15" t="n">
        <v>59.95</v>
      </c>
      <c r="I266" s="18" t="n">
        <f aca="false">ROUND(H266*F266/E266,0)</f>
        <v>120</v>
      </c>
      <c r="J266" s="17" t="n">
        <f aca="false">IFERROR(1-H266/I266,"")</f>
        <v>0.500416666666667</v>
      </c>
      <c r="K266" s="15" t="n">
        <f aca="false">H266-E266</f>
        <v>17</v>
      </c>
      <c r="L266" s="19" t="n">
        <f aca="false">IFERROR(H266/E266-1,"")</f>
        <v>0.39580908032596</v>
      </c>
      <c r="M266" s="20" t="n">
        <v>98</v>
      </c>
      <c r="N266" s="14"/>
    </row>
    <row r="267" customFormat="false" ht="15" hidden="false" customHeight="false" outlineLevel="0" collapsed="false">
      <c r="A267" s="10" t="s">
        <v>596</v>
      </c>
      <c r="B267" s="10" t="s">
        <v>597</v>
      </c>
      <c r="C267" s="10" t="s">
        <v>38</v>
      </c>
      <c r="D267" s="10" t="s">
        <v>16</v>
      </c>
      <c r="E267" s="11" t="n">
        <v>42.95</v>
      </c>
      <c r="F267" s="11" t="n">
        <v>86</v>
      </c>
      <c r="G267" s="21" t="n">
        <f aca="false">IFERROR(1-E267/F267,"")</f>
        <v>0.500581395348837</v>
      </c>
      <c r="H267" s="11" t="n">
        <v>59.95</v>
      </c>
      <c r="I267" s="12" t="n">
        <f aca="false">ROUND(H267*F267/E267,0)</f>
        <v>120</v>
      </c>
      <c r="J267" s="21" t="n">
        <f aca="false">IFERROR(1-H267/I267,"")</f>
        <v>0.500416666666667</v>
      </c>
      <c r="K267" s="11" t="n">
        <f aca="false">H267-E267</f>
        <v>17</v>
      </c>
      <c r="L267" s="22" t="n">
        <f aca="false">IFERROR(H267/E267-1,"")</f>
        <v>0.39580908032596</v>
      </c>
      <c r="M267" s="23" t="n">
        <v>68</v>
      </c>
      <c r="N267" s="10"/>
    </row>
    <row r="268" customFormat="false" ht="15" hidden="false" customHeight="false" outlineLevel="0" collapsed="false">
      <c r="A268" s="14" t="s">
        <v>598</v>
      </c>
      <c r="B268" s="14" t="s">
        <v>599</v>
      </c>
      <c r="C268" s="14" t="s">
        <v>38</v>
      </c>
      <c r="D268" s="14" t="s">
        <v>16</v>
      </c>
      <c r="E268" s="15" t="n">
        <v>44.95</v>
      </c>
      <c r="F268" s="15" t="n">
        <v>90</v>
      </c>
      <c r="G268" s="17" t="n">
        <f aca="false">IFERROR(1-E268/F268,"")</f>
        <v>0.500555555555556</v>
      </c>
      <c r="H268" s="15" t="n">
        <v>59.95</v>
      </c>
      <c r="I268" s="18" t="n">
        <f aca="false">ROUND(H268*F268/E268,0)</f>
        <v>120</v>
      </c>
      <c r="J268" s="17" t="n">
        <f aca="false">IFERROR(1-H268/I268,"")</f>
        <v>0.500416666666667</v>
      </c>
      <c r="K268" s="15" t="n">
        <f aca="false">H268-E268</f>
        <v>15</v>
      </c>
      <c r="L268" s="19" t="n">
        <f aca="false">IFERROR(H268/E268-1,"")</f>
        <v>0.333704115684093</v>
      </c>
      <c r="M268" s="20" t="n">
        <v>68</v>
      </c>
      <c r="N268" s="14"/>
    </row>
    <row r="269" customFormat="false" ht="15" hidden="false" customHeight="false" outlineLevel="0" collapsed="false">
      <c r="A269" s="10" t="s">
        <v>600</v>
      </c>
      <c r="B269" s="10" t="s">
        <v>601</v>
      </c>
      <c r="C269" s="10" t="s">
        <v>38</v>
      </c>
      <c r="D269" s="10" t="s">
        <v>16</v>
      </c>
      <c r="E269" s="11" t="n">
        <v>44.95</v>
      </c>
      <c r="F269" s="11" t="n">
        <v>90</v>
      </c>
      <c r="G269" s="21" t="n">
        <f aca="false">IFERROR(1-E269/F269,"")</f>
        <v>0.500555555555556</v>
      </c>
      <c r="H269" s="11" t="n">
        <v>59.95</v>
      </c>
      <c r="I269" s="12" t="n">
        <f aca="false">ROUND(H269*F269/E269,0)</f>
        <v>120</v>
      </c>
      <c r="J269" s="21" t="n">
        <f aca="false">IFERROR(1-H269/I269,"")</f>
        <v>0.500416666666667</v>
      </c>
      <c r="K269" s="11" t="n">
        <f aca="false">H269-E269</f>
        <v>15</v>
      </c>
      <c r="L269" s="22" t="n">
        <f aca="false">IFERROR(H269/E269-1,"")</f>
        <v>0.333704115684093</v>
      </c>
      <c r="M269" s="23" t="n">
        <v>56</v>
      </c>
      <c r="N269" s="10"/>
    </row>
    <row r="270" customFormat="false" ht="15" hidden="false" customHeight="false" outlineLevel="0" collapsed="false">
      <c r="A270" s="14" t="s">
        <v>602</v>
      </c>
      <c r="B270" s="14" t="s">
        <v>603</v>
      </c>
      <c r="C270" s="14" t="s">
        <v>38</v>
      </c>
      <c r="D270" s="14" t="s">
        <v>16</v>
      </c>
      <c r="E270" s="15" t="n">
        <v>44.95</v>
      </c>
      <c r="F270" s="15" t="n">
        <v>90</v>
      </c>
      <c r="G270" s="17" t="n">
        <f aca="false">IFERROR(1-E270/F270,"")</f>
        <v>0.500555555555556</v>
      </c>
      <c r="H270" s="15" t="n">
        <v>59.95</v>
      </c>
      <c r="I270" s="18" t="n">
        <f aca="false">ROUND(H270*F270/E270,0)</f>
        <v>120</v>
      </c>
      <c r="J270" s="17" t="n">
        <f aca="false">IFERROR(1-H270/I270,"")</f>
        <v>0.500416666666667</v>
      </c>
      <c r="K270" s="15" t="n">
        <f aca="false">H270-E270</f>
        <v>15</v>
      </c>
      <c r="L270" s="19" t="n">
        <f aca="false">IFERROR(H270/E270-1,"")</f>
        <v>0.333704115684093</v>
      </c>
      <c r="M270" s="20" t="n">
        <v>102</v>
      </c>
      <c r="N270" s="14"/>
    </row>
    <row r="271" customFormat="false" ht="15" hidden="false" customHeight="false" outlineLevel="0" collapsed="false">
      <c r="A271" s="10" t="s">
        <v>604</v>
      </c>
      <c r="B271" s="10" t="s">
        <v>605</v>
      </c>
      <c r="C271" s="10" t="s">
        <v>38</v>
      </c>
      <c r="D271" s="10" t="s">
        <v>16</v>
      </c>
      <c r="E271" s="11" t="n">
        <v>44.95</v>
      </c>
      <c r="F271" s="11" t="n">
        <v>90</v>
      </c>
      <c r="G271" s="21" t="n">
        <f aca="false">IFERROR(1-E271/F271,"")</f>
        <v>0.500555555555556</v>
      </c>
      <c r="H271" s="11" t="n">
        <v>59.95</v>
      </c>
      <c r="I271" s="12" t="n">
        <f aca="false">ROUND(H271*F271/E271,0)</f>
        <v>120</v>
      </c>
      <c r="J271" s="21" t="n">
        <f aca="false">IFERROR(1-H271/I271,"")</f>
        <v>0.500416666666667</v>
      </c>
      <c r="K271" s="11" t="n">
        <f aca="false">H271-E271</f>
        <v>15</v>
      </c>
      <c r="L271" s="22" t="n">
        <f aca="false">IFERROR(H271/E271-1,"")</f>
        <v>0.333704115684093</v>
      </c>
      <c r="M271" s="23" t="n">
        <v>136</v>
      </c>
      <c r="N271" s="10"/>
    </row>
    <row r="272" customFormat="false" ht="15" hidden="false" customHeight="false" outlineLevel="0" collapsed="false">
      <c r="A272" s="14" t="s">
        <v>606</v>
      </c>
      <c r="B272" s="14" t="s">
        <v>607</v>
      </c>
      <c r="C272" s="14" t="s">
        <v>38</v>
      </c>
      <c r="D272" s="14" t="s">
        <v>16</v>
      </c>
      <c r="E272" s="15" t="n">
        <v>44.95</v>
      </c>
      <c r="F272" s="15" t="n">
        <v>90</v>
      </c>
      <c r="G272" s="17" t="n">
        <f aca="false">IFERROR(1-E272/F272,"")</f>
        <v>0.500555555555556</v>
      </c>
      <c r="H272" s="15" t="n">
        <v>59.95</v>
      </c>
      <c r="I272" s="18" t="n">
        <f aca="false">ROUND(H272*F272/E272,0)</f>
        <v>120</v>
      </c>
      <c r="J272" s="17" t="n">
        <f aca="false">IFERROR(1-H272/I272,"")</f>
        <v>0.500416666666667</v>
      </c>
      <c r="K272" s="15" t="n">
        <f aca="false">H272-E272</f>
        <v>15</v>
      </c>
      <c r="L272" s="19" t="n">
        <f aca="false">IFERROR(H272/E272-1,"")</f>
        <v>0.333704115684093</v>
      </c>
      <c r="M272" s="20" t="n">
        <v>136</v>
      </c>
      <c r="N272" s="14"/>
    </row>
    <row r="273" customFormat="false" ht="15" hidden="false" customHeight="false" outlineLevel="0" collapsed="false">
      <c r="A273" s="10" t="s">
        <v>608</v>
      </c>
      <c r="B273" s="10" t="s">
        <v>609</v>
      </c>
      <c r="C273" s="10" t="s">
        <v>38</v>
      </c>
      <c r="D273" s="10" t="s">
        <v>16</v>
      </c>
      <c r="E273" s="11" t="n">
        <v>44.95</v>
      </c>
      <c r="F273" s="11" t="n">
        <v>90</v>
      </c>
      <c r="G273" s="21" t="n">
        <f aca="false">IFERROR(1-E273/F273,"")</f>
        <v>0.500555555555556</v>
      </c>
      <c r="H273" s="11" t="n">
        <v>59.95</v>
      </c>
      <c r="I273" s="12" t="n">
        <f aca="false">ROUND(H273*F273/E273,0)</f>
        <v>120</v>
      </c>
      <c r="J273" s="21" t="n">
        <f aca="false">IFERROR(1-H273/I273,"")</f>
        <v>0.500416666666667</v>
      </c>
      <c r="K273" s="11" t="n">
        <f aca="false">H273-E273</f>
        <v>15</v>
      </c>
      <c r="L273" s="22" t="n">
        <f aca="false">IFERROR(H273/E273-1,"")</f>
        <v>0.333704115684093</v>
      </c>
      <c r="M273" s="23" t="n">
        <v>102</v>
      </c>
      <c r="N273" s="10"/>
    </row>
    <row r="274" customFormat="false" ht="15" hidden="false" customHeight="false" outlineLevel="0" collapsed="false">
      <c r="A274" s="14" t="s">
        <v>610</v>
      </c>
      <c r="B274" s="14" t="s">
        <v>611</v>
      </c>
      <c r="C274" s="14" t="s">
        <v>38</v>
      </c>
      <c r="D274" s="14" t="s">
        <v>16</v>
      </c>
      <c r="E274" s="15" t="n">
        <v>44.95</v>
      </c>
      <c r="F274" s="15" t="n">
        <v>90</v>
      </c>
      <c r="G274" s="17" t="n">
        <f aca="false">IFERROR(1-E274/F274,"")</f>
        <v>0.500555555555556</v>
      </c>
      <c r="H274" s="15" t="n">
        <v>59.95</v>
      </c>
      <c r="I274" s="18" t="n">
        <f aca="false">ROUND(H274*F274/E274,0)</f>
        <v>120</v>
      </c>
      <c r="J274" s="17" t="n">
        <f aca="false">IFERROR(1-H274/I274,"")</f>
        <v>0.500416666666667</v>
      </c>
      <c r="K274" s="15" t="n">
        <f aca="false">H274-E274</f>
        <v>15</v>
      </c>
      <c r="L274" s="19" t="n">
        <f aca="false">IFERROR(H274/E274-1,"")</f>
        <v>0.333704115684093</v>
      </c>
      <c r="M274" s="20" t="n">
        <v>51</v>
      </c>
      <c r="N274" s="14"/>
    </row>
    <row r="275" customFormat="false" ht="15" hidden="false" customHeight="false" outlineLevel="0" collapsed="false">
      <c r="A275" s="10" t="s">
        <v>612</v>
      </c>
      <c r="B275" s="10" t="s">
        <v>613</v>
      </c>
      <c r="C275" s="10" t="s">
        <v>38</v>
      </c>
      <c r="D275" s="10" t="s">
        <v>16</v>
      </c>
      <c r="E275" s="11" t="n">
        <v>44.95</v>
      </c>
      <c r="F275" s="11" t="n">
        <v>90</v>
      </c>
      <c r="G275" s="21" t="n">
        <f aca="false">IFERROR(1-E275/F275,"")</f>
        <v>0.500555555555556</v>
      </c>
      <c r="H275" s="11" t="n">
        <v>59.95</v>
      </c>
      <c r="I275" s="12" t="n">
        <f aca="false">ROUND(H275*F275/E275,0)</f>
        <v>120</v>
      </c>
      <c r="J275" s="21" t="n">
        <f aca="false">IFERROR(1-H275/I275,"")</f>
        <v>0.500416666666667</v>
      </c>
      <c r="K275" s="11" t="n">
        <f aca="false">H275-E275</f>
        <v>15</v>
      </c>
      <c r="L275" s="22" t="n">
        <f aca="false">IFERROR(H275/E275-1,"")</f>
        <v>0.333704115684093</v>
      </c>
      <c r="M275" s="23" t="n">
        <v>136</v>
      </c>
      <c r="N275" s="10"/>
    </row>
    <row r="276" customFormat="false" ht="15" hidden="false" customHeight="false" outlineLevel="0" collapsed="false">
      <c r="A276" s="14" t="s">
        <v>614</v>
      </c>
      <c r="B276" s="14" t="s">
        <v>615</v>
      </c>
      <c r="C276" s="14" t="s">
        <v>38</v>
      </c>
      <c r="D276" s="14" t="s">
        <v>16</v>
      </c>
      <c r="E276" s="15" t="n">
        <v>44.95</v>
      </c>
      <c r="F276" s="15" t="n">
        <v>90</v>
      </c>
      <c r="G276" s="17" t="n">
        <f aca="false">IFERROR(1-E276/F276,"")</f>
        <v>0.500555555555556</v>
      </c>
      <c r="H276" s="15" t="n">
        <v>59.95</v>
      </c>
      <c r="I276" s="18" t="n">
        <f aca="false">ROUND(H276*F276/E276,0)</f>
        <v>120</v>
      </c>
      <c r="J276" s="17" t="n">
        <f aca="false">IFERROR(1-H276/I276,"")</f>
        <v>0.500416666666667</v>
      </c>
      <c r="K276" s="15" t="n">
        <f aca="false">H276-E276</f>
        <v>15</v>
      </c>
      <c r="L276" s="19" t="n">
        <f aca="false">IFERROR(H276/E276-1,"")</f>
        <v>0.333704115684093</v>
      </c>
      <c r="M276" s="20" t="n">
        <v>187</v>
      </c>
      <c r="N276" s="14"/>
    </row>
    <row r="277" customFormat="false" ht="15" hidden="false" customHeight="false" outlineLevel="0" collapsed="false">
      <c r="A277" s="10" t="s">
        <v>616</v>
      </c>
      <c r="B277" s="10" t="s">
        <v>617</v>
      </c>
      <c r="C277" s="10" t="s">
        <v>38</v>
      </c>
      <c r="D277" s="10" t="s">
        <v>16</v>
      </c>
      <c r="E277" s="11" t="n">
        <v>44.95</v>
      </c>
      <c r="F277" s="11" t="n">
        <v>90</v>
      </c>
      <c r="G277" s="21" t="n">
        <f aca="false">IFERROR(1-E277/F277,"")</f>
        <v>0.500555555555556</v>
      </c>
      <c r="H277" s="11" t="n">
        <v>59.95</v>
      </c>
      <c r="I277" s="12" t="n">
        <f aca="false">ROUND(H277*F277/E277,0)</f>
        <v>120</v>
      </c>
      <c r="J277" s="21" t="n">
        <f aca="false">IFERROR(1-H277/I277,"")</f>
        <v>0.500416666666667</v>
      </c>
      <c r="K277" s="11" t="n">
        <f aca="false">H277-E277</f>
        <v>15</v>
      </c>
      <c r="L277" s="22" t="n">
        <f aca="false">IFERROR(H277/E277-1,"")</f>
        <v>0.333704115684093</v>
      </c>
      <c r="M277" s="23" t="n">
        <v>187</v>
      </c>
      <c r="N277" s="10"/>
    </row>
    <row r="278" customFormat="false" ht="15" hidden="false" customHeight="false" outlineLevel="0" collapsed="false">
      <c r="A278" s="14" t="s">
        <v>618</v>
      </c>
      <c r="B278" s="14" t="s">
        <v>619</v>
      </c>
      <c r="C278" s="14" t="s">
        <v>38</v>
      </c>
      <c r="D278" s="14" t="s">
        <v>16</v>
      </c>
      <c r="E278" s="15" t="n">
        <v>47.95</v>
      </c>
      <c r="F278" s="15" t="n">
        <v>96</v>
      </c>
      <c r="G278" s="17" t="n">
        <f aca="false">IFERROR(1-E278/F278,"")</f>
        <v>0.500520833333333</v>
      </c>
      <c r="H278" s="15" t="n">
        <v>59.95</v>
      </c>
      <c r="I278" s="18" t="n">
        <f aca="false">ROUND(H278*F278/E278,0)</f>
        <v>120</v>
      </c>
      <c r="J278" s="17" t="n">
        <f aca="false">IFERROR(1-H278/I278,"")</f>
        <v>0.500416666666667</v>
      </c>
      <c r="K278" s="15" t="n">
        <f aca="false">H278-E278</f>
        <v>12</v>
      </c>
      <c r="L278" s="19" t="n">
        <f aca="false">IFERROR(H278/E278-1,"")</f>
        <v>0.250260688216893</v>
      </c>
      <c r="M278" s="20" t="n">
        <v>17</v>
      </c>
      <c r="N278" s="14"/>
    </row>
    <row r="279" customFormat="false" ht="15" hidden="false" customHeight="false" outlineLevel="0" collapsed="false">
      <c r="A279" s="10" t="s">
        <v>620</v>
      </c>
      <c r="B279" s="10" t="s">
        <v>621</v>
      </c>
      <c r="C279" s="10" t="s">
        <v>38</v>
      </c>
      <c r="D279" s="10" t="s">
        <v>16</v>
      </c>
      <c r="E279" s="11" t="n">
        <v>49.95</v>
      </c>
      <c r="F279" s="11" t="n">
        <v>100</v>
      </c>
      <c r="G279" s="21" t="n">
        <f aca="false">IFERROR(1-E279/F279,"")</f>
        <v>0.5005</v>
      </c>
      <c r="H279" s="11" t="n">
        <v>59.95</v>
      </c>
      <c r="I279" s="12" t="n">
        <f aca="false">ROUND(H279*F279/E279,0)</f>
        <v>120</v>
      </c>
      <c r="J279" s="21" t="n">
        <f aca="false">IFERROR(1-H279/I279,"")</f>
        <v>0.500416666666667</v>
      </c>
      <c r="K279" s="11" t="n">
        <f aca="false">H279-E279</f>
        <v>10</v>
      </c>
      <c r="L279" s="22" t="n">
        <f aca="false">IFERROR(H279/E279-1,"")</f>
        <v>0.2002002002002</v>
      </c>
      <c r="M279" s="23" t="n">
        <v>34</v>
      </c>
      <c r="N279" s="10"/>
    </row>
    <row r="280" customFormat="false" ht="15" hidden="false" customHeight="false" outlineLevel="0" collapsed="false">
      <c r="A280" s="14" t="s">
        <v>622</v>
      </c>
      <c r="B280" s="14" t="s">
        <v>623</v>
      </c>
      <c r="C280" s="14" t="s">
        <v>38</v>
      </c>
      <c r="D280" s="14" t="s">
        <v>16</v>
      </c>
      <c r="E280" s="15" t="n">
        <v>49.95</v>
      </c>
      <c r="F280" s="15" t="n">
        <v>100</v>
      </c>
      <c r="G280" s="17" t="n">
        <f aca="false">IFERROR(1-E280/F280,"")</f>
        <v>0.5005</v>
      </c>
      <c r="H280" s="15" t="n">
        <v>59.95</v>
      </c>
      <c r="I280" s="18" t="n">
        <f aca="false">ROUND(H280*F280/E280,0)</f>
        <v>120</v>
      </c>
      <c r="J280" s="17" t="n">
        <f aca="false">IFERROR(1-H280/I280,"")</f>
        <v>0.500416666666667</v>
      </c>
      <c r="K280" s="15" t="n">
        <f aca="false">H280-E280</f>
        <v>10</v>
      </c>
      <c r="L280" s="19" t="n">
        <f aca="false">IFERROR(H280/E280-1,"")</f>
        <v>0.2002002002002</v>
      </c>
      <c r="M280" s="20" t="n">
        <v>51</v>
      </c>
      <c r="N280" s="14"/>
    </row>
    <row r="281" customFormat="false" ht="15" hidden="false" customHeight="false" outlineLevel="0" collapsed="false">
      <c r="A281" s="10" t="s">
        <v>624</v>
      </c>
      <c r="B281" s="10" t="s">
        <v>625</v>
      </c>
      <c r="C281" s="10" t="s">
        <v>38</v>
      </c>
      <c r="D281" s="10" t="s">
        <v>16</v>
      </c>
      <c r="E281" s="11" t="n">
        <v>49.95</v>
      </c>
      <c r="F281" s="11" t="n">
        <v>100</v>
      </c>
      <c r="G281" s="21" t="n">
        <f aca="false">IFERROR(1-E281/F281,"")</f>
        <v>0.5005</v>
      </c>
      <c r="H281" s="11" t="n">
        <v>59.95</v>
      </c>
      <c r="I281" s="12" t="n">
        <f aca="false">ROUND(H281*F281/E281,0)</f>
        <v>120</v>
      </c>
      <c r="J281" s="21" t="n">
        <f aca="false">IFERROR(1-H281/I281,"")</f>
        <v>0.500416666666667</v>
      </c>
      <c r="K281" s="11" t="n">
        <f aca="false">H281-E281</f>
        <v>10</v>
      </c>
      <c r="L281" s="22" t="n">
        <f aca="false">IFERROR(H281/E281-1,"")</f>
        <v>0.2002002002002</v>
      </c>
      <c r="M281" s="23" t="n">
        <v>24</v>
      </c>
      <c r="N281" s="10"/>
    </row>
    <row r="282" customFormat="false" ht="15" hidden="false" customHeight="false" outlineLevel="0" collapsed="false">
      <c r="A282" s="14" t="s">
        <v>626</v>
      </c>
      <c r="B282" s="14" t="s">
        <v>627</v>
      </c>
      <c r="C282" s="14" t="s">
        <v>38</v>
      </c>
      <c r="D282" s="14" t="s">
        <v>16</v>
      </c>
      <c r="E282" s="15" t="n">
        <v>49.95</v>
      </c>
      <c r="F282" s="15" t="n">
        <v>100</v>
      </c>
      <c r="G282" s="17" t="n">
        <f aca="false">IFERROR(1-E282/F282,"")</f>
        <v>0.5005</v>
      </c>
      <c r="H282" s="15" t="n">
        <v>59.95</v>
      </c>
      <c r="I282" s="18" t="n">
        <f aca="false">ROUND(H282*F282/E282,0)</f>
        <v>120</v>
      </c>
      <c r="J282" s="17" t="n">
        <f aca="false">IFERROR(1-H282/I282,"")</f>
        <v>0.500416666666667</v>
      </c>
      <c r="K282" s="15" t="n">
        <f aca="false">H282-E282</f>
        <v>10</v>
      </c>
      <c r="L282" s="19" t="n">
        <f aca="false">IFERROR(H282/E282-1,"")</f>
        <v>0.2002002002002</v>
      </c>
      <c r="M282" s="20" t="n">
        <v>102</v>
      </c>
      <c r="N282" s="14"/>
    </row>
    <row r="283" customFormat="false" ht="15" hidden="false" customHeight="false" outlineLevel="0" collapsed="false">
      <c r="A283" s="10" t="s">
        <v>628</v>
      </c>
      <c r="B283" s="10" t="s">
        <v>629</v>
      </c>
      <c r="C283" s="10" t="s">
        <v>38</v>
      </c>
      <c r="D283" s="10" t="s">
        <v>16</v>
      </c>
      <c r="E283" s="11" t="n">
        <v>49.95</v>
      </c>
      <c r="F283" s="11" t="n">
        <v>100</v>
      </c>
      <c r="G283" s="21" t="n">
        <f aca="false">IFERROR(1-E283/F283,"")</f>
        <v>0.5005</v>
      </c>
      <c r="H283" s="11" t="n">
        <v>59.95</v>
      </c>
      <c r="I283" s="12" t="n">
        <f aca="false">ROUND(H283*F283/E283,0)</f>
        <v>120</v>
      </c>
      <c r="J283" s="21" t="n">
        <f aca="false">IFERROR(1-H283/I283,"")</f>
        <v>0.500416666666667</v>
      </c>
      <c r="K283" s="11" t="n">
        <f aca="false">H283-E283</f>
        <v>10</v>
      </c>
      <c r="L283" s="22" t="n">
        <f aca="false">IFERROR(H283/E283-1,"")</f>
        <v>0.2002002002002</v>
      </c>
      <c r="M283" s="23" t="n">
        <v>102</v>
      </c>
      <c r="N283" s="10"/>
    </row>
    <row r="284" customFormat="false" ht="15" hidden="false" customHeight="false" outlineLevel="0" collapsed="false">
      <c r="A284" s="14" t="s">
        <v>630</v>
      </c>
      <c r="B284" s="14" t="s">
        <v>631</v>
      </c>
      <c r="C284" s="14" t="s">
        <v>38</v>
      </c>
      <c r="D284" s="14" t="s">
        <v>16</v>
      </c>
      <c r="E284" s="15" t="n">
        <v>49.95</v>
      </c>
      <c r="F284" s="15" t="n">
        <v>100</v>
      </c>
      <c r="G284" s="17" t="n">
        <f aca="false">IFERROR(1-E284/F284,"")</f>
        <v>0.5005</v>
      </c>
      <c r="H284" s="15" t="n">
        <v>59.95</v>
      </c>
      <c r="I284" s="18" t="n">
        <f aca="false">ROUND(H284*F284/E284,0)</f>
        <v>120</v>
      </c>
      <c r="J284" s="17" t="n">
        <f aca="false">IFERROR(1-H284/I284,"")</f>
        <v>0.500416666666667</v>
      </c>
      <c r="K284" s="15" t="n">
        <f aca="false">H284-E284</f>
        <v>10</v>
      </c>
      <c r="L284" s="19" t="n">
        <f aca="false">IFERROR(H284/E284-1,"")</f>
        <v>0.2002002002002</v>
      </c>
      <c r="M284" s="20" t="n">
        <v>102</v>
      </c>
      <c r="N284" s="14"/>
    </row>
    <row r="285" customFormat="false" ht="15" hidden="false" customHeight="false" outlineLevel="0" collapsed="false">
      <c r="A285" s="10" t="s">
        <v>632</v>
      </c>
      <c r="B285" s="10" t="s">
        <v>633</v>
      </c>
      <c r="C285" s="10" t="s">
        <v>38</v>
      </c>
      <c r="D285" s="10" t="s">
        <v>16</v>
      </c>
      <c r="E285" s="11" t="n">
        <v>49.95</v>
      </c>
      <c r="F285" s="11" t="n">
        <v>100</v>
      </c>
      <c r="G285" s="21" t="n">
        <f aca="false">IFERROR(1-E285/F285,"")</f>
        <v>0.5005</v>
      </c>
      <c r="H285" s="11" t="n">
        <v>59.95</v>
      </c>
      <c r="I285" s="12" t="n">
        <f aca="false">ROUND(H285*F285/E285,0)</f>
        <v>120</v>
      </c>
      <c r="J285" s="21" t="n">
        <f aca="false">IFERROR(1-H285/I285,"")</f>
        <v>0.500416666666667</v>
      </c>
      <c r="K285" s="11" t="n">
        <f aca="false">H285-E285</f>
        <v>10</v>
      </c>
      <c r="L285" s="22" t="n">
        <f aca="false">IFERROR(H285/E285-1,"")</f>
        <v>0.2002002002002</v>
      </c>
      <c r="M285" s="23" t="n">
        <v>51</v>
      </c>
      <c r="N285" s="10"/>
    </row>
    <row r="286" customFormat="false" ht="15" hidden="false" customHeight="false" outlineLevel="0" collapsed="false">
      <c r="A286" s="14" t="s">
        <v>634</v>
      </c>
      <c r="B286" s="14" t="s">
        <v>635</v>
      </c>
      <c r="C286" s="14" t="s">
        <v>38</v>
      </c>
      <c r="D286" s="14" t="s">
        <v>16</v>
      </c>
      <c r="E286" s="15" t="n">
        <v>49.95</v>
      </c>
      <c r="F286" s="15" t="n">
        <v>100</v>
      </c>
      <c r="G286" s="17" t="n">
        <f aca="false">IFERROR(1-E286/F286,"")</f>
        <v>0.5005</v>
      </c>
      <c r="H286" s="15" t="n">
        <v>59.95</v>
      </c>
      <c r="I286" s="18" t="n">
        <f aca="false">ROUND(H286*F286/E286,0)</f>
        <v>120</v>
      </c>
      <c r="J286" s="17" t="n">
        <f aca="false">IFERROR(1-H286/I286,"")</f>
        <v>0.500416666666667</v>
      </c>
      <c r="K286" s="15" t="n">
        <f aca="false">H286-E286</f>
        <v>10</v>
      </c>
      <c r="L286" s="19" t="n">
        <f aca="false">IFERROR(H286/E286-1,"")</f>
        <v>0.2002002002002</v>
      </c>
      <c r="M286" s="20" t="n">
        <v>170</v>
      </c>
      <c r="N286" s="14"/>
    </row>
    <row r="287" customFormat="false" ht="15" hidden="false" customHeight="false" outlineLevel="0" collapsed="false">
      <c r="A287" s="10" t="s">
        <v>636</v>
      </c>
      <c r="B287" s="10" t="s">
        <v>637</v>
      </c>
      <c r="C287" s="10" t="s">
        <v>44</v>
      </c>
      <c r="D287" s="10" t="s">
        <v>16</v>
      </c>
      <c r="E287" s="11" t="n">
        <v>29.95</v>
      </c>
      <c r="F287" s="11" t="n">
        <v>60</v>
      </c>
      <c r="G287" s="21" t="n">
        <f aca="false">IFERROR(1-E287/F287,"")</f>
        <v>0.500833333333333</v>
      </c>
      <c r="H287" s="11" t="n">
        <v>59.95</v>
      </c>
      <c r="I287" s="12" t="n">
        <f aca="false">ROUND(H287*F287/E287,0)</f>
        <v>120</v>
      </c>
      <c r="J287" s="21" t="n">
        <f aca="false">IFERROR(1-H287/I287,"")</f>
        <v>0.500416666666667</v>
      </c>
      <c r="K287" s="11" t="n">
        <f aca="false">H287-E287</f>
        <v>30</v>
      </c>
      <c r="L287" s="22" t="n">
        <f aca="false">IFERROR(H287/E287-1,"")</f>
        <v>1.0016694490818</v>
      </c>
      <c r="M287" s="23" t="n">
        <v>35</v>
      </c>
      <c r="N287" s="10"/>
    </row>
    <row r="288" customFormat="false" ht="15" hidden="false" customHeight="false" outlineLevel="0" collapsed="false">
      <c r="A288" s="14" t="s">
        <v>638</v>
      </c>
      <c r="B288" s="14" t="s">
        <v>639</v>
      </c>
      <c r="C288" s="14" t="s">
        <v>44</v>
      </c>
      <c r="D288" s="14" t="s">
        <v>16</v>
      </c>
      <c r="E288" s="15" t="n">
        <v>29.95</v>
      </c>
      <c r="F288" s="15" t="n">
        <v>60</v>
      </c>
      <c r="G288" s="17" t="n">
        <f aca="false">IFERROR(1-E288/F288,"")</f>
        <v>0.500833333333333</v>
      </c>
      <c r="H288" s="15" t="n">
        <v>59.95</v>
      </c>
      <c r="I288" s="18" t="n">
        <f aca="false">ROUND(H288*F288/E288,0)</f>
        <v>120</v>
      </c>
      <c r="J288" s="17" t="n">
        <f aca="false">IFERROR(1-H288/I288,"")</f>
        <v>0.500416666666667</v>
      </c>
      <c r="K288" s="15" t="n">
        <f aca="false">H288-E288</f>
        <v>30</v>
      </c>
      <c r="L288" s="19" t="n">
        <f aca="false">IFERROR(H288/E288-1,"")</f>
        <v>1.0016694490818</v>
      </c>
      <c r="M288" s="20" t="n">
        <v>35</v>
      </c>
      <c r="N288" s="14"/>
    </row>
    <row r="289" customFormat="false" ht="15" hidden="false" customHeight="false" outlineLevel="0" collapsed="false">
      <c r="A289" s="10" t="s">
        <v>640</v>
      </c>
      <c r="B289" s="10" t="s">
        <v>641</v>
      </c>
      <c r="C289" s="10" t="s">
        <v>44</v>
      </c>
      <c r="D289" s="10" t="s">
        <v>16</v>
      </c>
      <c r="E289" s="11" t="n">
        <v>39.95</v>
      </c>
      <c r="F289" s="11" t="n">
        <v>80</v>
      </c>
      <c r="G289" s="21" t="n">
        <f aca="false">IFERROR(1-E289/F289,"")</f>
        <v>0.500625</v>
      </c>
      <c r="H289" s="11" t="n">
        <v>59.95</v>
      </c>
      <c r="I289" s="12" t="n">
        <f aca="false">ROUND(H289*F289/E289,0)</f>
        <v>120</v>
      </c>
      <c r="J289" s="21" t="n">
        <f aca="false">IFERROR(1-H289/I289,"")</f>
        <v>0.500416666666667</v>
      </c>
      <c r="K289" s="11" t="n">
        <f aca="false">H289-E289</f>
        <v>20</v>
      </c>
      <c r="L289" s="22" t="n">
        <f aca="false">IFERROR(H289/E289-1,"")</f>
        <v>0.500625782227785</v>
      </c>
      <c r="M289" s="23" t="n">
        <v>36</v>
      </c>
      <c r="N289" s="10"/>
    </row>
    <row r="290" customFormat="false" ht="15" hidden="false" customHeight="false" outlineLevel="0" collapsed="false">
      <c r="A290" s="14" t="s">
        <v>642</v>
      </c>
      <c r="B290" s="14" t="s">
        <v>643</v>
      </c>
      <c r="C290" s="14" t="s">
        <v>44</v>
      </c>
      <c r="D290" s="14" t="s">
        <v>16</v>
      </c>
      <c r="E290" s="15" t="n">
        <v>39.95</v>
      </c>
      <c r="F290" s="15" t="n">
        <v>80</v>
      </c>
      <c r="G290" s="17" t="n">
        <f aca="false">IFERROR(1-E290/F290,"")</f>
        <v>0.500625</v>
      </c>
      <c r="H290" s="15" t="n">
        <v>59.95</v>
      </c>
      <c r="I290" s="18" t="n">
        <f aca="false">ROUND(H290*F290/E290,0)</f>
        <v>120</v>
      </c>
      <c r="J290" s="17" t="n">
        <f aca="false">IFERROR(1-H290/I290,"")</f>
        <v>0.500416666666667</v>
      </c>
      <c r="K290" s="15" t="n">
        <f aca="false">H290-E290</f>
        <v>20</v>
      </c>
      <c r="L290" s="19" t="n">
        <f aca="false">IFERROR(H290/E290-1,"")</f>
        <v>0.500625782227785</v>
      </c>
      <c r="M290" s="20" t="n">
        <v>30</v>
      </c>
      <c r="N290" s="14"/>
    </row>
    <row r="291" customFormat="false" ht="15" hidden="false" customHeight="false" outlineLevel="0" collapsed="false">
      <c r="A291" s="10" t="s">
        <v>644</v>
      </c>
      <c r="B291" s="10" t="s">
        <v>645</v>
      </c>
      <c r="C291" s="10" t="s">
        <v>44</v>
      </c>
      <c r="D291" s="10" t="s">
        <v>16</v>
      </c>
      <c r="E291" s="11" t="n">
        <v>39.95</v>
      </c>
      <c r="F291" s="11" t="n">
        <v>80</v>
      </c>
      <c r="G291" s="21" t="n">
        <f aca="false">IFERROR(1-E291/F291,"")</f>
        <v>0.500625</v>
      </c>
      <c r="H291" s="11" t="n">
        <v>59.95</v>
      </c>
      <c r="I291" s="12" t="n">
        <f aca="false">ROUND(H291*F291/E291,0)</f>
        <v>120</v>
      </c>
      <c r="J291" s="21" t="n">
        <f aca="false">IFERROR(1-H291/I291,"")</f>
        <v>0.500416666666667</v>
      </c>
      <c r="K291" s="11" t="n">
        <f aca="false">H291-E291</f>
        <v>20</v>
      </c>
      <c r="L291" s="22" t="n">
        <f aca="false">IFERROR(H291/E291-1,"")</f>
        <v>0.500625782227785</v>
      </c>
      <c r="M291" s="23" t="n">
        <v>49</v>
      </c>
      <c r="N291" s="10"/>
    </row>
    <row r="292" customFormat="false" ht="15" hidden="false" customHeight="false" outlineLevel="0" collapsed="false">
      <c r="A292" s="14" t="s">
        <v>646</v>
      </c>
      <c r="B292" s="14" t="s">
        <v>647</v>
      </c>
      <c r="C292" s="14" t="s">
        <v>44</v>
      </c>
      <c r="D292" s="14" t="s">
        <v>16</v>
      </c>
      <c r="E292" s="15" t="n">
        <v>39.95</v>
      </c>
      <c r="F292" s="15" t="n">
        <v>80</v>
      </c>
      <c r="G292" s="17" t="n">
        <f aca="false">IFERROR(1-E292/F292,"")</f>
        <v>0.500625</v>
      </c>
      <c r="H292" s="15" t="n">
        <v>59.95</v>
      </c>
      <c r="I292" s="18" t="n">
        <f aca="false">ROUND(H292*F292/E292,0)</f>
        <v>120</v>
      </c>
      <c r="J292" s="17" t="n">
        <f aca="false">IFERROR(1-H292/I292,"")</f>
        <v>0.500416666666667</v>
      </c>
      <c r="K292" s="15" t="n">
        <f aca="false">H292-E292</f>
        <v>20</v>
      </c>
      <c r="L292" s="19" t="n">
        <f aca="false">IFERROR(H292/E292-1,"")</f>
        <v>0.500625782227785</v>
      </c>
      <c r="M292" s="20" t="n">
        <v>25</v>
      </c>
      <c r="N292" s="14"/>
    </row>
    <row r="293" customFormat="false" ht="15" hidden="false" customHeight="false" outlineLevel="0" collapsed="false">
      <c r="A293" s="10" t="s">
        <v>648</v>
      </c>
      <c r="B293" s="10" t="s">
        <v>649</v>
      </c>
      <c r="C293" s="10" t="s">
        <v>44</v>
      </c>
      <c r="D293" s="10" t="s">
        <v>16</v>
      </c>
      <c r="E293" s="11" t="n">
        <v>39.95</v>
      </c>
      <c r="F293" s="11" t="n">
        <v>80</v>
      </c>
      <c r="G293" s="21" t="n">
        <f aca="false">IFERROR(1-E293/F293,"")</f>
        <v>0.500625</v>
      </c>
      <c r="H293" s="11" t="n">
        <v>59.95</v>
      </c>
      <c r="I293" s="12" t="n">
        <f aca="false">ROUND(H293*F293/E293,0)</f>
        <v>120</v>
      </c>
      <c r="J293" s="21" t="n">
        <f aca="false">IFERROR(1-H293/I293,"")</f>
        <v>0.500416666666667</v>
      </c>
      <c r="K293" s="11" t="n">
        <f aca="false">H293-E293</f>
        <v>20</v>
      </c>
      <c r="L293" s="22" t="n">
        <f aca="false">IFERROR(H293/E293-1,"")</f>
        <v>0.500625782227785</v>
      </c>
      <c r="M293" s="23" t="n">
        <v>36</v>
      </c>
      <c r="N293" s="10"/>
    </row>
    <row r="294" customFormat="false" ht="15" hidden="false" customHeight="false" outlineLevel="0" collapsed="false">
      <c r="A294" s="14" t="s">
        <v>650</v>
      </c>
      <c r="B294" s="14" t="s">
        <v>651</v>
      </c>
      <c r="C294" s="14" t="s">
        <v>44</v>
      </c>
      <c r="D294" s="14" t="s">
        <v>16</v>
      </c>
      <c r="E294" s="15" t="n">
        <v>41.95</v>
      </c>
      <c r="F294" s="15" t="n">
        <v>84</v>
      </c>
      <c r="G294" s="17" t="n">
        <f aca="false">IFERROR(1-E294/F294,"")</f>
        <v>0.500595238095238</v>
      </c>
      <c r="H294" s="15" t="n">
        <v>59.95</v>
      </c>
      <c r="I294" s="18" t="n">
        <f aca="false">ROUND(H294*F294/E294,0)</f>
        <v>120</v>
      </c>
      <c r="J294" s="17" t="n">
        <f aca="false">IFERROR(1-H294/I294,"")</f>
        <v>0.500416666666667</v>
      </c>
      <c r="K294" s="15" t="n">
        <f aca="false">H294-E294</f>
        <v>18</v>
      </c>
      <c r="L294" s="19" t="n">
        <f aca="false">IFERROR(H294/E294-1,"")</f>
        <v>0.429082240762813</v>
      </c>
      <c r="M294" s="20" t="n">
        <v>30</v>
      </c>
      <c r="N294" s="14"/>
    </row>
    <row r="295" customFormat="false" ht="15" hidden="false" customHeight="false" outlineLevel="0" collapsed="false">
      <c r="A295" s="10" t="s">
        <v>652</v>
      </c>
      <c r="B295" s="10" t="s">
        <v>653</v>
      </c>
      <c r="C295" s="10" t="s">
        <v>44</v>
      </c>
      <c r="D295" s="10" t="s">
        <v>16</v>
      </c>
      <c r="E295" s="11" t="n">
        <v>44.95</v>
      </c>
      <c r="F295" s="11" t="n">
        <v>90</v>
      </c>
      <c r="G295" s="21" t="n">
        <f aca="false">IFERROR(1-E295/F295,"")</f>
        <v>0.500555555555556</v>
      </c>
      <c r="H295" s="11" t="n">
        <v>59.95</v>
      </c>
      <c r="I295" s="12" t="n">
        <f aca="false">ROUND(H295*F295/E295,0)</f>
        <v>120</v>
      </c>
      <c r="J295" s="21" t="n">
        <f aca="false">IFERROR(1-H295/I295,"")</f>
        <v>0.500416666666667</v>
      </c>
      <c r="K295" s="11" t="n">
        <f aca="false">H295-E295</f>
        <v>15</v>
      </c>
      <c r="L295" s="22" t="n">
        <f aca="false">IFERROR(H295/E295-1,"")</f>
        <v>0.333704115684093</v>
      </c>
      <c r="M295" s="23" t="n">
        <v>21</v>
      </c>
      <c r="N295" s="10"/>
    </row>
    <row r="296" customFormat="false" ht="15" hidden="false" customHeight="false" outlineLevel="0" collapsed="false">
      <c r="A296" s="14" t="s">
        <v>654</v>
      </c>
      <c r="B296" s="14" t="s">
        <v>655</v>
      </c>
      <c r="C296" s="14" t="s">
        <v>44</v>
      </c>
      <c r="D296" s="14" t="s">
        <v>16</v>
      </c>
      <c r="E296" s="15" t="n">
        <v>44.95</v>
      </c>
      <c r="F296" s="15" t="n">
        <v>90</v>
      </c>
      <c r="G296" s="17" t="n">
        <f aca="false">IFERROR(1-E296/F296,"")</f>
        <v>0.500555555555556</v>
      </c>
      <c r="H296" s="15" t="n">
        <v>59.95</v>
      </c>
      <c r="I296" s="18" t="n">
        <f aca="false">ROUND(H296*F296/E296,0)</f>
        <v>120</v>
      </c>
      <c r="J296" s="17" t="n">
        <f aca="false">IFERROR(1-H296/I296,"")</f>
        <v>0.500416666666667</v>
      </c>
      <c r="K296" s="15" t="n">
        <f aca="false">H296-E296</f>
        <v>15</v>
      </c>
      <c r="L296" s="19" t="n">
        <f aca="false">IFERROR(H296/E296-1,"")</f>
        <v>0.333704115684093</v>
      </c>
      <c r="M296" s="20" t="n">
        <v>42</v>
      </c>
      <c r="N296" s="14"/>
    </row>
    <row r="297" customFormat="false" ht="15" hidden="false" customHeight="false" outlineLevel="0" collapsed="false">
      <c r="A297" s="10" t="s">
        <v>656</v>
      </c>
      <c r="B297" s="10" t="s">
        <v>657</v>
      </c>
      <c r="C297" s="10" t="s">
        <v>44</v>
      </c>
      <c r="D297" s="10" t="s">
        <v>16</v>
      </c>
      <c r="E297" s="11" t="n">
        <v>44.95</v>
      </c>
      <c r="F297" s="11" t="n">
        <v>90</v>
      </c>
      <c r="G297" s="21" t="n">
        <f aca="false">IFERROR(1-E297/F297,"")</f>
        <v>0.500555555555556</v>
      </c>
      <c r="H297" s="11" t="n">
        <v>59.95</v>
      </c>
      <c r="I297" s="12" t="n">
        <f aca="false">ROUND(H297*F297/E297,0)</f>
        <v>120</v>
      </c>
      <c r="J297" s="21" t="n">
        <f aca="false">IFERROR(1-H297/I297,"")</f>
        <v>0.500416666666667</v>
      </c>
      <c r="K297" s="11" t="n">
        <f aca="false">H297-E297</f>
        <v>15</v>
      </c>
      <c r="L297" s="22" t="n">
        <f aca="false">IFERROR(H297/E297-1,"")</f>
        <v>0.333704115684093</v>
      </c>
      <c r="M297" s="23" t="n">
        <v>48</v>
      </c>
      <c r="N297" s="10"/>
    </row>
    <row r="298" customFormat="false" ht="15" hidden="false" customHeight="false" outlineLevel="0" collapsed="false">
      <c r="A298" s="14" t="s">
        <v>658</v>
      </c>
      <c r="B298" s="14" t="s">
        <v>659</v>
      </c>
      <c r="C298" s="14" t="s">
        <v>44</v>
      </c>
      <c r="D298" s="14" t="s">
        <v>16</v>
      </c>
      <c r="E298" s="15" t="n">
        <v>44.95</v>
      </c>
      <c r="F298" s="15" t="n">
        <v>90</v>
      </c>
      <c r="G298" s="17" t="n">
        <f aca="false">IFERROR(1-E298/F298,"")</f>
        <v>0.500555555555556</v>
      </c>
      <c r="H298" s="15" t="n">
        <v>59.95</v>
      </c>
      <c r="I298" s="18" t="n">
        <f aca="false">ROUND(H298*F298/E298,0)</f>
        <v>120</v>
      </c>
      <c r="J298" s="17" t="n">
        <f aca="false">IFERROR(1-H298/I298,"")</f>
        <v>0.500416666666667</v>
      </c>
      <c r="K298" s="15" t="n">
        <f aca="false">H298-E298</f>
        <v>15</v>
      </c>
      <c r="L298" s="19" t="n">
        <f aca="false">IFERROR(H298/E298-1,"")</f>
        <v>0.333704115684093</v>
      </c>
      <c r="M298" s="20" t="n">
        <v>42</v>
      </c>
      <c r="N298" s="14"/>
    </row>
    <row r="299" customFormat="false" ht="15" hidden="false" customHeight="false" outlineLevel="0" collapsed="false">
      <c r="A299" s="10" t="s">
        <v>660</v>
      </c>
      <c r="B299" s="10" t="s">
        <v>661</v>
      </c>
      <c r="C299" s="10" t="s">
        <v>44</v>
      </c>
      <c r="D299" s="10" t="s">
        <v>16</v>
      </c>
      <c r="E299" s="11" t="n">
        <v>47.95</v>
      </c>
      <c r="F299" s="11" t="n">
        <v>96</v>
      </c>
      <c r="G299" s="21" t="n">
        <f aca="false">IFERROR(1-E299/F299,"")</f>
        <v>0.500520833333333</v>
      </c>
      <c r="H299" s="11" t="n">
        <v>59.95</v>
      </c>
      <c r="I299" s="12" t="n">
        <f aca="false">ROUND(H299*F299/E299,0)</f>
        <v>120</v>
      </c>
      <c r="J299" s="21" t="n">
        <f aca="false">IFERROR(1-H299/I299,"")</f>
        <v>0.500416666666667</v>
      </c>
      <c r="K299" s="11" t="n">
        <f aca="false">H299-E299</f>
        <v>12</v>
      </c>
      <c r="L299" s="22" t="n">
        <f aca="false">IFERROR(H299/E299-1,"")</f>
        <v>0.250260688216893</v>
      </c>
      <c r="M299" s="23" t="n">
        <v>48</v>
      </c>
      <c r="N299" s="10"/>
    </row>
    <row r="300" customFormat="false" ht="15" hidden="false" customHeight="false" outlineLevel="0" collapsed="false">
      <c r="A300" s="14" t="s">
        <v>662</v>
      </c>
      <c r="B300" s="14" t="s">
        <v>663</v>
      </c>
      <c r="C300" s="14" t="s">
        <v>44</v>
      </c>
      <c r="D300" s="14" t="s">
        <v>16</v>
      </c>
      <c r="E300" s="15" t="n">
        <v>49.95</v>
      </c>
      <c r="F300" s="15" t="n">
        <v>100</v>
      </c>
      <c r="G300" s="17" t="n">
        <f aca="false">IFERROR(1-E300/F300,"")</f>
        <v>0.5005</v>
      </c>
      <c r="H300" s="15" t="n">
        <v>59.95</v>
      </c>
      <c r="I300" s="18" t="n">
        <f aca="false">ROUND(H300*F300/E300,0)</f>
        <v>120</v>
      </c>
      <c r="J300" s="17" t="n">
        <f aca="false">IFERROR(1-H300/I300,"")</f>
        <v>0.500416666666667</v>
      </c>
      <c r="K300" s="15" t="n">
        <f aca="false">H300-E300</f>
        <v>10</v>
      </c>
      <c r="L300" s="19" t="n">
        <f aca="false">IFERROR(H300/E300-1,"")</f>
        <v>0.2002002002002</v>
      </c>
      <c r="M300" s="20" t="n">
        <v>12</v>
      </c>
      <c r="N300" s="14"/>
    </row>
    <row r="301" customFormat="false" ht="15" hidden="false" customHeight="false" outlineLevel="0" collapsed="false">
      <c r="A301" s="10" t="s">
        <v>664</v>
      </c>
      <c r="B301" s="10" t="s">
        <v>665</v>
      </c>
      <c r="C301" s="10" t="s">
        <v>44</v>
      </c>
      <c r="D301" s="10" t="s">
        <v>16</v>
      </c>
      <c r="E301" s="11" t="n">
        <v>49.95</v>
      </c>
      <c r="F301" s="11" t="n">
        <v>100</v>
      </c>
      <c r="G301" s="21" t="n">
        <f aca="false">IFERROR(1-E301/F301,"")</f>
        <v>0.5005</v>
      </c>
      <c r="H301" s="11" t="n">
        <v>59.95</v>
      </c>
      <c r="I301" s="12" t="n">
        <f aca="false">ROUND(H301*F301/E301,0)</f>
        <v>120</v>
      </c>
      <c r="J301" s="21" t="n">
        <f aca="false">IFERROR(1-H301/I301,"")</f>
        <v>0.500416666666667</v>
      </c>
      <c r="K301" s="11" t="n">
        <f aca="false">H301-E301</f>
        <v>10</v>
      </c>
      <c r="L301" s="22" t="n">
        <f aca="false">IFERROR(H301/E301-1,"")</f>
        <v>0.2002002002002</v>
      </c>
      <c r="M301" s="23" t="n">
        <v>7</v>
      </c>
      <c r="N301" s="10"/>
    </row>
    <row r="302" customFormat="false" ht="15" hidden="false" customHeight="false" outlineLevel="0" collapsed="false">
      <c r="A302" s="14" t="s">
        <v>666</v>
      </c>
      <c r="B302" s="14" t="s">
        <v>667</v>
      </c>
      <c r="C302" s="14" t="s">
        <v>44</v>
      </c>
      <c r="D302" s="14" t="s">
        <v>16</v>
      </c>
      <c r="E302" s="15" t="n">
        <v>49.95</v>
      </c>
      <c r="F302" s="15" t="n">
        <v>100</v>
      </c>
      <c r="G302" s="17" t="n">
        <f aca="false">IFERROR(1-E302/F302,"")</f>
        <v>0.5005</v>
      </c>
      <c r="H302" s="15" t="n">
        <v>59.95</v>
      </c>
      <c r="I302" s="18" t="n">
        <f aca="false">ROUND(H302*F302/E302,0)</f>
        <v>120</v>
      </c>
      <c r="J302" s="17" t="n">
        <f aca="false">IFERROR(1-H302/I302,"")</f>
        <v>0.500416666666667</v>
      </c>
      <c r="K302" s="15" t="n">
        <f aca="false">H302-E302</f>
        <v>10</v>
      </c>
      <c r="L302" s="19" t="n">
        <f aca="false">IFERROR(H302/E302-1,"")</f>
        <v>0.2002002002002</v>
      </c>
      <c r="M302" s="20" t="n">
        <v>35</v>
      </c>
      <c r="N302" s="14"/>
    </row>
    <row r="303" customFormat="false" ht="15" hidden="false" customHeight="false" outlineLevel="0" collapsed="false">
      <c r="A303" s="10" t="s">
        <v>668</v>
      </c>
      <c r="B303" s="10" t="s">
        <v>669</v>
      </c>
      <c r="C303" s="10" t="s">
        <v>44</v>
      </c>
      <c r="D303" s="10" t="s">
        <v>16</v>
      </c>
      <c r="E303" s="11" t="n">
        <v>49.95</v>
      </c>
      <c r="F303" s="11" t="n">
        <v>100</v>
      </c>
      <c r="G303" s="21" t="n">
        <f aca="false">IFERROR(1-E303/F303,"")</f>
        <v>0.5005</v>
      </c>
      <c r="H303" s="11" t="n">
        <v>59.95</v>
      </c>
      <c r="I303" s="12" t="n">
        <f aca="false">ROUND(H303*F303/E303,0)</f>
        <v>120</v>
      </c>
      <c r="J303" s="21" t="n">
        <f aca="false">IFERROR(1-H303/I303,"")</f>
        <v>0.500416666666667</v>
      </c>
      <c r="K303" s="11" t="n">
        <f aca="false">H303-E303</f>
        <v>10</v>
      </c>
      <c r="L303" s="22" t="n">
        <f aca="false">IFERROR(H303/E303-1,"")</f>
        <v>0.2002002002002</v>
      </c>
      <c r="M303" s="23" t="n">
        <v>32</v>
      </c>
      <c r="N303" s="10"/>
    </row>
    <row r="304" customFormat="false" ht="15" hidden="false" customHeight="false" outlineLevel="0" collapsed="false">
      <c r="A304" s="14" t="s">
        <v>670</v>
      </c>
      <c r="B304" s="14" t="s">
        <v>671</v>
      </c>
      <c r="C304" s="14" t="s">
        <v>44</v>
      </c>
      <c r="D304" s="14" t="s">
        <v>16</v>
      </c>
      <c r="E304" s="15" t="n">
        <v>49.95</v>
      </c>
      <c r="F304" s="15" t="n">
        <v>100</v>
      </c>
      <c r="G304" s="17" t="n">
        <f aca="false">IFERROR(1-E304/F304,"")</f>
        <v>0.5005</v>
      </c>
      <c r="H304" s="15" t="n">
        <v>59.95</v>
      </c>
      <c r="I304" s="18" t="n">
        <f aca="false">ROUND(H304*F304/E304,0)</f>
        <v>120</v>
      </c>
      <c r="J304" s="17" t="n">
        <f aca="false">IFERROR(1-H304/I304,"")</f>
        <v>0.500416666666667</v>
      </c>
      <c r="K304" s="15" t="n">
        <f aca="false">H304-E304</f>
        <v>10</v>
      </c>
      <c r="L304" s="19" t="n">
        <f aca="false">IFERROR(H304/E304-1,"")</f>
        <v>0.2002002002002</v>
      </c>
      <c r="M304" s="20" t="n">
        <v>42</v>
      </c>
      <c r="N304" s="14"/>
    </row>
    <row r="305" customFormat="false" ht="15" hidden="false" customHeight="false" outlineLevel="0" collapsed="false">
      <c r="A305" s="10" t="s">
        <v>672</v>
      </c>
      <c r="B305" s="10" t="s">
        <v>673</v>
      </c>
      <c r="C305" s="10" t="s">
        <v>24</v>
      </c>
      <c r="D305" s="10" t="s">
        <v>17</v>
      </c>
      <c r="E305" s="11" t="n">
        <v>34.95</v>
      </c>
      <c r="F305" s="11" t="n">
        <v>70</v>
      </c>
      <c r="G305" s="21" t="n">
        <f aca="false">IFERROR(1-E305/F305,"")</f>
        <v>0.500714285714286</v>
      </c>
      <c r="H305" s="11" t="n">
        <v>69.95</v>
      </c>
      <c r="I305" s="12" t="n">
        <f aca="false">ROUND(H305*F305/E305,0)</f>
        <v>140</v>
      </c>
      <c r="J305" s="21" t="n">
        <f aca="false">IFERROR(1-H305/I305,"")</f>
        <v>0.500357142857143</v>
      </c>
      <c r="K305" s="11" t="n">
        <f aca="false">H305-E305</f>
        <v>35</v>
      </c>
      <c r="L305" s="22" t="n">
        <f aca="false">IFERROR(H305/E305-1,"")</f>
        <v>1.00143061516452</v>
      </c>
      <c r="M305" s="23" t="n">
        <v>51</v>
      </c>
      <c r="N305" s="10"/>
    </row>
    <row r="306" customFormat="false" ht="15" hidden="false" customHeight="false" outlineLevel="0" collapsed="false">
      <c r="A306" s="14" t="s">
        <v>674</v>
      </c>
      <c r="B306" s="14" t="s">
        <v>675</v>
      </c>
      <c r="C306" s="14" t="s">
        <v>24</v>
      </c>
      <c r="D306" s="14" t="s">
        <v>17</v>
      </c>
      <c r="E306" s="15" t="n">
        <v>40.95</v>
      </c>
      <c r="F306" s="15" t="n">
        <v>82</v>
      </c>
      <c r="G306" s="17" t="n">
        <f aca="false">IFERROR(1-E306/F306,"")</f>
        <v>0.500609756097561</v>
      </c>
      <c r="H306" s="15" t="n">
        <v>69.95</v>
      </c>
      <c r="I306" s="18" t="n">
        <f aca="false">ROUND(H306*F306/E306,0)</f>
        <v>140</v>
      </c>
      <c r="J306" s="17" t="n">
        <f aca="false">IFERROR(1-H306/I306,"")</f>
        <v>0.500357142857143</v>
      </c>
      <c r="K306" s="15" t="n">
        <f aca="false">H306-E306</f>
        <v>29</v>
      </c>
      <c r="L306" s="19" t="n">
        <f aca="false">IFERROR(H306/E306-1,"")</f>
        <v>0.708180708180708</v>
      </c>
      <c r="M306" s="20" t="n">
        <v>51</v>
      </c>
      <c r="N306" s="14"/>
    </row>
    <row r="307" customFormat="false" ht="15" hidden="false" customHeight="false" outlineLevel="0" collapsed="false">
      <c r="A307" s="10" t="s">
        <v>676</v>
      </c>
      <c r="B307" s="10" t="s">
        <v>677</v>
      </c>
      <c r="C307" s="10" t="s">
        <v>24</v>
      </c>
      <c r="D307" s="10" t="s">
        <v>17</v>
      </c>
      <c r="E307" s="11" t="n">
        <v>42.95</v>
      </c>
      <c r="F307" s="11" t="n">
        <v>86</v>
      </c>
      <c r="G307" s="21" t="n">
        <f aca="false">IFERROR(1-E307/F307,"")</f>
        <v>0.500581395348837</v>
      </c>
      <c r="H307" s="11" t="n">
        <v>69.95</v>
      </c>
      <c r="I307" s="12" t="n">
        <f aca="false">ROUND(H307*F307/E307,0)</f>
        <v>140</v>
      </c>
      <c r="J307" s="21" t="n">
        <f aca="false">IFERROR(1-H307/I307,"")</f>
        <v>0.500357142857143</v>
      </c>
      <c r="K307" s="11" t="n">
        <f aca="false">H307-E307</f>
        <v>27</v>
      </c>
      <c r="L307" s="22" t="n">
        <f aca="false">IFERROR(H307/E307-1,"")</f>
        <v>0.628637951105937</v>
      </c>
      <c r="M307" s="23" t="n">
        <v>51</v>
      </c>
      <c r="N307" s="10"/>
    </row>
    <row r="308" customFormat="false" ht="15" hidden="false" customHeight="false" outlineLevel="0" collapsed="false">
      <c r="A308" s="14" t="s">
        <v>678</v>
      </c>
      <c r="B308" s="14" t="s">
        <v>679</v>
      </c>
      <c r="C308" s="14" t="s">
        <v>24</v>
      </c>
      <c r="D308" s="14" t="s">
        <v>17</v>
      </c>
      <c r="E308" s="15" t="n">
        <v>49.95</v>
      </c>
      <c r="F308" s="15" t="n">
        <v>100</v>
      </c>
      <c r="G308" s="17" t="n">
        <f aca="false">IFERROR(1-E308/F308,"")</f>
        <v>0.5005</v>
      </c>
      <c r="H308" s="15" t="n">
        <v>69.95</v>
      </c>
      <c r="I308" s="18" t="n">
        <f aca="false">ROUND(H308*F308/E308,0)</f>
        <v>140</v>
      </c>
      <c r="J308" s="17" t="n">
        <f aca="false">IFERROR(1-H308/I308,"")</f>
        <v>0.500357142857143</v>
      </c>
      <c r="K308" s="15" t="n">
        <f aca="false">H308-E308</f>
        <v>20</v>
      </c>
      <c r="L308" s="19" t="n">
        <f aca="false">IFERROR(H308/E308-1,"")</f>
        <v>0.400400400400401</v>
      </c>
      <c r="M308" s="20" t="n">
        <v>68</v>
      </c>
      <c r="N308" s="14"/>
    </row>
    <row r="309" customFormat="false" ht="15" hidden="false" customHeight="false" outlineLevel="0" collapsed="false">
      <c r="A309" s="10" t="s">
        <v>680</v>
      </c>
      <c r="B309" s="10" t="s">
        <v>681</v>
      </c>
      <c r="C309" s="10" t="s">
        <v>24</v>
      </c>
      <c r="D309" s="10" t="s">
        <v>17</v>
      </c>
      <c r="E309" s="11" t="n">
        <v>49.95</v>
      </c>
      <c r="F309" s="11" t="n">
        <v>100</v>
      </c>
      <c r="G309" s="21" t="n">
        <f aca="false">IFERROR(1-E309/F309,"")</f>
        <v>0.5005</v>
      </c>
      <c r="H309" s="11" t="n">
        <v>69.95</v>
      </c>
      <c r="I309" s="12" t="n">
        <f aca="false">ROUND(H309*F309/E309,0)</f>
        <v>140</v>
      </c>
      <c r="J309" s="21" t="n">
        <f aca="false">IFERROR(1-H309/I309,"")</f>
        <v>0.500357142857143</v>
      </c>
      <c r="K309" s="11" t="n">
        <f aca="false">H309-E309</f>
        <v>20</v>
      </c>
      <c r="L309" s="22" t="n">
        <f aca="false">IFERROR(H309/E309-1,"")</f>
        <v>0.400400400400401</v>
      </c>
      <c r="M309" s="23" t="n">
        <v>85</v>
      </c>
      <c r="N309" s="10"/>
    </row>
    <row r="310" customFormat="false" ht="15" hidden="false" customHeight="false" outlineLevel="0" collapsed="false">
      <c r="A310" s="14" t="s">
        <v>682</v>
      </c>
      <c r="B310" s="14" t="s">
        <v>683</v>
      </c>
      <c r="C310" s="14" t="s">
        <v>25</v>
      </c>
      <c r="D310" s="14" t="s">
        <v>17</v>
      </c>
      <c r="E310" s="15" t="n">
        <v>39.95</v>
      </c>
      <c r="F310" s="15" t="n">
        <v>80</v>
      </c>
      <c r="G310" s="17" t="n">
        <f aca="false">IFERROR(1-E310/F310,"")</f>
        <v>0.500625</v>
      </c>
      <c r="H310" s="15" t="n">
        <v>69.95</v>
      </c>
      <c r="I310" s="18" t="n">
        <f aca="false">ROUND(H310*F310/E310,0)</f>
        <v>140</v>
      </c>
      <c r="J310" s="17" t="n">
        <f aca="false">IFERROR(1-H310/I310,"")</f>
        <v>0.500357142857143</v>
      </c>
      <c r="K310" s="15" t="n">
        <f aca="false">H310-E310</f>
        <v>30</v>
      </c>
      <c r="L310" s="19" t="n">
        <f aca="false">IFERROR(H310/E310-1,"")</f>
        <v>0.750938673341677</v>
      </c>
      <c r="M310" s="20" t="n">
        <v>56</v>
      </c>
      <c r="N310" s="14"/>
    </row>
    <row r="311" customFormat="false" ht="15" hidden="false" customHeight="false" outlineLevel="0" collapsed="false">
      <c r="A311" s="10" t="s">
        <v>684</v>
      </c>
      <c r="B311" s="10" t="s">
        <v>685</v>
      </c>
      <c r="C311" s="10" t="s">
        <v>26</v>
      </c>
      <c r="D311" s="10" t="s">
        <v>17</v>
      </c>
      <c r="E311" s="11" t="n">
        <v>36.95</v>
      </c>
      <c r="F311" s="11" t="n">
        <v>74</v>
      </c>
      <c r="G311" s="21" t="n">
        <f aca="false">IFERROR(1-E311/F311,"")</f>
        <v>0.500675675675676</v>
      </c>
      <c r="H311" s="11" t="n">
        <v>69.95</v>
      </c>
      <c r="I311" s="12" t="n">
        <f aca="false">ROUND(H311*F311/E311,0)</f>
        <v>140</v>
      </c>
      <c r="J311" s="21" t="n">
        <f aca="false">IFERROR(1-H311/I311,"")</f>
        <v>0.500357142857143</v>
      </c>
      <c r="K311" s="11" t="n">
        <f aca="false">H311-E311</f>
        <v>33</v>
      </c>
      <c r="L311" s="22" t="n">
        <f aca="false">IFERROR(H311/E311-1,"")</f>
        <v>0.893098782138024</v>
      </c>
      <c r="M311" s="23" t="n">
        <v>20</v>
      </c>
      <c r="N311" s="10"/>
    </row>
    <row r="312" customFormat="false" ht="15" hidden="false" customHeight="false" outlineLevel="0" collapsed="false">
      <c r="A312" s="14" t="s">
        <v>686</v>
      </c>
      <c r="B312" s="14" t="s">
        <v>687</v>
      </c>
      <c r="C312" s="14" t="s">
        <v>26</v>
      </c>
      <c r="D312" s="14" t="s">
        <v>17</v>
      </c>
      <c r="E312" s="15" t="n">
        <v>39.95</v>
      </c>
      <c r="F312" s="15" t="n">
        <v>80</v>
      </c>
      <c r="G312" s="17" t="n">
        <f aca="false">IFERROR(1-E312/F312,"")</f>
        <v>0.500625</v>
      </c>
      <c r="H312" s="15" t="n">
        <v>69.95</v>
      </c>
      <c r="I312" s="18" t="n">
        <f aca="false">ROUND(H312*F312/E312,0)</f>
        <v>140</v>
      </c>
      <c r="J312" s="17" t="n">
        <f aca="false">IFERROR(1-H312/I312,"")</f>
        <v>0.500357142857143</v>
      </c>
      <c r="K312" s="15" t="n">
        <f aca="false">H312-E312</f>
        <v>30</v>
      </c>
      <c r="L312" s="19" t="n">
        <f aca="false">IFERROR(H312/E312-1,"")</f>
        <v>0.750938673341677</v>
      </c>
      <c r="M312" s="20" t="n">
        <v>20</v>
      </c>
      <c r="N312" s="14"/>
    </row>
    <row r="313" customFormat="false" ht="15" hidden="false" customHeight="false" outlineLevel="0" collapsed="false">
      <c r="A313" s="10" t="s">
        <v>688</v>
      </c>
      <c r="B313" s="10" t="s">
        <v>689</v>
      </c>
      <c r="C313" s="10" t="s">
        <v>26</v>
      </c>
      <c r="D313" s="10" t="s">
        <v>17</v>
      </c>
      <c r="E313" s="11" t="n">
        <v>39.95</v>
      </c>
      <c r="F313" s="11" t="n">
        <v>80</v>
      </c>
      <c r="G313" s="21" t="n">
        <f aca="false">IFERROR(1-E313/F313,"")</f>
        <v>0.500625</v>
      </c>
      <c r="H313" s="11" t="n">
        <v>69.95</v>
      </c>
      <c r="I313" s="12" t="n">
        <f aca="false">ROUND(H313*F313/E313,0)</f>
        <v>140</v>
      </c>
      <c r="J313" s="21" t="n">
        <f aca="false">IFERROR(1-H313/I313,"")</f>
        <v>0.500357142857143</v>
      </c>
      <c r="K313" s="11" t="n">
        <f aca="false">H313-E313</f>
        <v>30</v>
      </c>
      <c r="L313" s="22" t="n">
        <f aca="false">IFERROR(H313/E313-1,"")</f>
        <v>0.750938673341677</v>
      </c>
      <c r="M313" s="23" t="n">
        <v>12</v>
      </c>
      <c r="N313" s="10"/>
    </row>
    <row r="314" customFormat="false" ht="15" hidden="false" customHeight="false" outlineLevel="0" collapsed="false">
      <c r="A314" s="14" t="s">
        <v>690</v>
      </c>
      <c r="B314" s="14" t="s">
        <v>691</v>
      </c>
      <c r="C314" s="14" t="s">
        <v>26</v>
      </c>
      <c r="D314" s="14" t="s">
        <v>17</v>
      </c>
      <c r="E314" s="15" t="n">
        <v>39.95</v>
      </c>
      <c r="F314" s="15" t="n">
        <v>80</v>
      </c>
      <c r="G314" s="17" t="n">
        <f aca="false">IFERROR(1-E314/F314,"")</f>
        <v>0.500625</v>
      </c>
      <c r="H314" s="15" t="n">
        <v>69.95</v>
      </c>
      <c r="I314" s="18" t="n">
        <f aca="false">ROUND(H314*F314/E314,0)</f>
        <v>140</v>
      </c>
      <c r="J314" s="17" t="n">
        <f aca="false">IFERROR(1-H314/I314,"")</f>
        <v>0.500357142857143</v>
      </c>
      <c r="K314" s="15" t="n">
        <f aca="false">H314-E314</f>
        <v>30</v>
      </c>
      <c r="L314" s="19" t="n">
        <f aca="false">IFERROR(H314/E314-1,"")</f>
        <v>0.750938673341677</v>
      </c>
      <c r="M314" s="20" t="n">
        <v>5</v>
      </c>
      <c r="N314" s="14"/>
    </row>
    <row r="315" customFormat="false" ht="15" hidden="false" customHeight="false" outlineLevel="0" collapsed="false">
      <c r="A315" s="10" t="s">
        <v>692</v>
      </c>
      <c r="B315" s="10" t="s">
        <v>693</v>
      </c>
      <c r="C315" s="10" t="s">
        <v>26</v>
      </c>
      <c r="D315" s="10" t="s">
        <v>17</v>
      </c>
      <c r="E315" s="11" t="n">
        <v>39.95</v>
      </c>
      <c r="F315" s="11" t="n">
        <v>80</v>
      </c>
      <c r="G315" s="21" t="n">
        <f aca="false">IFERROR(1-E315/F315,"")</f>
        <v>0.500625</v>
      </c>
      <c r="H315" s="11" t="n">
        <v>69.95</v>
      </c>
      <c r="I315" s="12" t="n">
        <f aca="false">ROUND(H315*F315/E315,0)</f>
        <v>140</v>
      </c>
      <c r="J315" s="21" t="n">
        <f aca="false">IFERROR(1-H315/I315,"")</f>
        <v>0.500357142857143</v>
      </c>
      <c r="K315" s="11" t="n">
        <f aca="false">H315-E315</f>
        <v>30</v>
      </c>
      <c r="L315" s="22" t="n">
        <f aca="false">IFERROR(H315/E315-1,"")</f>
        <v>0.750938673341677</v>
      </c>
      <c r="M315" s="23" t="n">
        <v>20</v>
      </c>
      <c r="N315" s="10"/>
    </row>
    <row r="316" customFormat="false" ht="15" hidden="false" customHeight="false" outlineLevel="0" collapsed="false">
      <c r="A316" s="14" t="s">
        <v>694</v>
      </c>
      <c r="B316" s="14" t="s">
        <v>695</v>
      </c>
      <c r="C316" s="14" t="s">
        <v>26</v>
      </c>
      <c r="D316" s="14" t="s">
        <v>17</v>
      </c>
      <c r="E316" s="15" t="n">
        <v>40.95</v>
      </c>
      <c r="F316" s="15" t="n">
        <v>82</v>
      </c>
      <c r="G316" s="17" t="n">
        <f aca="false">IFERROR(1-E316/F316,"")</f>
        <v>0.500609756097561</v>
      </c>
      <c r="H316" s="15" t="n">
        <v>69.95</v>
      </c>
      <c r="I316" s="18" t="n">
        <f aca="false">ROUND(H316*F316/E316,0)</f>
        <v>140</v>
      </c>
      <c r="J316" s="17" t="n">
        <f aca="false">IFERROR(1-H316/I316,"")</f>
        <v>0.500357142857143</v>
      </c>
      <c r="K316" s="15" t="n">
        <f aca="false">H316-E316</f>
        <v>29</v>
      </c>
      <c r="L316" s="19" t="n">
        <f aca="false">IFERROR(H316/E316-1,"")</f>
        <v>0.708180708180708</v>
      </c>
      <c r="M316" s="20" t="n">
        <v>20</v>
      </c>
      <c r="N316" s="14"/>
    </row>
    <row r="317" customFormat="false" ht="15" hidden="false" customHeight="false" outlineLevel="0" collapsed="false">
      <c r="A317" s="10" t="s">
        <v>696</v>
      </c>
      <c r="B317" s="10" t="s">
        <v>697</v>
      </c>
      <c r="C317" s="10" t="s">
        <v>26</v>
      </c>
      <c r="D317" s="10" t="s">
        <v>17</v>
      </c>
      <c r="E317" s="11" t="n">
        <v>42.95</v>
      </c>
      <c r="F317" s="11" t="n">
        <v>86</v>
      </c>
      <c r="G317" s="21" t="n">
        <f aca="false">IFERROR(1-E317/F317,"")</f>
        <v>0.500581395348837</v>
      </c>
      <c r="H317" s="11" t="n">
        <v>69.95</v>
      </c>
      <c r="I317" s="12" t="n">
        <f aca="false">ROUND(H317*F317/E317,0)</f>
        <v>140</v>
      </c>
      <c r="J317" s="21" t="n">
        <f aca="false">IFERROR(1-H317/I317,"")</f>
        <v>0.500357142857143</v>
      </c>
      <c r="K317" s="11" t="n">
        <f aca="false">H317-E317</f>
        <v>27</v>
      </c>
      <c r="L317" s="22" t="n">
        <f aca="false">IFERROR(H317/E317-1,"")</f>
        <v>0.628637951105937</v>
      </c>
      <c r="M317" s="23" t="n">
        <v>36</v>
      </c>
      <c r="N317" s="10"/>
    </row>
    <row r="318" customFormat="false" ht="15" hidden="false" customHeight="false" outlineLevel="0" collapsed="false">
      <c r="A318" s="14" t="s">
        <v>698</v>
      </c>
      <c r="B318" s="14" t="s">
        <v>699</v>
      </c>
      <c r="C318" s="14" t="s">
        <v>26</v>
      </c>
      <c r="D318" s="14" t="s">
        <v>17</v>
      </c>
      <c r="E318" s="15" t="n">
        <v>43.95</v>
      </c>
      <c r="F318" s="15" t="n">
        <v>88</v>
      </c>
      <c r="G318" s="17" t="n">
        <f aca="false">IFERROR(1-E318/F318,"")</f>
        <v>0.500568181818182</v>
      </c>
      <c r="H318" s="15" t="n">
        <v>69.95</v>
      </c>
      <c r="I318" s="18" t="n">
        <f aca="false">ROUND(H318*F318/E318,0)</f>
        <v>140</v>
      </c>
      <c r="J318" s="17" t="n">
        <f aca="false">IFERROR(1-H318/I318,"")</f>
        <v>0.500357142857143</v>
      </c>
      <c r="K318" s="15" t="n">
        <f aca="false">H318-E318</f>
        <v>26</v>
      </c>
      <c r="L318" s="19" t="n">
        <f aca="false">IFERROR(H318/E318-1,"")</f>
        <v>0.591581342434585</v>
      </c>
      <c r="M318" s="20" t="n">
        <v>30</v>
      </c>
      <c r="N318" s="14"/>
    </row>
    <row r="319" customFormat="false" ht="15" hidden="false" customHeight="false" outlineLevel="0" collapsed="false">
      <c r="A319" s="10" t="s">
        <v>700</v>
      </c>
      <c r="B319" s="10" t="s">
        <v>701</v>
      </c>
      <c r="C319" s="10" t="s">
        <v>27</v>
      </c>
      <c r="D319" s="10" t="s">
        <v>17</v>
      </c>
      <c r="E319" s="11" t="n">
        <v>34.95</v>
      </c>
      <c r="F319" s="11" t="n">
        <v>70</v>
      </c>
      <c r="G319" s="21" t="n">
        <f aca="false">IFERROR(1-E319/F319,"")</f>
        <v>0.500714285714286</v>
      </c>
      <c r="H319" s="11" t="n">
        <v>69.95</v>
      </c>
      <c r="I319" s="12" t="n">
        <f aca="false">ROUND(H319*F319/E319,0)</f>
        <v>140</v>
      </c>
      <c r="J319" s="21" t="n">
        <f aca="false">IFERROR(1-H319/I319,"")</f>
        <v>0.500357142857143</v>
      </c>
      <c r="K319" s="11" t="n">
        <f aca="false">H319-E319</f>
        <v>35</v>
      </c>
      <c r="L319" s="22" t="n">
        <f aca="false">IFERROR(H319/E319-1,"")</f>
        <v>1.00143061516452</v>
      </c>
      <c r="M319" s="23" t="n">
        <v>18</v>
      </c>
      <c r="N319" s="10"/>
    </row>
    <row r="320" customFormat="false" ht="15" hidden="false" customHeight="false" outlineLevel="0" collapsed="false">
      <c r="A320" s="24" t="s">
        <v>702</v>
      </c>
      <c r="B320" s="24" t="s">
        <v>703</v>
      </c>
      <c r="C320" s="24" t="s">
        <v>29</v>
      </c>
      <c r="D320" s="24" t="s">
        <v>17</v>
      </c>
      <c r="E320" s="25" t="n">
        <v>35.95</v>
      </c>
      <c r="F320" s="25" t="n">
        <v>112</v>
      </c>
      <c r="G320" s="26" t="n">
        <f aca="false">IFERROR(1-E320/F320,"")</f>
        <v>0.679017857142857</v>
      </c>
      <c r="H320" s="25" t="n">
        <v>69.95</v>
      </c>
      <c r="I320" s="27" t="n">
        <f aca="false">ROUND(H320*2,0)</f>
        <v>140</v>
      </c>
      <c r="J320" s="26" t="n">
        <f aca="false">IFERROR(1-H320/I320,"")</f>
        <v>0.500357142857143</v>
      </c>
      <c r="K320" s="25" t="n">
        <f aca="false">H320-E320</f>
        <v>34</v>
      </c>
      <c r="L320" s="28" t="n">
        <f aca="false">IFERROR(H320/E320-1,"")</f>
        <v>0.945757997218359</v>
      </c>
      <c r="M320" s="29" t="n">
        <v>35</v>
      </c>
      <c r="N320" s="24" t="s">
        <v>704</v>
      </c>
    </row>
    <row r="321" customFormat="false" ht="15" hidden="false" customHeight="false" outlineLevel="0" collapsed="false">
      <c r="A321" s="10" t="s">
        <v>705</v>
      </c>
      <c r="B321" s="10" t="s">
        <v>706</v>
      </c>
      <c r="C321" s="10" t="s">
        <v>29</v>
      </c>
      <c r="D321" s="10" t="s">
        <v>17</v>
      </c>
      <c r="E321" s="11" t="n">
        <v>39.95</v>
      </c>
      <c r="F321" s="11" t="n">
        <v>80</v>
      </c>
      <c r="G321" s="21" t="n">
        <f aca="false">IFERROR(1-E321/F321,"")</f>
        <v>0.500625</v>
      </c>
      <c r="H321" s="11" t="n">
        <v>69.95</v>
      </c>
      <c r="I321" s="12" t="n">
        <f aca="false">ROUND(H321*F321/E321,0)</f>
        <v>140</v>
      </c>
      <c r="J321" s="21" t="n">
        <f aca="false">IFERROR(1-H321/I321,"")</f>
        <v>0.500357142857143</v>
      </c>
      <c r="K321" s="11" t="n">
        <f aca="false">H321-E321</f>
        <v>30</v>
      </c>
      <c r="L321" s="22" t="n">
        <f aca="false">IFERROR(H321/E321-1,"")</f>
        <v>0.750938673341677</v>
      </c>
      <c r="M321" s="23" t="n">
        <v>9</v>
      </c>
      <c r="N321" s="10"/>
    </row>
    <row r="322" customFormat="false" ht="15" hidden="false" customHeight="false" outlineLevel="0" collapsed="false">
      <c r="A322" s="14" t="s">
        <v>707</v>
      </c>
      <c r="B322" s="14" t="s">
        <v>708</v>
      </c>
      <c r="C322" s="14" t="s">
        <v>29</v>
      </c>
      <c r="D322" s="14" t="s">
        <v>17</v>
      </c>
      <c r="E322" s="15" t="n">
        <v>44.95</v>
      </c>
      <c r="F322" s="15" t="n">
        <v>90</v>
      </c>
      <c r="G322" s="17" t="n">
        <f aca="false">IFERROR(1-E322/F322,"")</f>
        <v>0.500555555555556</v>
      </c>
      <c r="H322" s="15" t="n">
        <v>69.95</v>
      </c>
      <c r="I322" s="18" t="n">
        <f aca="false">ROUND(H322*F322/E322,0)</f>
        <v>140</v>
      </c>
      <c r="J322" s="17" t="n">
        <f aca="false">IFERROR(1-H322/I322,"")</f>
        <v>0.500357142857143</v>
      </c>
      <c r="K322" s="15" t="n">
        <f aca="false">H322-E322</f>
        <v>25</v>
      </c>
      <c r="L322" s="19" t="n">
        <f aca="false">IFERROR(H322/E322-1,"")</f>
        <v>0.556173526140156</v>
      </c>
      <c r="M322" s="20" t="n">
        <v>15</v>
      </c>
      <c r="N322" s="14"/>
    </row>
    <row r="323" customFormat="false" ht="15" hidden="false" customHeight="false" outlineLevel="0" collapsed="false">
      <c r="A323" s="10" t="s">
        <v>709</v>
      </c>
      <c r="B323" s="10" t="s">
        <v>710</v>
      </c>
      <c r="C323" s="10" t="s">
        <v>29</v>
      </c>
      <c r="D323" s="10" t="s">
        <v>17</v>
      </c>
      <c r="E323" s="11" t="n">
        <v>44.95</v>
      </c>
      <c r="F323" s="11" t="n">
        <v>90</v>
      </c>
      <c r="G323" s="21" t="n">
        <f aca="false">IFERROR(1-E323/F323,"")</f>
        <v>0.500555555555556</v>
      </c>
      <c r="H323" s="11" t="n">
        <v>69.95</v>
      </c>
      <c r="I323" s="12" t="n">
        <f aca="false">ROUND(H323*F323/E323,0)</f>
        <v>140</v>
      </c>
      <c r="J323" s="21" t="n">
        <f aca="false">IFERROR(1-H323/I323,"")</f>
        <v>0.500357142857143</v>
      </c>
      <c r="K323" s="11" t="n">
        <f aca="false">H323-E323</f>
        <v>25</v>
      </c>
      <c r="L323" s="22" t="n">
        <f aca="false">IFERROR(H323/E323-1,"")</f>
        <v>0.556173526140156</v>
      </c>
      <c r="M323" s="23" t="n">
        <v>12</v>
      </c>
      <c r="N323" s="10"/>
    </row>
    <row r="324" customFormat="false" ht="15" hidden="false" customHeight="false" outlineLevel="0" collapsed="false">
      <c r="A324" s="14" t="s">
        <v>711</v>
      </c>
      <c r="B324" s="14" t="s">
        <v>712</v>
      </c>
      <c r="C324" s="14" t="s">
        <v>29</v>
      </c>
      <c r="D324" s="14" t="s">
        <v>17</v>
      </c>
      <c r="E324" s="15" t="n">
        <v>49.95</v>
      </c>
      <c r="F324" s="15" t="n">
        <v>100</v>
      </c>
      <c r="G324" s="17" t="n">
        <f aca="false">IFERROR(1-E324/F324,"")</f>
        <v>0.5005</v>
      </c>
      <c r="H324" s="15" t="n">
        <v>69.95</v>
      </c>
      <c r="I324" s="18" t="n">
        <f aca="false">ROUND(H324*F324/E324,0)</f>
        <v>140</v>
      </c>
      <c r="J324" s="17" t="n">
        <f aca="false">IFERROR(1-H324/I324,"")</f>
        <v>0.500357142857143</v>
      </c>
      <c r="K324" s="15" t="n">
        <f aca="false">H324-E324</f>
        <v>20</v>
      </c>
      <c r="L324" s="19" t="n">
        <f aca="false">IFERROR(H324/E324-1,"")</f>
        <v>0.400400400400401</v>
      </c>
      <c r="M324" s="20" t="n">
        <v>8</v>
      </c>
      <c r="N324" s="14"/>
    </row>
    <row r="325" customFormat="false" ht="15" hidden="false" customHeight="false" outlineLevel="0" collapsed="false">
      <c r="A325" s="10" t="s">
        <v>713</v>
      </c>
      <c r="B325" s="10" t="s">
        <v>714</v>
      </c>
      <c r="C325" s="10" t="s">
        <v>29</v>
      </c>
      <c r="D325" s="10" t="s">
        <v>17</v>
      </c>
      <c r="E325" s="11" t="n">
        <v>49.95</v>
      </c>
      <c r="F325" s="11" t="n">
        <v>100</v>
      </c>
      <c r="G325" s="21" t="n">
        <f aca="false">IFERROR(1-E325/F325,"")</f>
        <v>0.5005</v>
      </c>
      <c r="H325" s="11" t="n">
        <v>69.95</v>
      </c>
      <c r="I325" s="12" t="n">
        <f aca="false">ROUND(H325*F325/E325,0)</f>
        <v>140</v>
      </c>
      <c r="J325" s="21" t="n">
        <f aca="false">IFERROR(1-H325/I325,"")</f>
        <v>0.500357142857143</v>
      </c>
      <c r="K325" s="11" t="n">
        <f aca="false">H325-E325</f>
        <v>20</v>
      </c>
      <c r="L325" s="22" t="n">
        <f aca="false">IFERROR(H325/E325-1,"")</f>
        <v>0.400400400400401</v>
      </c>
      <c r="M325" s="23" t="n">
        <v>4</v>
      </c>
      <c r="N325" s="10"/>
    </row>
    <row r="326" customFormat="false" ht="15" hidden="false" customHeight="false" outlineLevel="0" collapsed="false">
      <c r="A326" s="14" t="s">
        <v>715</v>
      </c>
      <c r="B326" s="14" t="s">
        <v>716</v>
      </c>
      <c r="C326" s="14" t="s">
        <v>29</v>
      </c>
      <c r="D326" s="14" t="s">
        <v>17</v>
      </c>
      <c r="E326" s="15" t="n">
        <v>49.95</v>
      </c>
      <c r="F326" s="15" t="n">
        <v>100</v>
      </c>
      <c r="G326" s="17" t="n">
        <f aca="false">IFERROR(1-E326/F326,"")</f>
        <v>0.5005</v>
      </c>
      <c r="H326" s="15" t="n">
        <v>69.95</v>
      </c>
      <c r="I326" s="18" t="n">
        <f aca="false">ROUND(H326*F326/E326,0)</f>
        <v>140</v>
      </c>
      <c r="J326" s="17" t="n">
        <f aca="false">IFERROR(1-H326/I326,"")</f>
        <v>0.500357142857143</v>
      </c>
      <c r="K326" s="15" t="n">
        <f aca="false">H326-E326</f>
        <v>20</v>
      </c>
      <c r="L326" s="19" t="n">
        <f aca="false">IFERROR(H326/E326-1,"")</f>
        <v>0.400400400400401</v>
      </c>
      <c r="M326" s="20" t="n">
        <v>20</v>
      </c>
      <c r="N326" s="14"/>
    </row>
    <row r="327" customFormat="false" ht="15" hidden="false" customHeight="false" outlineLevel="0" collapsed="false">
      <c r="A327" s="10" t="s">
        <v>717</v>
      </c>
      <c r="B327" s="10" t="s">
        <v>718</v>
      </c>
      <c r="C327" s="10" t="s">
        <v>29</v>
      </c>
      <c r="D327" s="10" t="s">
        <v>17</v>
      </c>
      <c r="E327" s="11" t="n">
        <v>49.95</v>
      </c>
      <c r="F327" s="11" t="n">
        <v>100</v>
      </c>
      <c r="G327" s="21" t="n">
        <f aca="false">IFERROR(1-E327/F327,"")</f>
        <v>0.5005</v>
      </c>
      <c r="H327" s="11" t="n">
        <v>69.95</v>
      </c>
      <c r="I327" s="12" t="n">
        <f aca="false">ROUND(H327*F327/E327,0)</f>
        <v>140</v>
      </c>
      <c r="J327" s="21" t="n">
        <f aca="false">IFERROR(1-H327/I327,"")</f>
        <v>0.500357142857143</v>
      </c>
      <c r="K327" s="11" t="n">
        <f aca="false">H327-E327</f>
        <v>20</v>
      </c>
      <c r="L327" s="22" t="n">
        <f aca="false">IFERROR(H327/E327-1,"")</f>
        <v>0.400400400400401</v>
      </c>
      <c r="M327" s="23" t="n">
        <v>30</v>
      </c>
      <c r="N327" s="10"/>
    </row>
    <row r="328" customFormat="false" ht="15" hidden="false" customHeight="false" outlineLevel="0" collapsed="false">
      <c r="A328" s="14" t="s">
        <v>719</v>
      </c>
      <c r="B328" s="14" t="s">
        <v>720</v>
      </c>
      <c r="C328" s="14" t="s">
        <v>29</v>
      </c>
      <c r="D328" s="14" t="s">
        <v>17</v>
      </c>
      <c r="E328" s="15" t="n">
        <v>49.95</v>
      </c>
      <c r="F328" s="15" t="n">
        <v>100</v>
      </c>
      <c r="G328" s="17" t="n">
        <f aca="false">IFERROR(1-E328/F328,"")</f>
        <v>0.5005</v>
      </c>
      <c r="H328" s="15" t="n">
        <v>69.95</v>
      </c>
      <c r="I328" s="18" t="n">
        <f aca="false">ROUND(H328*F328/E328,0)</f>
        <v>140</v>
      </c>
      <c r="J328" s="17" t="n">
        <f aca="false">IFERROR(1-H328/I328,"")</f>
        <v>0.500357142857143</v>
      </c>
      <c r="K328" s="15" t="n">
        <f aca="false">H328-E328</f>
        <v>20</v>
      </c>
      <c r="L328" s="19" t="n">
        <f aca="false">IFERROR(H328/E328-1,"")</f>
        <v>0.400400400400401</v>
      </c>
      <c r="M328" s="20" t="n">
        <v>48</v>
      </c>
      <c r="N328" s="14"/>
    </row>
    <row r="329" customFormat="false" ht="15" hidden="false" customHeight="false" outlineLevel="0" collapsed="false">
      <c r="A329" s="10" t="s">
        <v>721</v>
      </c>
      <c r="B329" s="10" t="s">
        <v>722</v>
      </c>
      <c r="C329" s="10" t="s">
        <v>29</v>
      </c>
      <c r="D329" s="10" t="s">
        <v>17</v>
      </c>
      <c r="E329" s="11" t="n">
        <v>49.95</v>
      </c>
      <c r="F329" s="11" t="n">
        <v>100</v>
      </c>
      <c r="G329" s="21" t="n">
        <f aca="false">IFERROR(1-E329/F329,"")</f>
        <v>0.5005</v>
      </c>
      <c r="H329" s="11" t="n">
        <v>69.95</v>
      </c>
      <c r="I329" s="12" t="n">
        <f aca="false">ROUND(H329*F329/E329,0)</f>
        <v>140</v>
      </c>
      <c r="J329" s="21" t="n">
        <f aca="false">IFERROR(1-H329/I329,"")</f>
        <v>0.500357142857143</v>
      </c>
      <c r="K329" s="11" t="n">
        <f aca="false">H329-E329</f>
        <v>20</v>
      </c>
      <c r="L329" s="22" t="n">
        <f aca="false">IFERROR(H329/E329-1,"")</f>
        <v>0.400400400400401</v>
      </c>
      <c r="M329" s="23" t="n">
        <v>15</v>
      </c>
      <c r="N329" s="10"/>
    </row>
    <row r="330" customFormat="false" ht="15" hidden="false" customHeight="false" outlineLevel="0" collapsed="false">
      <c r="A330" s="14" t="s">
        <v>723</v>
      </c>
      <c r="B330" s="14" t="s">
        <v>724</v>
      </c>
      <c r="C330" s="14" t="s">
        <v>33</v>
      </c>
      <c r="D330" s="14" t="s">
        <v>17</v>
      </c>
      <c r="E330" s="15" t="n">
        <v>34.95</v>
      </c>
      <c r="F330" s="15" t="n">
        <v>70</v>
      </c>
      <c r="G330" s="17" t="n">
        <f aca="false">IFERROR(1-E330/F330,"")</f>
        <v>0.500714285714286</v>
      </c>
      <c r="H330" s="15" t="n">
        <v>69.95</v>
      </c>
      <c r="I330" s="18" t="n">
        <f aca="false">ROUND(H330*F330/E330,0)</f>
        <v>140</v>
      </c>
      <c r="J330" s="17" t="n">
        <f aca="false">IFERROR(1-H330/I330,"")</f>
        <v>0.500357142857143</v>
      </c>
      <c r="K330" s="15" t="n">
        <f aca="false">H330-E330</f>
        <v>35</v>
      </c>
      <c r="L330" s="19" t="n">
        <f aca="false">IFERROR(H330/E330-1,"")</f>
        <v>1.00143061516452</v>
      </c>
      <c r="M330" s="20" t="n">
        <v>1</v>
      </c>
      <c r="N330" s="14"/>
    </row>
    <row r="331" customFormat="false" ht="15" hidden="false" customHeight="false" outlineLevel="0" collapsed="false">
      <c r="A331" s="10" t="s">
        <v>725</v>
      </c>
      <c r="B331" s="10" t="s">
        <v>726</v>
      </c>
      <c r="C331" s="10" t="s">
        <v>33</v>
      </c>
      <c r="D331" s="10" t="s">
        <v>17</v>
      </c>
      <c r="E331" s="11" t="n">
        <v>40.95</v>
      </c>
      <c r="F331" s="11" t="n">
        <v>82</v>
      </c>
      <c r="G331" s="21" t="n">
        <f aca="false">IFERROR(1-E331/F331,"")</f>
        <v>0.500609756097561</v>
      </c>
      <c r="H331" s="11" t="n">
        <v>69.95</v>
      </c>
      <c r="I331" s="12" t="n">
        <f aca="false">ROUND(H331*F331/E331,0)</f>
        <v>140</v>
      </c>
      <c r="J331" s="21" t="n">
        <f aca="false">IFERROR(1-H331/I331,"")</f>
        <v>0.500357142857143</v>
      </c>
      <c r="K331" s="11" t="n">
        <f aca="false">H331-E331</f>
        <v>29</v>
      </c>
      <c r="L331" s="22" t="n">
        <f aca="false">IFERROR(H331/E331-1,"")</f>
        <v>0.708180708180708</v>
      </c>
      <c r="M331" s="23" t="n">
        <v>75</v>
      </c>
      <c r="N331" s="10"/>
    </row>
    <row r="332" customFormat="false" ht="15" hidden="false" customHeight="false" outlineLevel="0" collapsed="false">
      <c r="A332" s="14" t="s">
        <v>727</v>
      </c>
      <c r="B332" s="14" t="s">
        <v>728</v>
      </c>
      <c r="C332" s="14" t="s">
        <v>33</v>
      </c>
      <c r="D332" s="14" t="s">
        <v>17</v>
      </c>
      <c r="E332" s="15" t="n">
        <v>43.95</v>
      </c>
      <c r="F332" s="15" t="n">
        <v>88</v>
      </c>
      <c r="G332" s="17" t="n">
        <f aca="false">IFERROR(1-E332/F332,"")</f>
        <v>0.500568181818182</v>
      </c>
      <c r="H332" s="15" t="n">
        <v>69.95</v>
      </c>
      <c r="I332" s="18" t="n">
        <f aca="false">ROUND(H332*F332/E332,0)</f>
        <v>140</v>
      </c>
      <c r="J332" s="17" t="n">
        <f aca="false">IFERROR(1-H332/I332,"")</f>
        <v>0.500357142857143</v>
      </c>
      <c r="K332" s="15" t="n">
        <f aca="false">H332-E332</f>
        <v>26</v>
      </c>
      <c r="L332" s="19" t="n">
        <f aca="false">IFERROR(H332/E332-1,"")</f>
        <v>0.591581342434585</v>
      </c>
      <c r="M332" s="20" t="n">
        <v>15</v>
      </c>
      <c r="N332" s="14"/>
    </row>
    <row r="333" customFormat="false" ht="15" hidden="false" customHeight="false" outlineLevel="0" collapsed="false">
      <c r="A333" s="10" t="s">
        <v>729</v>
      </c>
      <c r="B333" s="10" t="s">
        <v>730</v>
      </c>
      <c r="C333" s="10" t="s">
        <v>33</v>
      </c>
      <c r="D333" s="10" t="s">
        <v>17</v>
      </c>
      <c r="E333" s="11" t="n">
        <v>46.95</v>
      </c>
      <c r="F333" s="11" t="n">
        <v>94</v>
      </c>
      <c r="G333" s="21" t="n">
        <f aca="false">IFERROR(1-E333/F333,"")</f>
        <v>0.500531914893617</v>
      </c>
      <c r="H333" s="11" t="n">
        <v>69.95</v>
      </c>
      <c r="I333" s="12" t="n">
        <f aca="false">ROUND(H333*F333/E333,0)</f>
        <v>140</v>
      </c>
      <c r="J333" s="21" t="n">
        <f aca="false">IFERROR(1-H333/I333,"")</f>
        <v>0.500357142857143</v>
      </c>
      <c r="K333" s="11" t="n">
        <f aca="false">H333-E333</f>
        <v>23</v>
      </c>
      <c r="L333" s="22" t="n">
        <f aca="false">IFERROR(H333/E333-1,"")</f>
        <v>0.489882854100107</v>
      </c>
      <c r="M333" s="23" t="n">
        <v>225</v>
      </c>
      <c r="N333" s="10"/>
    </row>
    <row r="334" customFormat="false" ht="15" hidden="false" customHeight="false" outlineLevel="0" collapsed="false">
      <c r="A334" s="14" t="s">
        <v>731</v>
      </c>
      <c r="B334" s="14" t="s">
        <v>732</v>
      </c>
      <c r="C334" s="14" t="s">
        <v>35</v>
      </c>
      <c r="D334" s="14" t="s">
        <v>17</v>
      </c>
      <c r="E334" s="15" t="n">
        <v>44.95</v>
      </c>
      <c r="F334" s="15" t="n">
        <v>90</v>
      </c>
      <c r="G334" s="17" t="n">
        <f aca="false">IFERROR(1-E334/F334,"")</f>
        <v>0.500555555555556</v>
      </c>
      <c r="H334" s="15" t="n">
        <v>69.95</v>
      </c>
      <c r="I334" s="18" t="n">
        <f aca="false">ROUND(H334*F334/E334,0)</f>
        <v>140</v>
      </c>
      <c r="J334" s="17" t="n">
        <f aca="false">IFERROR(1-H334/I334,"")</f>
        <v>0.500357142857143</v>
      </c>
      <c r="K334" s="15" t="n">
        <f aca="false">H334-E334</f>
        <v>25</v>
      </c>
      <c r="L334" s="19" t="n">
        <f aca="false">IFERROR(H334/E334-1,"")</f>
        <v>0.556173526140156</v>
      </c>
      <c r="M334" s="20" t="n">
        <v>32</v>
      </c>
      <c r="N334" s="14"/>
    </row>
    <row r="335" customFormat="false" ht="15" hidden="false" customHeight="false" outlineLevel="0" collapsed="false">
      <c r="A335" s="10" t="s">
        <v>733</v>
      </c>
      <c r="B335" s="10" t="s">
        <v>734</v>
      </c>
      <c r="C335" s="10" t="s">
        <v>39</v>
      </c>
      <c r="D335" s="10" t="s">
        <v>17</v>
      </c>
      <c r="E335" s="11" t="n">
        <v>49.95</v>
      </c>
      <c r="F335" s="11" t="n">
        <v>100</v>
      </c>
      <c r="G335" s="21" t="n">
        <f aca="false">IFERROR(1-E335/F335,"")</f>
        <v>0.5005</v>
      </c>
      <c r="H335" s="11" t="n">
        <v>69.95</v>
      </c>
      <c r="I335" s="12" t="n">
        <f aca="false">ROUND(H335*F335/E335,0)</f>
        <v>140</v>
      </c>
      <c r="J335" s="21" t="n">
        <f aca="false">IFERROR(1-H335/I335,"")</f>
        <v>0.500357142857143</v>
      </c>
      <c r="K335" s="11" t="n">
        <f aca="false">H335-E335</f>
        <v>20</v>
      </c>
      <c r="L335" s="22" t="n">
        <f aca="false">IFERROR(H335/E335-1,"")</f>
        <v>0.400400400400401</v>
      </c>
      <c r="M335" s="23" t="n">
        <v>30</v>
      </c>
      <c r="N335" s="10"/>
    </row>
    <row r="336" customFormat="false" ht="15" hidden="false" customHeight="false" outlineLevel="0" collapsed="false">
      <c r="A336" s="14" t="s">
        <v>735</v>
      </c>
      <c r="B336" s="14" t="s">
        <v>736</v>
      </c>
      <c r="C336" s="14" t="s">
        <v>40</v>
      </c>
      <c r="D336" s="14" t="s">
        <v>17</v>
      </c>
      <c r="E336" s="15" t="n">
        <v>49.95</v>
      </c>
      <c r="F336" s="15" t="n">
        <v>100</v>
      </c>
      <c r="G336" s="17" t="n">
        <f aca="false">IFERROR(1-E336/F336,"")</f>
        <v>0.5005</v>
      </c>
      <c r="H336" s="15" t="n">
        <v>69.95</v>
      </c>
      <c r="I336" s="18" t="n">
        <f aca="false">ROUND(H336*F336/E336,0)</f>
        <v>140</v>
      </c>
      <c r="J336" s="17" t="n">
        <f aca="false">IFERROR(1-H336/I336,"")</f>
        <v>0.500357142857143</v>
      </c>
      <c r="K336" s="15" t="n">
        <f aca="false">H336-E336</f>
        <v>20</v>
      </c>
      <c r="L336" s="19" t="n">
        <f aca="false">IFERROR(H336/E336-1,"")</f>
        <v>0.400400400400401</v>
      </c>
      <c r="M336" s="20" t="n">
        <v>16</v>
      </c>
      <c r="N336" s="14"/>
    </row>
    <row r="337" customFormat="false" ht="15" hidden="false" customHeight="false" outlineLevel="0" collapsed="false">
      <c r="A337" s="10" t="s">
        <v>737</v>
      </c>
      <c r="B337" s="10" t="s">
        <v>738</v>
      </c>
      <c r="C337" s="10" t="s">
        <v>41</v>
      </c>
      <c r="D337" s="10" t="s">
        <v>17</v>
      </c>
      <c r="E337" s="11" t="n">
        <v>49.95</v>
      </c>
      <c r="F337" s="11" t="n">
        <v>100</v>
      </c>
      <c r="G337" s="21" t="n">
        <f aca="false">IFERROR(1-E337/F337,"")</f>
        <v>0.5005</v>
      </c>
      <c r="H337" s="11" t="n">
        <v>69.95</v>
      </c>
      <c r="I337" s="12" t="n">
        <f aca="false">ROUND(H337*F337/E337,0)</f>
        <v>140</v>
      </c>
      <c r="J337" s="21" t="n">
        <f aca="false">IFERROR(1-H337/I337,"")</f>
        <v>0.500357142857143</v>
      </c>
      <c r="K337" s="11" t="n">
        <f aca="false">H337-E337</f>
        <v>20</v>
      </c>
      <c r="L337" s="22" t="n">
        <f aca="false">IFERROR(H337/E337-1,"")</f>
        <v>0.400400400400401</v>
      </c>
      <c r="M337" s="23" t="n">
        <v>60</v>
      </c>
      <c r="N337" s="10"/>
    </row>
    <row r="338" customFormat="false" ht="15" hidden="false" customHeight="false" outlineLevel="0" collapsed="false">
      <c r="A338" s="14" t="s">
        <v>739</v>
      </c>
      <c r="B338" s="14" t="s">
        <v>740</v>
      </c>
      <c r="C338" s="14" t="s">
        <v>41</v>
      </c>
      <c r="D338" s="14" t="s">
        <v>17</v>
      </c>
      <c r="E338" s="15" t="n">
        <v>49.95</v>
      </c>
      <c r="F338" s="15" t="n">
        <v>100</v>
      </c>
      <c r="G338" s="17" t="n">
        <f aca="false">IFERROR(1-E338/F338,"")</f>
        <v>0.5005</v>
      </c>
      <c r="H338" s="15" t="n">
        <v>69.95</v>
      </c>
      <c r="I338" s="18" t="n">
        <f aca="false">ROUND(H338*F338/E338,0)</f>
        <v>140</v>
      </c>
      <c r="J338" s="17" t="n">
        <f aca="false">IFERROR(1-H338/I338,"")</f>
        <v>0.500357142857143</v>
      </c>
      <c r="K338" s="15" t="n">
        <f aca="false">H338-E338</f>
        <v>20</v>
      </c>
      <c r="L338" s="19" t="n">
        <f aca="false">IFERROR(H338/E338-1,"")</f>
        <v>0.400400400400401</v>
      </c>
      <c r="M338" s="20" t="n">
        <v>36</v>
      </c>
      <c r="N338" s="14"/>
    </row>
    <row r="339" customFormat="false" ht="15" hidden="false" customHeight="false" outlineLevel="0" collapsed="false">
      <c r="A339" s="10" t="s">
        <v>741</v>
      </c>
      <c r="B339" s="10" t="s">
        <v>742</v>
      </c>
      <c r="C339" s="10" t="s">
        <v>45</v>
      </c>
      <c r="D339" s="10" t="s">
        <v>17</v>
      </c>
      <c r="E339" s="11" t="n">
        <v>29.95</v>
      </c>
      <c r="F339" s="11" t="n">
        <v>60</v>
      </c>
      <c r="G339" s="21" t="n">
        <f aca="false">IFERROR(1-E339/F339,"")</f>
        <v>0.500833333333333</v>
      </c>
      <c r="H339" s="11" t="n">
        <v>69.95</v>
      </c>
      <c r="I339" s="12" t="n">
        <f aca="false">ROUND(H339*F339/E339,0)</f>
        <v>140</v>
      </c>
      <c r="J339" s="21" t="n">
        <f aca="false">IFERROR(1-H339/I339,"")</f>
        <v>0.500357142857143</v>
      </c>
      <c r="K339" s="11" t="n">
        <f aca="false">H339-E339</f>
        <v>40</v>
      </c>
      <c r="L339" s="22" t="n">
        <f aca="false">IFERROR(H339/E339-1,"")</f>
        <v>1.3355592654424</v>
      </c>
      <c r="M339" s="23" t="n">
        <v>8</v>
      </c>
      <c r="N339" s="10"/>
    </row>
    <row r="340" customFormat="false" ht="15" hidden="false" customHeight="false" outlineLevel="0" collapsed="false">
      <c r="A340" s="14" t="s">
        <v>743</v>
      </c>
      <c r="B340" s="14" t="s">
        <v>744</v>
      </c>
      <c r="C340" s="14" t="s">
        <v>45</v>
      </c>
      <c r="D340" s="14" t="s">
        <v>17</v>
      </c>
      <c r="E340" s="15" t="n">
        <v>39.95</v>
      </c>
      <c r="F340" s="15" t="n">
        <v>80</v>
      </c>
      <c r="G340" s="17" t="n">
        <f aca="false">IFERROR(1-E340/F340,"")</f>
        <v>0.500625</v>
      </c>
      <c r="H340" s="15" t="n">
        <v>69.95</v>
      </c>
      <c r="I340" s="18" t="n">
        <f aca="false">ROUND(H340*F340/E340,0)</f>
        <v>140</v>
      </c>
      <c r="J340" s="17" t="n">
        <f aca="false">IFERROR(1-H340/I340,"")</f>
        <v>0.500357142857143</v>
      </c>
      <c r="K340" s="15" t="n">
        <f aca="false">H340-E340</f>
        <v>30</v>
      </c>
      <c r="L340" s="19" t="n">
        <f aca="false">IFERROR(H340/E340-1,"")</f>
        <v>0.750938673341677</v>
      </c>
      <c r="M340" s="20" t="n">
        <v>3</v>
      </c>
      <c r="N340" s="14"/>
    </row>
    <row r="341" customFormat="false" ht="15" hidden="false" customHeight="false" outlineLevel="0" collapsed="false">
      <c r="A341" s="10" t="s">
        <v>745</v>
      </c>
      <c r="B341" s="10" t="s">
        <v>746</v>
      </c>
      <c r="C341" s="10" t="s">
        <v>45</v>
      </c>
      <c r="D341" s="10" t="s">
        <v>17</v>
      </c>
      <c r="E341" s="11" t="n">
        <v>39.95</v>
      </c>
      <c r="F341" s="11" t="n">
        <v>80</v>
      </c>
      <c r="G341" s="21" t="n">
        <f aca="false">IFERROR(1-E341/F341,"")</f>
        <v>0.500625</v>
      </c>
      <c r="H341" s="11" t="n">
        <v>69.95</v>
      </c>
      <c r="I341" s="12" t="n">
        <f aca="false">ROUND(H341*F341/E341,0)</f>
        <v>140</v>
      </c>
      <c r="J341" s="21" t="n">
        <f aca="false">IFERROR(1-H341/I341,"")</f>
        <v>0.500357142857143</v>
      </c>
      <c r="K341" s="11" t="n">
        <f aca="false">H341-E341</f>
        <v>30</v>
      </c>
      <c r="L341" s="22" t="n">
        <f aca="false">IFERROR(H341/E341-1,"")</f>
        <v>0.750938673341677</v>
      </c>
      <c r="M341" s="23" t="n">
        <v>12</v>
      </c>
      <c r="N341" s="10"/>
    </row>
    <row r="342" customFormat="false" ht="15" hidden="false" customHeight="false" outlineLevel="0" collapsed="false">
      <c r="A342" s="14" t="s">
        <v>747</v>
      </c>
      <c r="B342" s="14" t="s">
        <v>748</v>
      </c>
      <c r="C342" s="14" t="s">
        <v>45</v>
      </c>
      <c r="D342" s="14" t="s">
        <v>17</v>
      </c>
      <c r="E342" s="15" t="n">
        <v>39.95</v>
      </c>
      <c r="F342" s="15" t="n">
        <v>80</v>
      </c>
      <c r="G342" s="17" t="n">
        <f aca="false">IFERROR(1-E342/F342,"")</f>
        <v>0.500625</v>
      </c>
      <c r="H342" s="15" t="n">
        <v>69.95</v>
      </c>
      <c r="I342" s="18" t="n">
        <f aca="false">ROUND(H342*F342/E342,0)</f>
        <v>140</v>
      </c>
      <c r="J342" s="17" t="n">
        <f aca="false">IFERROR(1-H342/I342,"")</f>
        <v>0.500357142857143</v>
      </c>
      <c r="K342" s="15" t="n">
        <f aca="false">H342-E342</f>
        <v>30</v>
      </c>
      <c r="L342" s="19" t="n">
        <f aca="false">IFERROR(H342/E342-1,"")</f>
        <v>0.750938673341677</v>
      </c>
      <c r="M342" s="20" t="n">
        <v>5</v>
      </c>
      <c r="N342" s="14"/>
    </row>
    <row r="343" customFormat="false" ht="15" hidden="false" customHeight="false" outlineLevel="0" collapsed="false">
      <c r="A343" s="10" t="s">
        <v>749</v>
      </c>
      <c r="B343" s="10" t="s">
        <v>750</v>
      </c>
      <c r="C343" s="10" t="s">
        <v>45</v>
      </c>
      <c r="D343" s="10" t="s">
        <v>17</v>
      </c>
      <c r="E343" s="11" t="n">
        <v>41.95</v>
      </c>
      <c r="F343" s="11" t="n">
        <v>84</v>
      </c>
      <c r="G343" s="21" t="n">
        <f aca="false">IFERROR(1-E343/F343,"")</f>
        <v>0.500595238095238</v>
      </c>
      <c r="H343" s="11" t="n">
        <v>69.95</v>
      </c>
      <c r="I343" s="12" t="n">
        <f aca="false">ROUND(H343*F343/E343,0)</f>
        <v>140</v>
      </c>
      <c r="J343" s="21" t="n">
        <f aca="false">IFERROR(1-H343/I343,"")</f>
        <v>0.500357142857143</v>
      </c>
      <c r="K343" s="11" t="n">
        <f aca="false">H343-E343</f>
        <v>28</v>
      </c>
      <c r="L343" s="22" t="n">
        <f aca="false">IFERROR(H343/E343-1,"")</f>
        <v>0.66746126340882</v>
      </c>
      <c r="M343" s="23" t="n">
        <v>24</v>
      </c>
      <c r="N343" s="10"/>
    </row>
    <row r="344" customFormat="false" ht="15" hidden="false" customHeight="false" outlineLevel="0" collapsed="false">
      <c r="A344" s="14" t="s">
        <v>751</v>
      </c>
      <c r="B344" s="14" t="s">
        <v>752</v>
      </c>
      <c r="C344" s="14" t="s">
        <v>45</v>
      </c>
      <c r="D344" s="14" t="s">
        <v>17</v>
      </c>
      <c r="E344" s="15" t="n">
        <v>41.95</v>
      </c>
      <c r="F344" s="15" t="n">
        <v>84</v>
      </c>
      <c r="G344" s="17" t="n">
        <f aca="false">IFERROR(1-E344/F344,"")</f>
        <v>0.500595238095238</v>
      </c>
      <c r="H344" s="15" t="n">
        <v>69.95</v>
      </c>
      <c r="I344" s="18" t="n">
        <f aca="false">ROUND(H344*F344/E344,0)</f>
        <v>140</v>
      </c>
      <c r="J344" s="17" t="n">
        <f aca="false">IFERROR(1-H344/I344,"")</f>
        <v>0.500357142857143</v>
      </c>
      <c r="K344" s="15" t="n">
        <f aca="false">H344-E344</f>
        <v>28</v>
      </c>
      <c r="L344" s="19" t="n">
        <f aca="false">IFERROR(H344/E344-1,"")</f>
        <v>0.66746126340882</v>
      </c>
      <c r="M344" s="20" t="n">
        <v>12</v>
      </c>
      <c r="N344" s="14"/>
    </row>
    <row r="345" customFormat="false" ht="15" hidden="false" customHeight="false" outlineLevel="0" collapsed="false">
      <c r="A345" s="10" t="s">
        <v>753</v>
      </c>
      <c r="B345" s="10" t="s">
        <v>754</v>
      </c>
      <c r="C345" s="10" t="s">
        <v>45</v>
      </c>
      <c r="D345" s="10" t="s">
        <v>17</v>
      </c>
      <c r="E345" s="11" t="n">
        <v>44.95</v>
      </c>
      <c r="F345" s="11" t="n">
        <v>90</v>
      </c>
      <c r="G345" s="21" t="n">
        <f aca="false">IFERROR(1-E345/F345,"")</f>
        <v>0.500555555555556</v>
      </c>
      <c r="H345" s="11" t="n">
        <v>69.95</v>
      </c>
      <c r="I345" s="12" t="n">
        <f aca="false">ROUND(H345*F345/E345,0)</f>
        <v>140</v>
      </c>
      <c r="J345" s="21" t="n">
        <f aca="false">IFERROR(1-H345/I345,"")</f>
        <v>0.500357142857143</v>
      </c>
      <c r="K345" s="11" t="n">
        <f aca="false">H345-E345</f>
        <v>25</v>
      </c>
      <c r="L345" s="22" t="n">
        <f aca="false">IFERROR(H345/E345-1,"")</f>
        <v>0.556173526140156</v>
      </c>
      <c r="M345" s="23" t="n">
        <v>30</v>
      </c>
      <c r="N345" s="10"/>
    </row>
    <row r="346" customFormat="false" ht="15" hidden="false" customHeight="false" outlineLevel="0" collapsed="false">
      <c r="A346" s="14" t="s">
        <v>755</v>
      </c>
      <c r="B346" s="14" t="s">
        <v>756</v>
      </c>
      <c r="C346" s="14" t="s">
        <v>45</v>
      </c>
      <c r="D346" s="14" t="s">
        <v>17</v>
      </c>
      <c r="E346" s="15" t="n">
        <v>44.95</v>
      </c>
      <c r="F346" s="15" t="n">
        <v>90</v>
      </c>
      <c r="G346" s="17" t="n">
        <f aca="false">IFERROR(1-E346/F346,"")</f>
        <v>0.500555555555556</v>
      </c>
      <c r="H346" s="15" t="n">
        <v>69.95</v>
      </c>
      <c r="I346" s="18" t="n">
        <f aca="false">ROUND(H346*F346/E346,0)</f>
        <v>140</v>
      </c>
      <c r="J346" s="17" t="n">
        <f aca="false">IFERROR(1-H346/I346,"")</f>
        <v>0.500357142857143</v>
      </c>
      <c r="K346" s="15" t="n">
        <f aca="false">H346-E346</f>
        <v>25</v>
      </c>
      <c r="L346" s="19" t="n">
        <f aca="false">IFERROR(H346/E346-1,"")</f>
        <v>0.556173526140156</v>
      </c>
      <c r="M346" s="20" t="n">
        <v>16</v>
      </c>
      <c r="N346" s="14"/>
    </row>
    <row r="347" customFormat="false" ht="15" hidden="false" customHeight="false" outlineLevel="0" collapsed="false">
      <c r="A347" s="10" t="s">
        <v>757</v>
      </c>
      <c r="B347" s="10" t="s">
        <v>758</v>
      </c>
      <c r="C347" s="10" t="s">
        <v>45</v>
      </c>
      <c r="D347" s="10" t="s">
        <v>17</v>
      </c>
      <c r="E347" s="11" t="n">
        <v>48.95</v>
      </c>
      <c r="F347" s="11" t="n">
        <v>98</v>
      </c>
      <c r="G347" s="21" t="n">
        <f aca="false">IFERROR(1-E347/F347,"")</f>
        <v>0.500510204081633</v>
      </c>
      <c r="H347" s="11" t="n">
        <v>69.95</v>
      </c>
      <c r="I347" s="12" t="n">
        <f aca="false">ROUND(H347*F347/E347,0)</f>
        <v>140</v>
      </c>
      <c r="J347" s="21" t="n">
        <f aca="false">IFERROR(1-H347/I347,"")</f>
        <v>0.500357142857143</v>
      </c>
      <c r="K347" s="11" t="n">
        <f aca="false">H347-E347</f>
        <v>21</v>
      </c>
      <c r="L347" s="22" t="n">
        <f aca="false">IFERROR(H347/E347-1,"")</f>
        <v>0.429009193054137</v>
      </c>
      <c r="M347" s="23" t="n">
        <v>6</v>
      </c>
      <c r="N347" s="10"/>
    </row>
    <row r="348" customFormat="false" ht="15" hidden="false" customHeight="false" outlineLevel="0" collapsed="false">
      <c r="A348" s="14" t="s">
        <v>759</v>
      </c>
      <c r="B348" s="14" t="s">
        <v>760</v>
      </c>
      <c r="C348" s="14" t="s">
        <v>45</v>
      </c>
      <c r="D348" s="14" t="s">
        <v>17</v>
      </c>
      <c r="E348" s="15" t="n">
        <v>48.95</v>
      </c>
      <c r="F348" s="15" t="n">
        <v>98</v>
      </c>
      <c r="G348" s="17" t="n">
        <f aca="false">IFERROR(1-E348/F348,"")</f>
        <v>0.500510204081633</v>
      </c>
      <c r="H348" s="15" t="n">
        <v>69.95</v>
      </c>
      <c r="I348" s="18" t="n">
        <f aca="false">ROUND(H348*F348/E348,0)</f>
        <v>140</v>
      </c>
      <c r="J348" s="17" t="n">
        <f aca="false">IFERROR(1-H348/I348,"")</f>
        <v>0.500357142857143</v>
      </c>
      <c r="K348" s="15" t="n">
        <f aca="false">H348-E348</f>
        <v>21</v>
      </c>
      <c r="L348" s="19" t="n">
        <f aca="false">IFERROR(H348/E348-1,"")</f>
        <v>0.429009193054137</v>
      </c>
      <c r="M348" s="20" t="n">
        <v>12</v>
      </c>
      <c r="N348" s="14"/>
    </row>
    <row r="349" customFormat="false" ht="15" hidden="false" customHeight="false" outlineLevel="0" collapsed="false">
      <c r="A349" s="10" t="s">
        <v>761</v>
      </c>
      <c r="B349" s="10" t="s">
        <v>762</v>
      </c>
      <c r="C349" s="10" t="s">
        <v>45</v>
      </c>
      <c r="D349" s="10" t="s">
        <v>17</v>
      </c>
      <c r="E349" s="11" t="n">
        <v>48.95</v>
      </c>
      <c r="F349" s="11" t="n">
        <v>98</v>
      </c>
      <c r="G349" s="21" t="n">
        <f aca="false">IFERROR(1-E349/F349,"")</f>
        <v>0.500510204081633</v>
      </c>
      <c r="H349" s="11" t="n">
        <v>69.95</v>
      </c>
      <c r="I349" s="12" t="n">
        <f aca="false">ROUND(H349*F349/E349,0)</f>
        <v>140</v>
      </c>
      <c r="J349" s="21" t="n">
        <f aca="false">IFERROR(1-H349/I349,"")</f>
        <v>0.500357142857143</v>
      </c>
      <c r="K349" s="11" t="n">
        <f aca="false">H349-E349</f>
        <v>21</v>
      </c>
      <c r="L349" s="22" t="n">
        <f aca="false">IFERROR(H349/E349-1,"")</f>
        <v>0.429009193054137</v>
      </c>
      <c r="M349" s="23" t="n">
        <v>4</v>
      </c>
      <c r="N349" s="10"/>
    </row>
    <row r="350" customFormat="false" ht="15" hidden="false" customHeight="false" outlineLevel="0" collapsed="false">
      <c r="A350" s="14" t="s">
        <v>763</v>
      </c>
      <c r="B350" s="14" t="s">
        <v>764</v>
      </c>
      <c r="C350" s="14" t="s">
        <v>45</v>
      </c>
      <c r="D350" s="14" t="s">
        <v>17</v>
      </c>
      <c r="E350" s="15" t="n">
        <v>48.95</v>
      </c>
      <c r="F350" s="15" t="n">
        <v>98</v>
      </c>
      <c r="G350" s="17" t="n">
        <f aca="false">IFERROR(1-E350/F350,"")</f>
        <v>0.500510204081633</v>
      </c>
      <c r="H350" s="15" t="n">
        <v>69.95</v>
      </c>
      <c r="I350" s="18" t="n">
        <f aca="false">ROUND(H350*F350/E350,0)</f>
        <v>140</v>
      </c>
      <c r="J350" s="17" t="n">
        <f aca="false">IFERROR(1-H350/I350,"")</f>
        <v>0.500357142857143</v>
      </c>
      <c r="K350" s="15" t="n">
        <f aca="false">H350-E350</f>
        <v>21</v>
      </c>
      <c r="L350" s="19" t="n">
        <f aca="false">IFERROR(H350/E350-1,"")</f>
        <v>0.429009193054137</v>
      </c>
      <c r="M350" s="20" t="n">
        <v>8</v>
      </c>
      <c r="N350" s="14"/>
    </row>
    <row r="351" customFormat="false" ht="15" hidden="false" customHeight="false" outlineLevel="0" collapsed="false">
      <c r="A351" s="10" t="s">
        <v>765</v>
      </c>
      <c r="B351" s="10" t="s">
        <v>766</v>
      </c>
      <c r="C351" s="10" t="s">
        <v>45</v>
      </c>
      <c r="D351" s="10" t="s">
        <v>17</v>
      </c>
      <c r="E351" s="11" t="n">
        <v>49.95</v>
      </c>
      <c r="F351" s="11" t="n">
        <v>100</v>
      </c>
      <c r="G351" s="21" t="n">
        <f aca="false">IFERROR(1-E351/F351,"")</f>
        <v>0.5005</v>
      </c>
      <c r="H351" s="11" t="n">
        <v>69.95</v>
      </c>
      <c r="I351" s="12" t="n">
        <f aca="false">ROUND(H351*F351/E351,0)</f>
        <v>140</v>
      </c>
      <c r="J351" s="21" t="n">
        <f aca="false">IFERROR(1-H351/I351,"")</f>
        <v>0.500357142857143</v>
      </c>
      <c r="K351" s="11" t="n">
        <f aca="false">H351-E351</f>
        <v>20</v>
      </c>
      <c r="L351" s="22" t="n">
        <f aca="false">IFERROR(H351/E351-1,"")</f>
        <v>0.400400400400401</v>
      </c>
      <c r="M351" s="23" t="n">
        <v>6</v>
      </c>
      <c r="N351" s="10"/>
    </row>
    <row r="352" customFormat="false" ht="15" hidden="false" customHeight="false" outlineLevel="0" collapsed="false">
      <c r="A352" s="14" t="s">
        <v>767</v>
      </c>
      <c r="B352" s="14" t="s">
        <v>768</v>
      </c>
      <c r="C352" s="14" t="s">
        <v>45</v>
      </c>
      <c r="D352" s="14" t="s">
        <v>17</v>
      </c>
      <c r="E352" s="15" t="n">
        <v>49.95</v>
      </c>
      <c r="F352" s="15" t="n">
        <v>100</v>
      </c>
      <c r="G352" s="17" t="n">
        <f aca="false">IFERROR(1-E352/F352,"")</f>
        <v>0.5005</v>
      </c>
      <c r="H352" s="15" t="n">
        <v>69.95</v>
      </c>
      <c r="I352" s="18" t="n">
        <f aca="false">ROUND(H352*F352/E352,0)</f>
        <v>140</v>
      </c>
      <c r="J352" s="17" t="n">
        <f aca="false">IFERROR(1-H352/I352,"")</f>
        <v>0.500357142857143</v>
      </c>
      <c r="K352" s="15" t="n">
        <f aca="false">H352-E352</f>
        <v>20</v>
      </c>
      <c r="L352" s="19" t="n">
        <f aca="false">IFERROR(H352/E352-1,"")</f>
        <v>0.400400400400401</v>
      </c>
      <c r="M352" s="20" t="n">
        <v>36</v>
      </c>
      <c r="N352" s="14"/>
    </row>
    <row r="353" customFormat="false" ht="15" hidden="false" customHeight="false" outlineLevel="0" collapsed="false">
      <c r="A353" s="10" t="s">
        <v>769</v>
      </c>
      <c r="B353" s="10" t="s">
        <v>770</v>
      </c>
      <c r="C353" s="10" t="s">
        <v>45</v>
      </c>
      <c r="D353" s="10" t="s">
        <v>17</v>
      </c>
      <c r="E353" s="11" t="n">
        <v>49.95</v>
      </c>
      <c r="F353" s="11" t="n">
        <v>100</v>
      </c>
      <c r="G353" s="21" t="n">
        <f aca="false">IFERROR(1-E353/F353,"")</f>
        <v>0.5005</v>
      </c>
      <c r="H353" s="11" t="n">
        <v>69.95</v>
      </c>
      <c r="I353" s="12" t="n">
        <f aca="false">ROUND(H353*F353/E353,0)</f>
        <v>140</v>
      </c>
      <c r="J353" s="21" t="n">
        <f aca="false">IFERROR(1-H353/I353,"")</f>
        <v>0.500357142857143</v>
      </c>
      <c r="K353" s="11" t="n">
        <f aca="false">H353-E353</f>
        <v>20</v>
      </c>
      <c r="L353" s="22" t="n">
        <f aca="false">IFERROR(H353/E353-1,"")</f>
        <v>0.400400400400401</v>
      </c>
      <c r="M353" s="23" t="n">
        <v>15</v>
      </c>
      <c r="N353" s="10"/>
    </row>
  </sheetData>
  <autoFilter ref="A1:N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2026-09-17T17:11:22Z</dcterms:created>
  <dc:creator>openpyxl</dc:creator>
  <dc:description/>
  <dc:language>en-US</dc:language>
  <cp:lastModifiedBy/>
  <dcterms:modified xsi:type="dcterms:W3CDTF">2026-09-17T17:11:23Z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