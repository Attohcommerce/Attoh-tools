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Onder 45 dollar" sheetId="2" state="visible" r:id="rId4"/>
  </sheets>
  <definedNames>
    <definedName function="false" hidden="true" localSheetId="1" name="_xlnm._FilterDatabase" vbProcedure="false">'Onder 45 dollar'!$A$1:$H$227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<sst xmlns="http://schemas.openxmlformats.org/spreadsheetml/2006/main" count="969" uniqueCount="514">
  <si>
    <t xml:space="preserve">Prijzen onder $45 — productexport</t>
  </si>
  <si>
    <t xml:space="preserve">Bron: products_export_1.csv (Shopify-export, vendor Emily Neill): 879 producten, 27.469 varianten met prijs</t>
  </si>
  <si>
    <t xml:space="preserve">Producten totaal in de export</t>
  </si>
  <si>
    <t xml:space="preserve">Producten met een prijs onder $45</t>
  </si>
  <si>
    <t xml:space="preserve">Varianten onder $45</t>
  </si>
  <si>
    <t xml:space="preserve">Laagste prijs</t>
  </si>
  <si>
    <t xml:space="preserve">Hoogste prijs onder de grens</t>
  </si>
  <si>
    <t xml:space="preserve">Gemiddelde prijs onder $45</t>
  </si>
  <si>
    <t xml:space="preserve">Gemiddelde korting t.o.v. compare-at</t>
  </si>
  <si>
    <t xml:space="preserve">Per prijspunt</t>
  </si>
  <si>
    <t xml:space="preserve">Prijs</t>
  </si>
  <si>
    <t xml:space="preserve">Producten</t>
  </si>
  <si>
    <t xml:space="preserve">Categorieën (top 3)</t>
  </si>
  <si>
    <t xml:space="preserve">swimwear (1)</t>
  </si>
  <si>
    <t xml:space="preserve">sandals (1), skirts (1)</t>
  </si>
  <si>
    <t xml:space="preserve">tanktops (3), trousers (2), leggings (2)</t>
  </si>
  <si>
    <t xml:space="preserve">shorts (1)</t>
  </si>
  <si>
    <t xml:space="preserve">shoes (1)</t>
  </si>
  <si>
    <t xml:space="preserve">tanktops (8), swimwear (6), graduation (3)</t>
  </si>
  <si>
    <t xml:space="preserve">sandals (2), jackets (1), blouses (1)</t>
  </si>
  <si>
    <t xml:space="preserve">formaldress (1), hoodies (1)</t>
  </si>
  <si>
    <t xml:space="preserve">blouses (2), casualdress (1), shorts (1)</t>
  </si>
  <si>
    <t xml:space="preserve">sandals (1), shorts (1), swimwear (1)</t>
  </si>
  <si>
    <t xml:space="preserve">tanktops (9), casualdress (7), swimwear (7)</t>
  </si>
  <si>
    <t xml:space="preserve">hoodies (2), boots (1), sandals (1)</t>
  </si>
  <si>
    <t xml:space="preserve">weddingguest (2), blouses (2), sandals (1)</t>
  </si>
  <si>
    <t xml:space="preserve">shoes (2), hoodies (2), shorts (2)</t>
  </si>
  <si>
    <t xml:space="preserve">mensshorts (2), sandals (2), mensshoes (1)</t>
  </si>
  <si>
    <t xml:space="preserve">casualdress (15), shoes (10), sandals (9)</t>
  </si>
  <si>
    <t xml:space="preserve">Totaal</t>
  </si>
  <si>
    <t xml:space="preserve">Per categorie</t>
  </si>
  <si>
    <t xml:space="preserve">Categorie</t>
  </si>
  <si>
    <t xml:space="preserve">casualdress</t>
  </si>
  <si>
    <t xml:space="preserve">tanktops</t>
  </si>
  <si>
    <t xml:space="preserve">sandals</t>
  </si>
  <si>
    <t xml:space="preserve">swimwear</t>
  </si>
  <si>
    <t xml:space="preserve">shoes</t>
  </si>
  <si>
    <t xml:space="preserve">blouses</t>
  </si>
  <si>
    <t xml:space="preserve">trousers</t>
  </si>
  <si>
    <t xml:space="preserve">shorts</t>
  </si>
  <si>
    <t xml:space="preserve">leggings</t>
  </si>
  <si>
    <t xml:space="preserve">hoodies</t>
  </si>
  <si>
    <t xml:space="preserve">skirts</t>
  </si>
  <si>
    <t xml:space="preserve">weddingguest</t>
  </si>
  <si>
    <t xml:space="preserve">formaldress</t>
  </si>
  <si>
    <t xml:space="preserve">graduation</t>
  </si>
  <si>
    <t xml:space="preserve">jeans</t>
  </si>
  <si>
    <t xml:space="preserve">jackets</t>
  </si>
  <si>
    <t xml:space="preserve">mensshoes</t>
  </si>
  <si>
    <t xml:space="preserve">boots</t>
  </si>
  <si>
    <t xml:space="preserve">mensshorts</t>
  </si>
  <si>
    <t xml:space="preserve">menssweaters</t>
  </si>
  <si>
    <t xml:space="preserve">Grens: variantprijs &lt; $45,00. Prijs = productprijs; bij alle 226 producten op 1 na is die gelijk voor elke variant.</t>
  </si>
  <si>
    <t xml:space="preserve">Compare-at staat in de export vrijwel altijd op exact 2x de prijs (7.956 van 7.961 varianten).</t>
  </si>
  <si>
    <t xml:space="preserve">Handle</t>
  </si>
  <si>
    <t xml:space="preserve">Titel</t>
  </si>
  <si>
    <t xml:space="preserve">Compare at</t>
  </si>
  <si>
    <t xml:space="preserve">Korting %</t>
  </si>
  <si>
    <t xml:space="preserve">Varianten</t>
  </si>
  <si>
    <t xml:space="preserve">Alle varianten &lt; $45</t>
  </si>
  <si>
    <t xml:space="preserve">womens-one-piece-swimsuit-halter-neck-wrap-style</t>
  </si>
  <si>
    <t xml:space="preserve">Women's One Piece Swimsuit | Halter Neck Wrap Style</t>
  </si>
  <si>
    <t xml:space="preserve">ja</t>
  </si>
  <si>
    <t xml:space="preserve">sandals-for-women-lace-up-block-heel-open-toe</t>
  </si>
  <si>
    <t xml:space="preserve">Sandals For Women | Lace Up Block Heel Open Toe</t>
  </si>
  <si>
    <t xml:space="preserve">womens-skirt-midi-leopard-print-wrap-high-slit</t>
  </si>
  <si>
    <t xml:space="preserve">Women's Skirt | Midi Leopard Print Wrap High Slit</t>
  </si>
  <si>
    <t xml:space="preserve">womens-cargo-pants-wide-leg-drawstring-street-style</t>
  </si>
  <si>
    <t xml:space="preserve">Women's Cargo Pants | Wide Leg Drawstring Street Style</t>
  </si>
  <si>
    <t xml:space="preserve">womens-halter-top-deep-v-neck-ribbed</t>
  </si>
  <si>
    <t xml:space="preserve">Women's Halter Top | Deep V-Neck Ribbed</t>
  </si>
  <si>
    <t xml:space="preserve">womens-halter-top-lace-trim-asymmetric-sleeveless-black</t>
  </si>
  <si>
    <t xml:space="preserve">Women's Halter Top | Lace Trim Asymmetric Sleeveless Black</t>
  </si>
  <si>
    <t xml:space="preserve">womens-halter-top-plunging-neck-back-tie-sleeveless</t>
  </si>
  <si>
    <t xml:space="preserve">Women's Halter Top | Plunging Neck Back Tie Sleeveless</t>
  </si>
  <si>
    <t xml:space="preserve">womens-leggings-fleece-lined-high-waisted</t>
  </si>
  <si>
    <t xml:space="preserve">Women's Leggings | Fleece Lined High Waisted</t>
  </si>
  <si>
    <t xml:space="preserve">womens-leggings-tummy-control-butt-lift</t>
  </si>
  <si>
    <t xml:space="preserve">Women's Leggings | Tummy Control Butt Lift</t>
  </si>
  <si>
    <t xml:space="preserve">womens-linen-pants-drawstring-elastic-waist</t>
  </si>
  <si>
    <t xml:space="preserve">Women's Linen Pants | Drawstring Elastic Waist</t>
  </si>
  <si>
    <t xml:space="preserve">womens-shorts-high-waist-belted-pleated</t>
  </si>
  <si>
    <t xml:space="preserve">Women's Shorts | High Waist Belted Pleated</t>
  </si>
  <si>
    <t xml:space="preserve">womens-wedding-guest-dress-maxi-pleated-halter-neck</t>
  </si>
  <si>
    <t xml:space="preserve">Women's Wedding Guest Dress | Maxi Pleated Halter Neck</t>
  </si>
  <si>
    <t xml:space="preserve">womens-shorts-elastic-waist-pockets</t>
  </si>
  <si>
    <t xml:space="preserve">Women's Shorts | Elastic Waist Pockets</t>
  </si>
  <si>
    <t xml:space="preserve">orthopedic-shoes-for-women-slip-on-comfort-knit</t>
  </si>
  <si>
    <t xml:space="preserve">Orthopedic Shoes For Women | Slip On Comfort Knit</t>
  </si>
  <si>
    <t xml:space="preserve">womens-shorts-drawstring-pockets-rolled-cuff</t>
  </si>
  <si>
    <t xml:space="preserve">Women's Shorts | Drawstring Pockets Rolled Cuff</t>
  </si>
  <si>
    <t xml:space="preserve">platform-sandals-for-women-open-toe-elastic-strap</t>
  </si>
  <si>
    <t xml:space="preserve">Platform Sandals For Women | Open Toe Elastic Strap</t>
  </si>
  <si>
    <t xml:space="preserve">shoes-for-women-low-top-lace-up-sneakers</t>
  </si>
  <si>
    <t xml:space="preserve">Shoes For Women | Low Top Lace Up Sneakers</t>
  </si>
  <si>
    <t xml:space="preserve">shoes-insoles-for-men-heated-electric-thermal-usb</t>
  </si>
  <si>
    <t xml:space="preserve">Shoes Insoles For Men | Heated Electric Thermal USB</t>
  </si>
  <si>
    <t xml:space="preserve">winter-boots-for-women-round-toe-side-zip</t>
  </si>
  <si>
    <t xml:space="preserve">Winter Boots For Women | Round Toe Side Zip</t>
  </si>
  <si>
    <t xml:space="preserve">womens-bathing-suit-halter-neck-plunging-v-neck</t>
  </si>
  <si>
    <t xml:space="preserve">Women's Bathing Suit | Halter Neck Plunging V-Neck</t>
  </si>
  <si>
    <t xml:space="preserve">womens-grad-dress-maxi-sequin-spaghetti-strap-backless</t>
  </si>
  <si>
    <t xml:space="preserve">Women's Grad Dress | Maxi Sequin Spaghetti Strap Backless</t>
  </si>
  <si>
    <t xml:space="preserve">womens-grad-dress-midi-asymmetric-black-pleated</t>
  </si>
  <si>
    <t xml:space="preserve">Women's Grad Dress | Midi Asymmetric Black Pleated</t>
  </si>
  <si>
    <t xml:space="preserve">womens-grad-dress-midi-sequin-mesh-sleeve-cocktail</t>
  </si>
  <si>
    <t xml:space="preserve">Women's Grad Dress | Midi Sequin Mesh Sleeve Cocktail</t>
  </si>
  <si>
    <t xml:space="preserve">womens-halter-top-cut-out-bow-sleeveless</t>
  </si>
  <si>
    <t xml:space="preserve">Women's Halter Top | Cut Out Bow Sleeveless</t>
  </si>
  <si>
    <t xml:space="preserve">womens-halter-top-sleeveless-cowl-neck-plunge-satin</t>
  </si>
  <si>
    <t xml:space="preserve">Women's Halter Top | Sleeveless Cowl Neck Plunge Satin</t>
  </si>
  <si>
    <t xml:space="preserve">womens-hoodie-v-neck-long-sleeve-drawstring-pocket</t>
  </si>
  <si>
    <t xml:space="preserve">Women's Hoodie | V-Neck Long Sleeve Drawstring Pocket</t>
  </si>
  <si>
    <t xml:space="preserve">womens-hoodie-waffle-knit-drawstring-kangaroo-pocket</t>
  </si>
  <si>
    <t xml:space="preserve">Women's Hoodie | Waffle Knit Drawstring Kangaroo Pocket</t>
  </si>
  <si>
    <t xml:space="preserve">womens-jeans-straight-leg-embellished-denim</t>
  </si>
  <si>
    <t xml:space="preserve">Women's Jeans | Straight Leg Embellished Denim</t>
  </si>
  <si>
    <t xml:space="preserve">womens-leggings-high-waist-black-faux-leather</t>
  </si>
  <si>
    <t xml:space="preserve">Women's Leggings | High Waist Black Faux Leather</t>
  </si>
  <si>
    <t xml:space="preserve">womens-leggings-high-waisted-ruched-halter-set</t>
  </si>
  <si>
    <t xml:space="preserve">Women's Leggings | High Waisted Ruched Halter Set</t>
  </si>
  <si>
    <t xml:space="preserve">womens-one-piece-swimsuit-ruched-square-neck-shirred-bodice</t>
  </si>
  <si>
    <t xml:space="preserve">Women's One-Piece Swimsuit | Ruched Square Neck Shirred Bodice</t>
  </si>
  <si>
    <t xml:space="preserve">womens-plus-size-dress-midi-linen-button-front</t>
  </si>
  <si>
    <t xml:space="preserve">Women's Plus Size Dress | Midi Linen Button Front</t>
  </si>
  <si>
    <t xml:space="preserve">womens-red-dress-mini-strapless-ruffle-hem-summer-party</t>
  </si>
  <si>
    <t xml:space="preserve">Women's Red Dress | Mini Strapless Ruffle Hem Summer Party</t>
  </si>
  <si>
    <t xml:space="preserve">womens-skirt-maxi-boho-print-tie-waist-tiered</t>
  </si>
  <si>
    <t xml:space="preserve">Women's Skirt | Maxi Boho Print Tie Waist Tiered</t>
  </si>
  <si>
    <t xml:space="preserve">womens-skirt-mini-deep-v-neck-halter-black</t>
  </si>
  <si>
    <t xml:space="preserve">Women's Skirt | Mini Deep V-Neck Halter Black</t>
  </si>
  <si>
    <t xml:space="preserve">womens-sundress-mini-spaghetti-strap-sun-print</t>
  </si>
  <si>
    <t xml:space="preserve">Women's Sundress | Mini Spaghetti Strap Sun Print</t>
  </si>
  <si>
    <t xml:space="preserve">womens-swimsuit-athletic-geometric-print-tankini-shorts</t>
  </si>
  <si>
    <t xml:space="preserve">Women's Swimsuit | Athletic Geometric Print Tankini Shorts</t>
  </si>
  <si>
    <t xml:space="preserve">womens-swimsuit-halter-neck-deep-v-neck-ruched-backless</t>
  </si>
  <si>
    <t xml:space="preserve">Women's Swimsuit | Halter Neck Deep V-Neck Ruched Backless</t>
  </si>
  <si>
    <t xml:space="preserve">womens-swimsuit-halter-neck-high-waisted</t>
  </si>
  <si>
    <t xml:space="preserve">Women's Swimsuit | Halter Neck High Waisted</t>
  </si>
  <si>
    <t xml:space="preserve">womens-swimsuit-high-waist-ruched-halter-neck-trim</t>
  </si>
  <si>
    <t xml:space="preserve">Women's Swimsuit | High Waist Ruched Halter Neck Trim</t>
  </si>
  <si>
    <t xml:space="preserve">womens-tank-top-geometric-print-ring-detail-sleeveless</t>
  </si>
  <si>
    <t xml:space="preserve">Women's Tank Top | Geometric Print Ring Detail Sleeveless</t>
  </si>
  <si>
    <t xml:space="preserve">womens-tank-top-halter-neck-textured-knit</t>
  </si>
  <si>
    <t xml:space="preserve">Women's Tank Top | Halter Neck Textured Knit</t>
  </si>
  <si>
    <t xml:space="preserve">womens-tank-top-ring-detail-strappy-neck</t>
  </si>
  <si>
    <t xml:space="preserve">Women's Tank Top | Ring Detail Strappy Neck</t>
  </si>
  <si>
    <t xml:space="preserve">womens-tank-top-scallop-trim-v-neck-spaghetti-strap</t>
  </si>
  <si>
    <t xml:space="preserve">Women's Tank Top | Scallop Trim V-Neck Spaghetti Strap</t>
  </si>
  <si>
    <t xml:space="preserve">womens-tank-top-sequin-v-neck-sleeveless</t>
  </si>
  <si>
    <t xml:space="preserve">Women's Tank Top | Sequin V-Neck Sleeveless</t>
  </si>
  <si>
    <t xml:space="preserve">womens-tank-top-v-neck-sleeveless-wrap-crossover</t>
  </si>
  <si>
    <t xml:space="preserve">Women's Tank Top | V-Neck Sleeveless Wrap Crossover</t>
  </si>
  <si>
    <t xml:space="preserve">womens-dog-winter-jacket-padded-harness-leash-attachment-quilted</t>
  </si>
  <si>
    <t xml:space="preserve">Women's Dog Winter Jacket | Padded Harness Leash Attachment Quilted</t>
  </si>
  <si>
    <t xml:space="preserve">nee (25 van 35)</t>
  </si>
  <si>
    <t xml:space="preserve">womens-flip-flops-orthopedic-arch-support-adjustable-strap</t>
  </si>
  <si>
    <t xml:space="preserve">Women's Flip Flops | Orthopedic Arch Support Adjustable Strap</t>
  </si>
  <si>
    <t xml:space="preserve">womens-flip-flops-orthopedic-comfort-thong-strap</t>
  </si>
  <si>
    <t xml:space="preserve">Women's Flip Flops | Orthopedic Comfort Thong Strap</t>
  </si>
  <si>
    <t xml:space="preserve">womens-linen-shirt-dress-midi-button-down-long-sleeve</t>
  </si>
  <si>
    <t xml:space="preserve">Women's Linen Shirt Dress | Midi Button Down Long Sleeve</t>
  </si>
  <si>
    <t xml:space="preserve">womens-cocktail-dress-mini-bodycon-ruched-spaghetti-strap</t>
  </si>
  <si>
    <t xml:space="preserve">Women's Cocktail Dress | Mini Bodycon Ruched Spaghetti Strap</t>
  </si>
  <si>
    <t xml:space="preserve">womens-crewneck-sweater-patchwork-knit-long-sleeve</t>
  </si>
  <si>
    <t xml:space="preserve">Women's Crewneck Sweater | Patchwork Knit Long Sleeve</t>
  </si>
  <si>
    <t xml:space="preserve">womens-polka-dot-dress-mini-halter-open-back-spaghetti-strap</t>
  </si>
  <si>
    <t xml:space="preserve">Women's Polka Dot Dress | Mini Halter Open Back Spaghetti Strap</t>
  </si>
  <si>
    <t xml:space="preserve">womens-shorts-wide-leg-elastic-waist</t>
  </si>
  <si>
    <t xml:space="preserve">Women's Shorts | Wide Leg Elastic Waist</t>
  </si>
  <si>
    <t xml:space="preserve">womens-sweatshirt-floral-print-hooded-pullover</t>
  </si>
  <si>
    <t xml:space="preserve">Women's Sweatshirt | Floral Print Hooded Pullover</t>
  </si>
  <si>
    <t xml:space="preserve">womens-sweatshirt-mock-neck-oversized-graphic</t>
  </si>
  <si>
    <t xml:space="preserve">Women's Sweatshirt | Mock Neck Oversized Graphic</t>
  </si>
  <si>
    <t xml:space="preserve">sandals-for-women-orthopedic-open-toe-flat</t>
  </si>
  <si>
    <t xml:space="preserve">Sandals For Women | Orthopedic Open Toe Flat</t>
  </si>
  <si>
    <t xml:space="preserve">womens-shorts-high-waisted-leather-biker</t>
  </si>
  <si>
    <t xml:space="preserve">Women's Shorts | High-Waisted Leather Biker</t>
  </si>
  <si>
    <t xml:space="preserve">womens-swimsuit-athletic-scoop-neck-racerback-one-piece</t>
  </si>
  <si>
    <t xml:space="preserve">Women's Swimsuit | Athletic Scoop Neck Racerback One Piece</t>
  </si>
  <si>
    <t xml:space="preserve">womens-tiered-skirt-maxi-wrap-v-neck-flutter-sleeve</t>
  </si>
  <si>
    <t xml:space="preserve">Women's Tiered Skirt | Maxi Wrap V-Neck Flutter Sleeve</t>
  </si>
  <si>
    <t xml:space="preserve">mary-jane-shoes-for-women-orthopedic-block-heel-strap</t>
  </si>
  <si>
    <t xml:space="preserve">Mary Jane Shoes For Women | Orthopedic Block Heel Strap</t>
  </si>
  <si>
    <t xml:space="preserve">platform-sandals-for-women-open-toe-lace-up-chunky-sole</t>
  </si>
  <si>
    <t xml:space="preserve">Platform Sandals For Women | Open Toe Lace Up Chunky Sole</t>
  </si>
  <si>
    <t xml:space="preserve">sandals-for-women-ankle-strap-wedge-braided-sole</t>
  </si>
  <si>
    <t xml:space="preserve">Sandals For Women | Ankle Strap Wedge Braided Sole</t>
  </si>
  <si>
    <t xml:space="preserve">sandals-for-women-double-buckle-cut-out-pattern</t>
  </si>
  <si>
    <t xml:space="preserve">Sandals For Women | Double Buckle Cut-Out Pattern</t>
  </si>
  <si>
    <t xml:space="preserve">sandals-for-women-double-strap-slip-on-platform-wedge</t>
  </si>
  <si>
    <t xml:space="preserve">Sandals For Women | Double Strap Slip On Platform Wedge</t>
  </si>
  <si>
    <t xml:space="preserve">sandals-for-women-open-toe-arch-support-strap</t>
  </si>
  <si>
    <t xml:space="preserve">Sandals For Women | Open Toe Arch Support Strap</t>
  </si>
  <si>
    <t xml:space="preserve">sandals-for-women-wedge-cork-platform-ankle-strap</t>
  </si>
  <si>
    <t xml:space="preserve">Sandals For Women | Wedge Cork Platform Ankle Strap</t>
  </si>
  <si>
    <t xml:space="preserve">shoes-for-women-platform-lace-up-sneakers</t>
  </si>
  <si>
    <t xml:space="preserve">Shoes For Women | Platform Lace Up Sneakers</t>
  </si>
  <si>
    <t xml:space="preserve">shoes-for-women-rhinestone-embellished-sneakers-lace-up</t>
  </si>
  <si>
    <t xml:space="preserve">Shoes For Women | Rhinestone Embellished Sneakers Lace Up</t>
  </si>
  <si>
    <t xml:space="preserve">shoes-for-women-slip-on-espadrille-flat</t>
  </si>
  <si>
    <t xml:space="preserve">Shoes For Women | Slip-On Espadrille Flat</t>
  </si>
  <si>
    <t xml:space="preserve">womens-black-dress-mini-halterneck-polka-dot</t>
  </si>
  <si>
    <t xml:space="preserve">Women's Black Dress | Mini Halterneck Polka Dot</t>
  </si>
  <si>
    <t xml:space="preserve">womens-blouse-boho-floral-print-button-front</t>
  </si>
  <si>
    <t xml:space="preserve">Women's Blouse | Boho Floral Print Button Front</t>
  </si>
  <si>
    <t xml:space="preserve">womens-bomber-jacket-cropped-button-front-stand-collar-ribbed</t>
  </si>
  <si>
    <t xml:space="preserve">Women's Bomber Jacket | Cropped Button Front Stand Collar Ribbed</t>
  </si>
  <si>
    <t xml:space="preserve">womens-cargo-pants-wide-leg-side-pocket</t>
  </si>
  <si>
    <t xml:space="preserve">Women's Cargo Pants | Wide Leg Side Pocket</t>
  </si>
  <si>
    <t xml:space="preserve">womens-cocktail-dress-maxi-floral-v-neck-ruffle-sleeve</t>
  </si>
  <si>
    <t xml:space="preserve">Women's Cocktail Dress | Maxi Floral V-Neck Ruffle Sleeve</t>
  </si>
  <si>
    <t xml:space="preserve">womens-cocktail-dress-maxi-high-neck-cut-out-sleeveless</t>
  </si>
  <si>
    <t xml:space="preserve">Women's Cocktail Dress | Maxi High Neck Cut Out Sleeveless</t>
  </si>
  <si>
    <t xml:space="preserve">womens-cocktail-dress-mini-feather-sequin-v-neck</t>
  </si>
  <si>
    <t xml:space="preserve">Women's Cocktail Dress | Mini Feather Sequin V-Neck</t>
  </si>
  <si>
    <t xml:space="preserve">womens-dress-maxi-sleeveless-ruched-bodice-spaghetti-strap</t>
  </si>
  <si>
    <t xml:space="preserve">Women's Dress | Maxi Sleeveless Ruched Bodice Spaghetti Strap</t>
  </si>
  <si>
    <t xml:space="preserve">womens-formal-dress-midi-v-neck-puff-sleeve</t>
  </si>
  <si>
    <t xml:space="preserve">Women's Formal Dress | Midi V-Neck Puff Sleeve</t>
  </si>
  <si>
    <t xml:space="preserve">womens-halter-top-crisscross-strap-contrast-trim</t>
  </si>
  <si>
    <t xml:space="preserve">Women's Halter Top | Crisscross Strap Contrast Trim</t>
  </si>
  <si>
    <t xml:space="preserve">womens-halter-top-crossover-fringe-eyelet-white</t>
  </si>
  <si>
    <t xml:space="preserve">Women's Halter Top | Crossover Fringe Eyelet White</t>
  </si>
  <si>
    <t xml:space="preserve">womens-halter-top-eyelet-sleeveless-shirred</t>
  </si>
  <si>
    <t xml:space="preserve">Women's Halter Top | Eyelet Sleeveless Shirred</t>
  </si>
  <si>
    <t xml:space="preserve">womens-halter-top-retro-print-halter-neck-sleeveless</t>
  </si>
  <si>
    <t xml:space="preserve">Women's Halter Top | Retro Print Halter Neck Sleeveless</t>
  </si>
  <si>
    <t xml:space="preserve">womens-hoodie-contrast-denim-long-sleeve-button-henley</t>
  </si>
  <si>
    <t xml:space="preserve">Women's Hoodie | Contrast Denim Long Sleeve Button Henley</t>
  </si>
  <si>
    <t xml:space="preserve">womens-hoodie-fleece-lined-pullover</t>
  </si>
  <si>
    <t xml:space="preserve">Women's Hoodie | Fleece Lined Pullover</t>
  </si>
  <si>
    <t xml:space="preserve">womens-leggings-skinny-pu-leather-bowknot</t>
  </si>
  <si>
    <t xml:space="preserve">Women's Leggings | Skinny PU Leather Bowknot</t>
  </si>
  <si>
    <t xml:space="preserve">womens-leggings-stirrup-high-waist-black</t>
  </si>
  <si>
    <t xml:space="preserve">Women's Leggings | Stirrup High Waist Black</t>
  </si>
  <si>
    <t xml:space="preserve">womens-linen-pants-cropped-straight-leg-turn-up-cuff</t>
  </si>
  <si>
    <t xml:space="preserve">Women's Linen Pants | Cropped Straight Leg Turn Up Cuff</t>
  </si>
  <si>
    <t xml:space="preserve">womens-linen-pants-drawstring-wide-leg</t>
  </si>
  <si>
    <t xml:space="preserve">Women's Linen Pants | Drawstring Wide Leg</t>
  </si>
  <si>
    <t xml:space="preserve">womens-linen-pants-wide-leg-paperbag-waist-tie-front</t>
  </si>
  <si>
    <t xml:space="preserve">Women's Linen Pants | Wide Leg Paperbag Waist Tie Front</t>
  </si>
  <si>
    <t xml:space="preserve">womens-linen-shirt-floral-button-front-long-sleeve-blouse</t>
  </si>
  <si>
    <t xml:space="preserve">Women's Linen Shirt | Floral Button Front Long Sleeve Blouse</t>
  </si>
  <si>
    <t xml:space="preserve">womens-linen-shirt-short-sleeve-button-down</t>
  </si>
  <si>
    <t xml:space="preserve">Women's Linen Shirt | Short Sleeve Button Down</t>
  </si>
  <si>
    <t xml:space="preserve">womens-midi-dress-smocked-waist-balloon-sleeve</t>
  </si>
  <si>
    <t xml:space="preserve">Women's Midi Dress | Smocked Waist Balloon Sleeve</t>
  </si>
  <si>
    <t xml:space="preserve">womens-one-piece-swimsuit-scoop-neck-crisscross-back</t>
  </si>
  <si>
    <t xml:space="preserve">Women's One-Piece Swimsuit | Scoop Neck Crisscross Back</t>
  </si>
  <si>
    <t xml:space="preserve">womens-one-piece-swimsuit-tummy-control-wrap-shirred-v-neck</t>
  </si>
  <si>
    <t xml:space="preserve">Women's One-Piece Swimsuit | Tummy Control Wrap Shirred V-Neck</t>
  </si>
  <si>
    <t xml:space="preserve">womens-pants-drawstring-waist-jogger-cropped-side-pockets</t>
  </si>
  <si>
    <t xml:space="preserve">Women's Pants | Drawstring Waist Jogger Cropped Side Pockets</t>
  </si>
  <si>
    <t xml:space="preserve">womens-plus-size-dress-midi-floral-tankini-swim-skirt-red</t>
  </si>
  <si>
    <t xml:space="preserve">Women's Plus Size Dress | Midi Floral Tankini Swim Skirt Red</t>
  </si>
  <si>
    <t xml:space="preserve">womens-shirt-dress-midi-button-down-collared-short-sleeve</t>
  </si>
  <si>
    <t xml:space="preserve">Women's Shirt Dress | Midi Button-Down Collared Short Sleeve</t>
  </si>
  <si>
    <t xml:space="preserve">womens-shirt-long-sleeve-button-front</t>
  </si>
  <si>
    <t xml:space="preserve">Women's Shirt | Long Sleeve Button Front</t>
  </si>
  <si>
    <t xml:space="preserve">womens-shorts-cargo-drawstring-elastic-waist</t>
  </si>
  <si>
    <t xml:space="preserve">Women's Shorts | Cargo Drawstring Elastic Waist</t>
  </si>
  <si>
    <t xml:space="preserve">womens-shorts-denim-rolled-hem-distressed</t>
  </si>
  <si>
    <t xml:space="preserve">Women's Shorts | Denim Rolled Hem Distressed</t>
  </si>
  <si>
    <t xml:space="preserve">womens-sundress-midi-corset-spaghetti-strap</t>
  </si>
  <si>
    <t xml:space="preserve">Women's Sundress | Midi Corset Spaghetti Strap</t>
  </si>
  <si>
    <t xml:space="preserve">womens-sundress-midi-print-ruffle-sleeve</t>
  </si>
  <si>
    <t xml:space="preserve">Women's Sundress | Midi Print Ruffle Sleeve</t>
  </si>
  <si>
    <t xml:space="preserve">womens-swimsuit-ruched-wrap-v-neck-one-piece</t>
  </si>
  <si>
    <t xml:space="preserve">Women's Swimsuit | Ruched Wrap V-Neck One-Piece</t>
  </si>
  <si>
    <t xml:space="preserve">womens-swimsuit-square-neck-shirred-tummy-control</t>
  </si>
  <si>
    <t xml:space="preserve">Women's Swimsuit | Square Neck Shirred Tummy Control</t>
  </si>
  <si>
    <t xml:space="preserve">womens-swimsuit-tankini-floral-print-adjustable-straps</t>
  </si>
  <si>
    <t xml:space="preserve">Women's Swimsuit | Tankini Floral Print Adjustable Straps</t>
  </si>
  <si>
    <t xml:space="preserve">womens-swimsuit-tankini-lace-overlay-adjustable-straps</t>
  </si>
  <si>
    <t xml:space="preserve">Women's Swimsuit | Tankini Lace Overlay Adjustable Straps</t>
  </si>
  <si>
    <t xml:space="preserve">womens-swimsuit-tankini-v-neck-crisscross-strap-printed-shorts</t>
  </si>
  <si>
    <t xml:space="preserve">Women's Swimsuit | Tankini V-Neck Crisscross Strap Printed Shorts</t>
  </si>
  <si>
    <t xml:space="preserve">womens-tank-top-lace-v-neck-spaghetti-strap</t>
  </si>
  <si>
    <t xml:space="preserve">Women's Tank Top | Lace V-Neck Spaghetti Strap</t>
  </si>
  <si>
    <t xml:space="preserve">womens-tank-top-ribbed-texture-built-in-bra-racerback</t>
  </si>
  <si>
    <t xml:space="preserve">Women's Tank Top | Ribbed Texture Built-in Bra Racerback</t>
  </si>
  <si>
    <t xml:space="preserve">womens-tank-top-sleeveless-collar-sleeveless</t>
  </si>
  <si>
    <t xml:space="preserve">Women's Tank Top | Sleeveless Collar Sleeveless</t>
  </si>
  <si>
    <t xml:space="preserve">womens-tank-top-v-neck-button-front-sleeveless-tunic</t>
  </si>
  <si>
    <t xml:space="preserve">Women's Tank Top | V-Neck Button Front Sleeveless Tunic</t>
  </si>
  <si>
    <t xml:space="preserve">womens-tank-top-v-neck-sleeveless-loose-fit</t>
  </si>
  <si>
    <t xml:space="preserve">Women's Tank Top | V-Neck Sleeveless Loose Fit</t>
  </si>
  <si>
    <t xml:space="preserve">womens-wedding-guest-dress-maxi-cream-sleeveless-cowl-neck</t>
  </si>
  <si>
    <t xml:space="preserve">Women's Wedding Guest Dress | Maxi Cream Sleeveless Cowl Neck</t>
  </si>
  <si>
    <t xml:space="preserve">womens-wedding-guest-dress-maxi-floral-v-neck</t>
  </si>
  <si>
    <t xml:space="preserve">Women's Wedding Guest Dress | Maxi Floral V-Neck</t>
  </si>
  <si>
    <t xml:space="preserve">womens-wedding-guest-dress-maxi-strapless-high-slit</t>
  </si>
  <si>
    <t xml:space="preserve">Women's Wedding Guest Dress | Maxi Strapless High Slit</t>
  </si>
  <si>
    <t xml:space="preserve">womens-wedding-guest-dress-mini-floral-ruffle-sleeve-v-neck</t>
  </si>
  <si>
    <t xml:space="preserve">Women's Wedding Guest Dress | Mini Floral Ruffle Sleeve V-Neck</t>
  </si>
  <si>
    <t xml:space="preserve">fall-boots-for-women-ankle-block-heel-sock</t>
  </si>
  <si>
    <t xml:space="preserve">Fall Boots For Women | Ankle Block Heel Sock</t>
  </si>
  <si>
    <t xml:space="preserve">sandals-for-women-orthopedic-wedge-open-toe</t>
  </si>
  <si>
    <t xml:space="preserve">Sandals For Women | Orthopedic Wedge Open Toe</t>
  </si>
  <si>
    <t xml:space="preserve">shoes-for-men-athletic-water-aqua-socks</t>
  </si>
  <si>
    <t xml:space="preserve">Shoes For Men | Athletic Water Aqua Socks</t>
  </si>
  <si>
    <t xml:space="preserve">womens-cocktail-dress-midi-layered-asymmetrical-short-sleeve</t>
  </si>
  <si>
    <t xml:space="preserve">Women's Cocktail Dress | Midi Layered Asymmetrical Short Sleeve</t>
  </si>
  <si>
    <t xml:space="preserve">womens-crewneck-sweater-fair-isle-pattern-long-sleeve-knit</t>
  </si>
  <si>
    <t xml:space="preserve">Women's Crewneck Sweater | Fair Isle Pattern Long Sleeve Knit</t>
  </si>
  <si>
    <t xml:space="preserve">womens-crewneck-sweater-striped-long-sleeve</t>
  </si>
  <si>
    <t xml:space="preserve">Women's Crewneck Sweater | Striped Long Sleeve</t>
  </si>
  <si>
    <t xml:space="preserve">womens-jeans-slim-fit-sculpting-denim</t>
  </si>
  <si>
    <t xml:space="preserve">Women's Jeans | Slim Fit Sculpting Denim</t>
  </si>
  <si>
    <t xml:space="preserve">womens-skirt-midi-spaghetti-strap-fit-and-flare</t>
  </si>
  <si>
    <t xml:space="preserve">Women's Skirt | Midi Spaghetti Strap Fit and Flare</t>
  </si>
  <si>
    <t xml:space="preserve">sandals-for-women-ankle-strap-platform-wedge-open-toe</t>
  </si>
  <si>
    <t xml:space="preserve">Sandals For Women | Ankle Strap Platform Wedge Open Toe</t>
  </si>
  <si>
    <t xml:space="preserve">womens-fall-wedding-guest-dress-maxi-floral-v-neck-tie-waist</t>
  </si>
  <si>
    <t xml:space="preserve">Women's Fall Wedding Guest Dress | Maxi Floral V-Neck Tie Waist</t>
  </si>
  <si>
    <t xml:space="preserve">womens-fall-wedding-guest-dress-maxi-one-shoulder-straight</t>
  </si>
  <si>
    <t xml:space="preserve">Women's Fall Wedding Guest Dress | Maxi One Shoulder Straight</t>
  </si>
  <si>
    <t xml:space="preserve">womens-jeans-high-waist-flared-floral-print</t>
  </si>
  <si>
    <t xml:space="preserve">Women's Jeans | High Waist Flared Floral Print</t>
  </si>
  <si>
    <t xml:space="preserve">womens-pants-striped-wide-leg-jogger</t>
  </si>
  <si>
    <t xml:space="preserve">Women's Pants | Striped Wide-Leg Jogger</t>
  </si>
  <si>
    <t xml:space="preserve">womens-shirt-dress-midi-belted-button-front</t>
  </si>
  <si>
    <t xml:space="preserve">Women's Shirt Dress | Midi Belted Button Front</t>
  </si>
  <si>
    <t xml:space="preserve">womens-shorts-high-waisted-faux-leather-pleated</t>
  </si>
  <si>
    <t xml:space="preserve">Women's Shorts | High Waisted Faux Leather Pleated</t>
  </si>
  <si>
    <t xml:space="preserve">womens-skirt-mini-tiered-ruffle-print</t>
  </si>
  <si>
    <t xml:space="preserve">Women's Skirt | Mini Tiered Ruffle Print</t>
  </si>
  <si>
    <t xml:space="preserve">womens-sweater-dress-midi-mock-neck-long-sleeve-side-slit-belted</t>
  </si>
  <si>
    <t xml:space="preserve">Women's Sweater Dress | Midi Mock Neck Long Sleeve Side Slit Belted</t>
  </si>
  <si>
    <t xml:space="preserve">womens-sweatshirt-zip-front-hooded-plush-fleece</t>
  </si>
  <si>
    <t xml:space="preserve">Women's Sweatshirt | Zip-Front Hooded Plush Fleece</t>
  </si>
  <si>
    <t xml:space="preserve">sandals-for-women-orthopedic-adjustable-strap-flat</t>
  </si>
  <si>
    <t xml:space="preserve">Sandals For Women | Orthopedic Adjustable Strap Flat</t>
  </si>
  <si>
    <t xml:space="preserve">shoes-for-women-orthopedic-slip-on-flat</t>
  </si>
  <si>
    <t xml:space="preserve">Shoes For Women | Orthopedic Slip On Flat</t>
  </si>
  <si>
    <t xml:space="preserve">winter-boots-for-women-insulated-quilted-water-resistant</t>
  </si>
  <si>
    <t xml:space="preserve">Winter Boots For Women | Insulated Quilted Water-Resistant</t>
  </si>
  <si>
    <t xml:space="preserve">womens-cocktail-dress-midi-ruffle-v-neck-ruched</t>
  </si>
  <si>
    <t xml:space="preserve">Women's Cocktail Dress | Midi Ruffle V-Neck Ruched</t>
  </si>
  <si>
    <t xml:space="preserve">womens-crewneck-sweatshirt-varsity-graphic-oversized</t>
  </si>
  <si>
    <t xml:space="preserve">Women's Crewneck Sweatshirt | Varsity Graphic Oversized</t>
  </si>
  <si>
    <t xml:space="preserve">womens-denim-dress-maxi-v-neck-button-front-ruched-short-sleeve</t>
  </si>
  <si>
    <t xml:space="preserve">Women's Denim Dress | Maxi V-Neck Button Front Ruched Short Sleeve</t>
  </si>
  <si>
    <t xml:space="preserve">womens-hoodie-oversized-graphic-print</t>
  </si>
  <si>
    <t xml:space="preserve">Women's Hoodie | Oversized Graphic Print</t>
  </si>
  <si>
    <t xml:space="preserve">womens-jeans-wide-leg-flared-denim</t>
  </si>
  <si>
    <t xml:space="preserve">Women's Jeans | Wide Leg Flared Denim</t>
  </si>
  <si>
    <t xml:space="preserve">womens-shorts-set-high-waisted-v-neck-bikini-wrap-front</t>
  </si>
  <si>
    <t xml:space="preserve">Women's Shorts Set | High-Waisted V-Neck Bikini Wrap Front</t>
  </si>
  <si>
    <t xml:space="preserve">womens-shorts-tie-belt-high-waist-paperbag</t>
  </si>
  <si>
    <t xml:space="preserve">Women's Shorts | Tie Belt High Waist Paperbag</t>
  </si>
  <si>
    <t xml:space="preserve">mens-shorts-corduroy-elastic-waist-drawstring</t>
  </si>
  <si>
    <t xml:space="preserve">Men's Shorts | Corduroy Elastic Waist Drawstring</t>
  </si>
  <si>
    <t xml:space="preserve">mens-shorts-fit-drawstring-corduroy</t>
  </si>
  <si>
    <t xml:space="preserve">Men's Shorts | Fit Drawstring Corduroy</t>
  </si>
  <si>
    <t xml:space="preserve">sandals-for-women-asymmetrical-strap-flat-open-toe</t>
  </si>
  <si>
    <t xml:space="preserve">Sandals For Women | Asymmetrical Strap Flat Open Toe</t>
  </si>
  <si>
    <t xml:space="preserve">sandals-for-women-orthopedic-retro-fisherman-strap-closure</t>
  </si>
  <si>
    <t xml:space="preserve">Sandals For Women | Orthopedic Retro Fisherman Strap Closure</t>
  </si>
  <si>
    <t xml:space="preserve">shoes-for-men-lace-up-patent-leather-derby</t>
  </si>
  <si>
    <t xml:space="preserve">Shoes For Men | Lace-Up Patent Leather Derby</t>
  </si>
  <si>
    <t xml:space="preserve">womens-cocktail-dress-midi-bow-detail-sleeveless-side-slit</t>
  </si>
  <si>
    <t xml:space="preserve">Women's Cocktail Dress | Midi Bow Detail Sleeveless Side Slit</t>
  </si>
  <si>
    <t xml:space="preserve">womens-maxi-skirt-denim-button-front-a-line</t>
  </si>
  <si>
    <t xml:space="preserve">Women's Maxi Skirt | Denim Button Front A-Line</t>
  </si>
  <si>
    <t xml:space="preserve">womens-plus-size-dress-maxi-v-neck-pockets-bishop-sleeve</t>
  </si>
  <si>
    <t xml:space="preserve">Women's Plus Size Dress | Maxi V-Neck Pockets Bishop Sleeve</t>
  </si>
  <si>
    <t xml:space="preserve">womens-shorts-paperbag-waist-tie-front-linen-blend</t>
  </si>
  <si>
    <t xml:space="preserve">Women's Shorts | Paperbag Waist Tie Front Linen Blend</t>
  </si>
  <si>
    <t xml:space="preserve">mary-jane-shoes-for-women-pointed-toe-ballet-flats-cross-strap</t>
  </si>
  <si>
    <t xml:space="preserve">Mary Jane Shoes For Women | Pointed Toe Ballet Flats Cross Strap</t>
  </si>
  <si>
    <t xml:space="preserve">mary-jane-shoes-for-women-wedge-buckle-strap</t>
  </si>
  <si>
    <t xml:space="preserve">Mary Jane Shoes For Women | Wedge Buckle Strap</t>
  </si>
  <si>
    <t xml:space="preserve">mens-sweater-patchwork-knit-round-neck</t>
  </si>
  <si>
    <t xml:space="preserve">Men's Sweater | Patchwork Knit Round Neck</t>
  </si>
  <si>
    <t xml:space="preserve">platform-sandals-for-women-open-toe-crisscross-strap-orthopedic</t>
  </si>
  <si>
    <t xml:space="preserve">Platform Sandals For Women | Open Toe Crisscross Strap Orthopedic</t>
  </si>
  <si>
    <t xml:space="preserve">platform-sandals-for-women-wedge-ankle-strap-studded-open-toe</t>
  </si>
  <si>
    <t xml:space="preserve">Platform Sandals For Women | Wedge Ankle Strap Studded Open Toe</t>
  </si>
  <si>
    <t xml:space="preserve">running-shoes-for-women-orthopedic-mesh-lace-up-sneakers</t>
  </si>
  <si>
    <t xml:space="preserve">Running Shoes For Women | Orthopedic Mesh Lace Up Sneakers</t>
  </si>
  <si>
    <t xml:space="preserve">sandals-for-women-block-heel-open-toe-knit</t>
  </si>
  <si>
    <t xml:space="preserve">Sandals For Women | Block Heel Open Toe Knit</t>
  </si>
  <si>
    <t xml:space="preserve">sandals-for-women-block-heel-slingback-croc-embossed</t>
  </si>
  <si>
    <t xml:space="preserve">Sandals For Women | Block Heel Slingback Croc-Embossed</t>
  </si>
  <si>
    <t xml:space="preserve">sandals-for-women-buckle-slide-cork-footbed</t>
  </si>
  <si>
    <t xml:space="preserve">Sandals For Women | Buckle Slide Cork Footbed</t>
  </si>
  <si>
    <t xml:space="preserve">sandals-for-women-open-toe-slingback-wedge</t>
  </si>
  <si>
    <t xml:space="preserve">Sandals For Women | Open Toe Slingback Wedge</t>
  </si>
  <si>
    <t xml:space="preserve">sandals-for-women-orthopedic-embellished-slingback-flat</t>
  </si>
  <si>
    <t xml:space="preserve">Sandals For Women | Orthopedic Embellished Slingback Flat</t>
  </si>
  <si>
    <t xml:space="preserve">sandals-for-women-woven-slingback-pointed-toe-flat</t>
  </si>
  <si>
    <t xml:space="preserve">Sandals For Women | Woven Slingback Pointed Toe Flat</t>
  </si>
  <si>
    <t xml:space="preserve">shoes-for-women-comfort-slip-on-mocassin-flat</t>
  </si>
  <si>
    <t xml:space="preserve">Shoes For Women | Comfort Slip On Mocassin Flat</t>
  </si>
  <si>
    <t xml:space="preserve">shoes-for-women-mary-jane-wedge-ankle-strap</t>
  </si>
  <si>
    <t xml:space="preserve">Shoes For Women | Mary Jane Wedge Ankle Strap</t>
  </si>
  <si>
    <t xml:space="preserve">shoes-for-women-mesh-breathable-lace-up</t>
  </si>
  <si>
    <t xml:space="preserve">Shoes For Women | Mesh Breathable Lace Up</t>
  </si>
  <si>
    <t xml:space="preserve">shoes-for-women-orthopedic-arch-support-sneakers</t>
  </si>
  <si>
    <t xml:space="preserve">Shoes For Women | Orthopedic Arch Support Sneakers</t>
  </si>
  <si>
    <t xml:space="preserve">shoes-for-women-slip-on-orthopedic-knit-lightweight-breathable</t>
  </si>
  <si>
    <t xml:space="preserve">Shoes For Women | Slip On Orthopedic Knit Lightweight Breathable</t>
  </si>
  <si>
    <t xml:space="preserve">shoes-for-women-slip-on-orthopedic-knit-sneakers</t>
  </si>
  <si>
    <t xml:space="preserve">Shoes For Women | Slip-On Orthopedic Knit Sneakers</t>
  </si>
  <si>
    <t xml:space="preserve">womens-baggy-jeans-graffiti-print-wide-leg</t>
  </si>
  <si>
    <t xml:space="preserve">Women's Baggy Jeans | Graffiti Print Wide Leg</t>
  </si>
  <si>
    <t xml:space="preserve">womens-bathing-suit-ruched-bust-tankini-swimsuit</t>
  </si>
  <si>
    <t xml:space="preserve">Women's Bathing Suit | Ruched Bust Tankini Swimsuit</t>
  </si>
  <si>
    <t xml:space="preserve">womens-bikini-halter-top-high-waist-wrap-set</t>
  </si>
  <si>
    <t xml:space="preserve">Women's Bikini | Halter Top High Waist Wrap Set</t>
  </si>
  <si>
    <t xml:space="preserve">womens-black-dress-midi-lace-sleeve-wrap</t>
  </si>
  <si>
    <t xml:space="preserve">Women's Black Dress | Midi Lace Sleeve Wrap</t>
  </si>
  <si>
    <t xml:space="preserve">womens-black-dress-mini-strapless-bodycon-leather</t>
  </si>
  <si>
    <t xml:space="preserve">Women's Black Dress | Mini Strapless Bodycon Leather</t>
  </si>
  <si>
    <t xml:space="preserve">womens-blouse-floral-eyelet-short-sleeve-button-front</t>
  </si>
  <si>
    <t xml:space="preserve">Women's Blouse | Floral Eyelet Short Sleeve Button Front</t>
  </si>
  <si>
    <t xml:space="preserve">womens-bomber-jacket-zip-up-long-sleeve-ribbed</t>
  </si>
  <si>
    <t xml:space="preserve">Women's Bomber Jacket | Zip-Up Long Sleeve Ribbed</t>
  </si>
  <si>
    <t xml:space="preserve">womens-cargo-pants-wide-leg-drawstring-side-pocket</t>
  </si>
  <si>
    <t xml:space="preserve">Women's Cargo Pants | Wide Leg Drawstring Side Pocket</t>
  </si>
  <si>
    <t xml:space="preserve">womens-crewneck-blouse-peter-pan-collar-puff-sleeve-embroidered</t>
  </si>
  <si>
    <t xml:space="preserve">Women's Crewneck Blouse | Peter Pan Collar Puff Sleeve Embroidered</t>
  </si>
  <si>
    <t xml:space="preserve">womens-flip-flops-braided-strap-espadrille</t>
  </si>
  <si>
    <t xml:space="preserve">Women's Flip Flops | Braided Strap Espadrille</t>
  </si>
  <si>
    <t xml:space="preserve">womens-flip-flops-floral-applique-toe-post-sandals</t>
  </si>
  <si>
    <t xml:space="preserve">Women's Flip Flops | Floral Appliqué Toe Post Sandals</t>
  </si>
  <si>
    <t xml:space="preserve">womens-grad-dress-midi-asymmetric-sequin-one-shoulder</t>
  </si>
  <si>
    <t xml:space="preserve">Women's Grad Dress | Midi Asymmetric Sequin One Shoulder</t>
  </si>
  <si>
    <t xml:space="preserve">womens-graduation-dress-mini-white-sheath</t>
  </si>
  <si>
    <t xml:space="preserve">Women's Graduation Dress | Mini White Sheath</t>
  </si>
  <si>
    <t xml:space="preserve">womens-halter-top-bikini-set-striped-high-waist</t>
  </si>
  <si>
    <t xml:space="preserve">Women's Halter Top Bikini Set | Striped High Waist</t>
  </si>
  <si>
    <t xml:space="preserve">womens-halter-top-blue-stripe-button-front-tie</t>
  </si>
  <si>
    <t xml:space="preserve">Women's Halter Top | Blue Stripe Button Front Tie</t>
  </si>
  <si>
    <t xml:space="preserve">womens-halter-top-ruffled-tiered-sleeveless</t>
  </si>
  <si>
    <t xml:space="preserve">Women's Halter Top | Ruffled Tiered Sleeveless</t>
  </si>
  <si>
    <t xml:space="preserve">womens-halter-top-sleeveless-wrap-tie-waist</t>
  </si>
  <si>
    <t xml:space="preserve">Women's Halter Top | Sleeveless Wrap Tie Waist</t>
  </si>
  <si>
    <t xml:space="preserve">womens-jumpsuit-wide-leg-strappy-pockets</t>
  </si>
  <si>
    <t xml:space="preserve">Women's Jumpsuit | Wide Leg Strappy Pockets</t>
  </si>
  <si>
    <t xml:space="preserve">womens-leggings-cargo-pocket-high-waist-biker</t>
  </si>
  <si>
    <t xml:space="preserve">Women's Leggings | Cargo Pocket High Waist Biker</t>
  </si>
  <si>
    <t xml:space="preserve">womens-leggings-cargo-pocket-high-waisted</t>
  </si>
  <si>
    <t xml:space="preserve">Women's Leggings | Cargo Pocket High Waisted</t>
  </si>
  <si>
    <t xml:space="preserve">womens-leggings-fleece-lined-thermal-winter</t>
  </si>
  <si>
    <t xml:space="preserve">Women's Leggings | Fleece Lined Thermal Winter</t>
  </si>
  <si>
    <t xml:space="preserve">womens-leggings-high-waist-zipper-shaping</t>
  </si>
  <si>
    <t xml:space="preserve">Women's Leggings | High Waist Zipper Shaping</t>
  </si>
  <si>
    <t xml:space="preserve">womens-leggings-winter-fleece-lined-high-waist</t>
  </si>
  <si>
    <t xml:space="preserve">Women's Leggings | Winter Fleece Lined High Waist</t>
  </si>
  <si>
    <t xml:space="preserve">womens-linen-pants-wide-leg-tie-front-elasticated-waist</t>
  </si>
  <si>
    <t xml:space="preserve">Women's Linen Pants | Wide Leg Tie Front Elasticated Waist</t>
  </si>
  <si>
    <t xml:space="preserve">womens-linen-shirt-dress-midi-short-sleeve-collar-button-front</t>
  </si>
  <si>
    <t xml:space="preserve">Women's Linen Shirt Dress | Midi Short Sleeve Collar Button Front</t>
  </si>
  <si>
    <t xml:space="preserve">womens-long-sleeve-dress-midi-printed-wrap-v-neck</t>
  </si>
  <si>
    <t xml:space="preserve">Women's Long Sleeve Dress | Midi Printed Wrap V-Neck</t>
  </si>
  <si>
    <t xml:space="preserve">womens-maxi-dress-boho-paisley-print-v-neck-short-sleeve</t>
  </si>
  <si>
    <t xml:space="preserve">Women's Maxi Dress | Boho Paisley Print V-Neck Short Sleeve</t>
  </si>
  <si>
    <t xml:space="preserve">womens-maxi-skirt-ruched-bodice-square-neck</t>
  </si>
  <si>
    <t xml:space="preserve">Women's Maxi Skirt | Ruched Bodice Square Neck</t>
  </si>
  <si>
    <t xml:space="preserve">womens-midi-dress-white-v-neck-short-sleeve-wrap-skirt</t>
  </si>
  <si>
    <t xml:space="preserve">Women's Midi Dress | White V-Neck Short Sleeve Wrap Skirt</t>
  </si>
  <si>
    <t xml:space="preserve">womens-mother-of-the-bride-dress-maxi-lace-cap-sleeve-chiffon</t>
  </si>
  <si>
    <t xml:space="preserve">Women's Mother of the Bride Dress | Maxi Lace Cap Sleeve Chiffon</t>
  </si>
  <si>
    <t xml:space="preserve">womens-pants-cropped-straight-leg-side-pockets</t>
  </si>
  <si>
    <t xml:space="preserve">Women's Pants | Cropped Straight Leg Side Pockets</t>
  </si>
  <si>
    <t xml:space="preserve">womens-pink-dress-maxi-pleated-floral-spaghetti-strap</t>
  </si>
  <si>
    <t xml:space="preserve">Women's Pink Dress | Maxi Pleated Floral Spaghetti Strap</t>
  </si>
  <si>
    <t xml:space="preserve">womens-shirt-dress-maxi-button-down-long-sleeve-side-slit</t>
  </si>
  <si>
    <t xml:space="preserve">Women's Shirt Dress | Maxi Button Down Long Sleeve Side Slit</t>
  </si>
  <si>
    <t xml:space="preserve">womens-shirt-dress-midi-button-front-a-line</t>
  </si>
  <si>
    <t xml:space="preserve">Women's Shirt Dress | Midi Button Front A-Line</t>
  </si>
  <si>
    <t xml:space="preserve">womens-shorts-striped-elastic-waistband</t>
  </si>
  <si>
    <t xml:space="preserve">Women's Shorts | Striped Elastic Waistband</t>
  </si>
  <si>
    <t xml:space="preserve">womens-sundress-maxi-floral-lace-trim</t>
  </si>
  <si>
    <t xml:space="preserve">Women's Sundress | Maxi Floral Lace Trim</t>
  </si>
  <si>
    <t xml:space="preserve">womens-sundress-maxi-floral-sleeveless-round-neck</t>
  </si>
  <si>
    <t xml:space="preserve">Women's Sundress | Maxi Floral Sleeveless Round Neck</t>
  </si>
  <si>
    <t xml:space="preserve">womens-sundress-midi-floral-v-neck-short-sleeve-wrap</t>
  </si>
  <si>
    <t xml:space="preserve">Women's Sundress | Midi Floral V-Neck Short Sleeve Wrap</t>
  </si>
  <si>
    <t xml:space="preserve">womens-sundress-midi-v-neck-short-sleeve</t>
  </si>
  <si>
    <t xml:space="preserve">Women's Sundress | Midi V-Neck Short Sleeve</t>
  </si>
  <si>
    <t xml:space="preserve">womens-sundress-mini-ruched-bodycon-sleeveless-tank</t>
  </si>
  <si>
    <t xml:space="preserve">Women's Sundress | Mini Ruched Bodycon Sleeveless Tank</t>
  </si>
  <si>
    <t xml:space="preserve">womens-sundress-short-sleeve-collared-button-front-pocket</t>
  </si>
  <si>
    <t xml:space="preserve">Women's Sundress | Short Sleeve Collared Button Front Pocket</t>
  </si>
  <si>
    <t xml:space="preserve">womens-sweatpants-baggy-elasticated-waist-cuffed-hem</t>
  </si>
  <si>
    <t xml:space="preserve">Women's Sweatpants | Baggy Elasticated Waist Cuffed Hem</t>
  </si>
  <si>
    <t xml:space="preserve">womens-swimsuit-ruched-floral-print-adjustable-strap</t>
  </si>
  <si>
    <t xml:space="preserve">Women's Swimsuit | Ruched Floral Print Adjustable Strap</t>
  </si>
  <si>
    <t xml:space="preserve">womens-swimsuit-ruffle-lace-skirt-tankini</t>
  </si>
  <si>
    <t xml:space="preserve">Women's Swimsuit | Ruffle Lace Skirt Tankini</t>
  </si>
  <si>
    <t xml:space="preserve">womens-swimsuit-ruffled-v-neck-striped-one-piece</t>
  </si>
  <si>
    <t xml:space="preserve">Women's Swimsuit | Ruffled V-Neck Striped One Piece</t>
  </si>
  <si>
    <t xml:space="preserve">womens-swimsuit-scoop-neck-printed-athletic</t>
  </si>
  <si>
    <t xml:space="preserve">Women's Swimsuit | Scoop Neck Printed Athletic</t>
  </si>
  <si>
    <t xml:space="preserve">womens-swimsuit-v-neck-front-knot-tie-dye</t>
  </si>
  <si>
    <t xml:space="preserve">Women's Swimsuit | V-Neck Front Knot Tie Dye</t>
  </si>
  <si>
    <t xml:space="preserve">womens-swimsuit-v-neck-ruched-spaghetti-strap</t>
  </si>
  <si>
    <t xml:space="preserve">Women's Swimsuit | V-Neck Ruched Spaghetti Strap</t>
  </si>
  <si>
    <t xml:space="preserve">womens-swimsuit-wrap-ruched-side-tie</t>
  </si>
  <si>
    <t xml:space="preserve">Women's Swimsuit | Wrap Ruched Side Tie</t>
  </si>
  <si>
    <t xml:space="preserve">womens-tank-top-sleeveless-v-neck-leaf-print-button-front</t>
  </si>
  <si>
    <t xml:space="preserve">Women's Tank Top | Sleeveless V-Neck Leaf Print Button Front</t>
  </si>
  <si>
    <t xml:space="preserve">womens-tank-top-striped-v-neck-button-front</t>
  </si>
  <si>
    <t xml:space="preserve">Women's Tank Top | Striped V-Neck Button Front</t>
  </si>
  <si>
    <t xml:space="preserve">womens-trench-coat-denim-suede-long-sleeve-double-breasted</t>
  </si>
  <si>
    <t xml:space="preserve">Women's Trench Coat | Denim Suede Long Sleeve Double Breasted</t>
  </si>
  <si>
    <t xml:space="preserve">womens-wedding-guest-dress-midi-pleated-v-neck-cap-sleeve</t>
  </si>
  <si>
    <t xml:space="preserve">Women's Wedding Guest Dress | Midi Pleated V-Neck Cap Sleeve</t>
  </si>
  <si>
    <t xml:space="preserve">womens-white-dress-midi-wrap-v-neck-belted</t>
  </si>
  <si>
    <t xml:space="preserve">Women's White Dress | Midi Wrap V-Neck Belted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</si>
</sst>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.00"/>
    <numFmt numFmtId="167" formatCode="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3743"/>
      <name val="Arial"/>
      <family val="0"/>
      <charset val="1"/>
    </font>
    <font>
      <sz val="9"/>
      <color rgb="FF6E6862"/>
      <name val="Arial"/>
      <family val="0"/>
      <charset val="1"/>
    </font>
    <font>
      <sz val="10"/>
      <color rgb="FF2A3743"/>
      <name val="Arial"/>
      <family val="0"/>
      <charset val="1"/>
    </font>
    <font>
      <b val="true"/>
      <sz val="10"/>
      <color rgb="FF2A3743"/>
      <name val="Arial"/>
      <family val="0"/>
      <charset val="1"/>
    </font>
    <font>
      <b val="true"/>
      <sz val="11"/>
      <color rgb="FF2A3743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3743"/>
        <bgColor rgb="FF33330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DF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3743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E0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8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37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879</v>
      </c>
    </row>
    <row r="5" customFormat="false" ht="15" hidden="false" customHeight="false" outlineLevel="0" collapsed="false">
      <c r="A5" s="3" t="s">
        <v>3</v>
      </c>
      <c r="B5" s="4" t="n">
        <f aca="false">COUNTA('Onder 45 dollar'!A2:A227)</f>
        <v>226</v>
      </c>
    </row>
    <row r="6" customFormat="false" ht="15" hidden="false" customHeight="false" outlineLevel="0" collapsed="false">
      <c r="A6" s="3" t="s">
        <v>4</v>
      </c>
      <c r="B6" s="4" t="n">
        <v>7961</v>
      </c>
    </row>
    <row r="7" customFormat="false" ht="15" hidden="false" customHeight="false" outlineLevel="0" collapsed="false">
      <c r="A7" s="3" t="s">
        <v>5</v>
      </c>
      <c r="B7" s="5" t="n">
        <f aca="false">MIN('Onder 45 dollar'!D2:D227)</f>
        <v>27.95</v>
      </c>
    </row>
    <row r="8" customFormat="false" ht="15" hidden="false" customHeight="false" outlineLevel="0" collapsed="false">
      <c r="A8" s="3" t="s">
        <v>6</v>
      </c>
      <c r="B8" s="5" t="n">
        <f aca="false">MAX('Onder 45 dollar'!D2:D227)</f>
        <v>44.95</v>
      </c>
    </row>
    <row r="9" customFormat="false" ht="15" hidden="false" customHeight="false" outlineLevel="0" collapsed="false">
      <c r="A9" s="3" t="s">
        <v>7</v>
      </c>
      <c r="B9" s="5" t="n">
        <f aca="false">AVERAGE('Onder 45 dollar'!D2:D227)</f>
        <v>40.4809734513274</v>
      </c>
    </row>
    <row r="10" customFormat="false" ht="15" hidden="false" customHeight="false" outlineLevel="0" collapsed="false">
      <c r="A10" s="3" t="s">
        <v>8</v>
      </c>
      <c r="B10" s="6" t="n">
        <f aca="false">AVERAGE('Onder 45 dollar'!F2:F227)</f>
        <v>0.500677464078241</v>
      </c>
    </row>
    <row r="12" customFormat="false" ht="15" hidden="false" customHeight="false" outlineLevel="0" collapsed="false">
      <c r="A12" s="7" t="s">
        <v>9</v>
      </c>
    </row>
    <row r="13" customFormat="false" ht="15" hidden="false" customHeight="false" outlineLevel="0" collapsed="false">
      <c r="A13" s="8" t="s">
        <v>10</v>
      </c>
      <c r="B13" s="8" t="s">
        <v>11</v>
      </c>
      <c r="C13" s="8" t="s">
        <v>12</v>
      </c>
    </row>
    <row r="14" customFormat="false" ht="15" hidden="false" customHeight="false" outlineLevel="0" collapsed="false">
      <c r="A14" s="9" t="n">
        <v>27.95</v>
      </c>
      <c r="B14" s="10" t="n">
        <f aca="false">COUNTIF('Onder 45 dollar'!$D$2:$D$227,A14)</f>
        <v>1</v>
      </c>
      <c r="C14" s="10" t="s">
        <v>13</v>
      </c>
    </row>
    <row r="15" customFormat="false" ht="15" hidden="false" customHeight="false" outlineLevel="0" collapsed="false">
      <c r="A15" s="11" t="n">
        <v>28.95</v>
      </c>
      <c r="B15" s="12" t="n">
        <f aca="false">COUNTIF('Onder 45 dollar'!$D$2:$D$227,A15)</f>
        <v>2</v>
      </c>
      <c r="C15" s="12" t="s">
        <v>14</v>
      </c>
    </row>
    <row r="16" customFormat="false" ht="15" hidden="false" customHeight="false" outlineLevel="0" collapsed="false">
      <c r="A16" s="9" t="n">
        <v>29.95</v>
      </c>
      <c r="B16" s="10" t="n">
        <f aca="false">COUNTIF('Onder 45 dollar'!$D$2:$D$227,A16)</f>
        <v>9</v>
      </c>
      <c r="C16" s="10" t="s">
        <v>15</v>
      </c>
    </row>
    <row r="17" customFormat="false" ht="15" hidden="false" customHeight="false" outlineLevel="0" collapsed="false">
      <c r="A17" s="11" t="n">
        <v>31.95</v>
      </c>
      <c r="B17" s="12" t="n">
        <f aca="false">COUNTIF('Onder 45 dollar'!$D$2:$D$227,A17)</f>
        <v>1</v>
      </c>
      <c r="C17" s="12" t="s">
        <v>16</v>
      </c>
    </row>
    <row r="18" customFormat="false" ht="15" hidden="false" customHeight="false" outlineLevel="0" collapsed="false">
      <c r="A18" s="9" t="n">
        <v>32.95</v>
      </c>
      <c r="B18" s="10" t="n">
        <f aca="false">COUNTIF('Onder 45 dollar'!$D$2:$D$227,A18)</f>
        <v>1</v>
      </c>
      <c r="C18" s="10" t="s">
        <v>17</v>
      </c>
    </row>
    <row r="19" customFormat="false" ht="15" hidden="false" customHeight="false" outlineLevel="0" collapsed="false">
      <c r="A19" s="11" t="n">
        <v>33.95</v>
      </c>
      <c r="B19" s="12" t="n">
        <f aca="false">COUNTIF('Onder 45 dollar'!$D$2:$D$227,A19)</f>
        <v>1</v>
      </c>
      <c r="C19" s="12" t="s">
        <v>16</v>
      </c>
    </row>
    <row r="20" customFormat="false" ht="15" hidden="false" customHeight="false" outlineLevel="0" collapsed="false">
      <c r="A20" s="9" t="n">
        <v>34.95</v>
      </c>
      <c r="B20" s="10" t="n">
        <f aca="false">COUNTIF('Onder 45 dollar'!$D$2:$D$227,A20)</f>
        <v>31</v>
      </c>
      <c r="C20" s="10" t="s">
        <v>18</v>
      </c>
    </row>
    <row r="21" customFormat="false" ht="15" hidden="false" customHeight="false" outlineLevel="0" collapsed="false">
      <c r="A21" s="11" t="n">
        <v>35.95</v>
      </c>
      <c r="B21" s="12" t="n">
        <f aca="false">COUNTIF('Onder 45 dollar'!$D$2:$D$227,A21)</f>
        <v>4</v>
      </c>
      <c r="C21" s="12" t="s">
        <v>19</v>
      </c>
    </row>
    <row r="22" customFormat="false" ht="15" hidden="false" customHeight="false" outlineLevel="0" collapsed="false">
      <c r="A22" s="9" t="n">
        <v>36.95</v>
      </c>
      <c r="B22" s="10" t="n">
        <f aca="false">COUNTIF('Onder 45 dollar'!$D$2:$D$227,A22)</f>
        <v>2</v>
      </c>
      <c r="C22" s="10" t="s">
        <v>20</v>
      </c>
    </row>
    <row r="23" customFormat="false" ht="15" hidden="false" customHeight="false" outlineLevel="0" collapsed="false">
      <c r="A23" s="11" t="n">
        <v>37.95</v>
      </c>
      <c r="B23" s="12" t="n">
        <f aca="false">COUNTIF('Onder 45 dollar'!$D$2:$D$227,A23)</f>
        <v>4</v>
      </c>
      <c r="C23" s="12" t="s">
        <v>21</v>
      </c>
    </row>
    <row r="24" customFormat="false" ht="15" hidden="false" customHeight="false" outlineLevel="0" collapsed="false">
      <c r="A24" s="9" t="n">
        <v>38.95</v>
      </c>
      <c r="B24" s="10" t="n">
        <f aca="false">COUNTIF('Onder 45 dollar'!$D$2:$D$227,A24)</f>
        <v>4</v>
      </c>
      <c r="C24" s="10" t="s">
        <v>22</v>
      </c>
    </row>
    <row r="25" customFormat="false" ht="15" hidden="false" customHeight="false" outlineLevel="0" collapsed="false">
      <c r="A25" s="11" t="n">
        <v>39.95</v>
      </c>
      <c r="B25" s="12" t="n">
        <f aca="false">COUNTIF('Onder 45 dollar'!$D$2:$D$227,A25)</f>
        <v>57</v>
      </c>
      <c r="C25" s="12" t="s">
        <v>23</v>
      </c>
    </row>
    <row r="26" customFormat="false" ht="15" hidden="false" customHeight="false" outlineLevel="0" collapsed="false">
      <c r="A26" s="9" t="n">
        <v>40.95</v>
      </c>
      <c r="B26" s="10" t="n">
        <f aca="false">COUNTIF('Onder 45 dollar'!$D$2:$D$227,A26)</f>
        <v>8</v>
      </c>
      <c r="C26" s="10" t="s">
        <v>24</v>
      </c>
    </row>
    <row r="27" customFormat="false" ht="15" hidden="false" customHeight="false" outlineLevel="0" collapsed="false">
      <c r="A27" s="11" t="n">
        <v>41.95</v>
      </c>
      <c r="B27" s="12" t="n">
        <f aca="false">COUNTIF('Onder 45 dollar'!$D$2:$D$227,A27)</f>
        <v>10</v>
      </c>
      <c r="C27" s="12" t="s">
        <v>25</v>
      </c>
    </row>
    <row r="28" customFormat="false" ht="15" hidden="false" customHeight="false" outlineLevel="0" collapsed="false">
      <c r="A28" s="9" t="n">
        <v>42.95</v>
      </c>
      <c r="B28" s="10" t="n">
        <f aca="false">COUNTIF('Onder 45 dollar'!$D$2:$D$227,A28)</f>
        <v>10</v>
      </c>
      <c r="C28" s="10" t="s">
        <v>26</v>
      </c>
    </row>
    <row r="29" customFormat="false" ht="15" hidden="false" customHeight="false" outlineLevel="0" collapsed="false">
      <c r="A29" s="11" t="n">
        <v>43.95</v>
      </c>
      <c r="B29" s="12" t="n">
        <f aca="false">COUNTIF('Onder 45 dollar'!$D$2:$D$227,A29)</f>
        <v>9</v>
      </c>
      <c r="C29" s="12" t="s">
        <v>27</v>
      </c>
    </row>
    <row r="30" customFormat="false" ht="15" hidden="false" customHeight="false" outlineLevel="0" collapsed="false">
      <c r="A30" s="9" t="n">
        <v>44.95</v>
      </c>
      <c r="B30" s="10" t="n">
        <f aca="false">COUNTIF('Onder 45 dollar'!$D$2:$D$227,A30)</f>
        <v>72</v>
      </c>
      <c r="C30" s="10" t="s">
        <v>28</v>
      </c>
    </row>
    <row r="31" customFormat="false" ht="15" hidden="false" customHeight="false" outlineLevel="0" collapsed="false">
      <c r="A31" s="13" t="s">
        <v>29</v>
      </c>
      <c r="B31" s="4" t="n">
        <f aca="false">SUM(B14:B30)</f>
        <v>226</v>
      </c>
    </row>
    <row r="33" customFormat="false" ht="15" hidden="false" customHeight="false" outlineLevel="0" collapsed="false">
      <c r="A33" s="7" t="s">
        <v>30</v>
      </c>
    </row>
    <row r="34" customFormat="false" ht="15" hidden="false" customHeight="false" outlineLevel="0" collapsed="false">
      <c r="A34" s="8" t="s">
        <v>31</v>
      </c>
      <c r="B34" s="8" t="s">
        <v>11</v>
      </c>
      <c r="C34" s="8" t="s">
        <v>5</v>
      </c>
    </row>
    <row r="35" customFormat="false" ht="15" hidden="false" customHeight="false" outlineLevel="0" collapsed="false">
      <c r="A35" s="12" t="s">
        <v>32</v>
      </c>
      <c r="B35" s="12" t="n">
        <f aca="false">COUNTIF('Onder 45 dollar'!$C$2:$C$227,A35)</f>
        <v>29</v>
      </c>
      <c r="C35" s="11" t="n">
        <f aca="false">_xlfn.MINIFS('Onder 45 dollar'!$D$2:$D$227,'Onder 45 dollar'!$C$2:$C$227,A35)</f>
        <v>34.95</v>
      </c>
    </row>
    <row r="36" customFormat="false" ht="15" hidden="false" customHeight="false" outlineLevel="0" collapsed="false">
      <c r="A36" s="10" t="s">
        <v>33</v>
      </c>
      <c r="B36" s="10" t="n">
        <f aca="false">COUNTIF('Onder 45 dollar'!$C$2:$C$227,A36)</f>
        <v>27</v>
      </c>
      <c r="C36" s="9" t="n">
        <f aca="false">_xlfn.MINIFS('Onder 45 dollar'!$D$2:$D$227,'Onder 45 dollar'!$C$2:$C$227,A36)</f>
        <v>29.95</v>
      </c>
    </row>
    <row r="37" customFormat="false" ht="15" hidden="false" customHeight="false" outlineLevel="0" collapsed="false">
      <c r="A37" s="12" t="s">
        <v>34</v>
      </c>
      <c r="B37" s="12" t="n">
        <f aca="false">COUNTIF('Onder 45 dollar'!$C$2:$C$227,A37)</f>
        <v>24</v>
      </c>
      <c r="C37" s="11" t="n">
        <f aca="false">_xlfn.MINIFS('Onder 45 dollar'!$D$2:$D$227,'Onder 45 dollar'!$C$2:$C$227,A37)</f>
        <v>28.95</v>
      </c>
    </row>
    <row r="38" customFormat="false" ht="15" hidden="false" customHeight="false" outlineLevel="0" collapsed="false">
      <c r="A38" s="10" t="s">
        <v>35</v>
      </c>
      <c r="B38" s="10" t="n">
        <f aca="false">COUNTIF('Onder 45 dollar'!$C$2:$C$227,A38)</f>
        <v>23</v>
      </c>
      <c r="C38" s="9" t="n">
        <f aca="false">_xlfn.MINIFS('Onder 45 dollar'!$D$2:$D$227,'Onder 45 dollar'!$C$2:$C$227,A38)</f>
        <v>27.95</v>
      </c>
    </row>
    <row r="39" customFormat="false" ht="15" hidden="false" customHeight="false" outlineLevel="0" collapsed="false">
      <c r="A39" s="12" t="s">
        <v>36</v>
      </c>
      <c r="B39" s="12" t="n">
        <f aca="false">COUNTIF('Onder 45 dollar'!$C$2:$C$227,A39)</f>
        <v>18</v>
      </c>
      <c r="C39" s="11" t="n">
        <f aca="false">_xlfn.MINIFS('Onder 45 dollar'!$D$2:$D$227,'Onder 45 dollar'!$C$2:$C$227,A39)</f>
        <v>32.95</v>
      </c>
    </row>
    <row r="40" customFormat="false" ht="15" hidden="false" customHeight="false" outlineLevel="0" collapsed="false">
      <c r="A40" s="10" t="s">
        <v>37</v>
      </c>
      <c r="B40" s="10" t="n">
        <f aca="false">COUNTIF('Onder 45 dollar'!$C$2:$C$227,A40)</f>
        <v>13</v>
      </c>
      <c r="C40" s="9" t="n">
        <f aca="false">_xlfn.MINIFS('Onder 45 dollar'!$D$2:$D$227,'Onder 45 dollar'!$C$2:$C$227,A40)</f>
        <v>35.95</v>
      </c>
    </row>
    <row r="41" customFormat="false" ht="15" hidden="false" customHeight="false" outlineLevel="0" collapsed="false">
      <c r="A41" s="12" t="s">
        <v>38</v>
      </c>
      <c r="B41" s="12" t="n">
        <f aca="false">COUNTIF('Onder 45 dollar'!$C$2:$C$227,A41)</f>
        <v>12</v>
      </c>
      <c r="C41" s="11" t="n">
        <f aca="false">_xlfn.MINIFS('Onder 45 dollar'!$D$2:$D$227,'Onder 45 dollar'!$C$2:$C$227,A41)</f>
        <v>29.95</v>
      </c>
    </row>
    <row r="42" customFormat="false" ht="15" hidden="false" customHeight="false" outlineLevel="0" collapsed="false">
      <c r="A42" s="10" t="s">
        <v>39</v>
      </c>
      <c r="B42" s="10" t="n">
        <f aca="false">COUNTIF('Onder 45 dollar'!$C$2:$C$227,A42)</f>
        <v>12</v>
      </c>
      <c r="C42" s="9" t="n">
        <f aca="false">_xlfn.MINIFS('Onder 45 dollar'!$D$2:$D$227,'Onder 45 dollar'!$C$2:$C$227,A42)</f>
        <v>29.95</v>
      </c>
    </row>
    <row r="43" customFormat="false" ht="15" hidden="false" customHeight="false" outlineLevel="0" collapsed="false">
      <c r="A43" s="12" t="s">
        <v>40</v>
      </c>
      <c r="B43" s="12" t="n">
        <f aca="false">COUNTIF('Onder 45 dollar'!$C$2:$C$227,A43)</f>
        <v>11</v>
      </c>
      <c r="C43" s="11" t="n">
        <f aca="false">_xlfn.MINIFS('Onder 45 dollar'!$D$2:$D$227,'Onder 45 dollar'!$C$2:$C$227,A43)</f>
        <v>29.95</v>
      </c>
    </row>
    <row r="44" customFormat="false" ht="15" hidden="false" customHeight="false" outlineLevel="0" collapsed="false">
      <c r="A44" s="10" t="s">
        <v>41</v>
      </c>
      <c r="B44" s="10" t="n">
        <f aca="false">COUNTIF('Onder 45 dollar'!$C$2:$C$227,A44)</f>
        <v>10</v>
      </c>
      <c r="C44" s="9" t="n">
        <f aca="false">_xlfn.MINIFS('Onder 45 dollar'!$D$2:$D$227,'Onder 45 dollar'!$C$2:$C$227,A44)</f>
        <v>34.95</v>
      </c>
    </row>
    <row r="45" customFormat="false" ht="15" hidden="false" customHeight="false" outlineLevel="0" collapsed="false">
      <c r="A45" s="12" t="s">
        <v>42</v>
      </c>
      <c r="B45" s="12" t="n">
        <f aca="false">COUNTIF('Onder 45 dollar'!$C$2:$C$227,A45)</f>
        <v>8</v>
      </c>
      <c r="C45" s="11" t="n">
        <f aca="false">_xlfn.MINIFS('Onder 45 dollar'!$D$2:$D$227,'Onder 45 dollar'!$C$2:$C$227,A45)</f>
        <v>28.95</v>
      </c>
    </row>
    <row r="46" customFormat="false" ht="15" hidden="false" customHeight="false" outlineLevel="0" collapsed="false">
      <c r="A46" s="10" t="s">
        <v>43</v>
      </c>
      <c r="B46" s="10" t="n">
        <f aca="false">COUNTIF('Onder 45 dollar'!$C$2:$C$227,A46)</f>
        <v>8</v>
      </c>
      <c r="C46" s="9" t="n">
        <f aca="false">_xlfn.MINIFS('Onder 45 dollar'!$D$2:$D$227,'Onder 45 dollar'!$C$2:$C$227,A46)</f>
        <v>29.95</v>
      </c>
    </row>
    <row r="47" customFormat="false" ht="15" hidden="false" customHeight="false" outlineLevel="0" collapsed="false">
      <c r="A47" s="12" t="s">
        <v>44</v>
      </c>
      <c r="B47" s="12" t="n">
        <f aca="false">COUNTIF('Onder 45 dollar'!$C$2:$C$227,A47)</f>
        <v>8</v>
      </c>
      <c r="C47" s="11" t="n">
        <f aca="false">_xlfn.MINIFS('Onder 45 dollar'!$D$2:$D$227,'Onder 45 dollar'!$C$2:$C$227,A47)</f>
        <v>36.95</v>
      </c>
    </row>
    <row r="48" customFormat="false" ht="15" hidden="false" customHeight="false" outlineLevel="0" collapsed="false">
      <c r="A48" s="10" t="s">
        <v>45</v>
      </c>
      <c r="B48" s="10" t="n">
        <f aca="false">COUNTIF('Onder 45 dollar'!$C$2:$C$227,A48)</f>
        <v>5</v>
      </c>
      <c r="C48" s="9" t="n">
        <f aca="false">_xlfn.MINIFS('Onder 45 dollar'!$D$2:$D$227,'Onder 45 dollar'!$C$2:$C$227,A48)</f>
        <v>34.95</v>
      </c>
    </row>
    <row r="49" customFormat="false" ht="15" hidden="false" customHeight="false" outlineLevel="0" collapsed="false">
      <c r="A49" s="12" t="s">
        <v>46</v>
      </c>
      <c r="B49" s="12" t="n">
        <f aca="false">COUNTIF('Onder 45 dollar'!$C$2:$C$227,A49)</f>
        <v>5</v>
      </c>
      <c r="C49" s="11" t="n">
        <f aca="false">_xlfn.MINIFS('Onder 45 dollar'!$D$2:$D$227,'Onder 45 dollar'!$C$2:$C$227,A49)</f>
        <v>34.95</v>
      </c>
    </row>
    <row r="50" customFormat="false" ht="15" hidden="false" customHeight="false" outlineLevel="0" collapsed="false">
      <c r="A50" s="10" t="s">
        <v>47</v>
      </c>
      <c r="B50" s="10" t="n">
        <f aca="false">COUNTIF('Onder 45 dollar'!$C$2:$C$227,A50)</f>
        <v>4</v>
      </c>
      <c r="C50" s="9" t="n">
        <f aca="false">_xlfn.MINIFS('Onder 45 dollar'!$D$2:$D$227,'Onder 45 dollar'!$C$2:$C$227,A50)</f>
        <v>35.95</v>
      </c>
    </row>
    <row r="51" customFormat="false" ht="15" hidden="false" customHeight="false" outlineLevel="0" collapsed="false">
      <c r="A51" s="12" t="s">
        <v>48</v>
      </c>
      <c r="B51" s="12" t="n">
        <f aca="false">COUNTIF('Onder 45 dollar'!$C$2:$C$227,A51)</f>
        <v>3</v>
      </c>
      <c r="C51" s="11" t="n">
        <f aca="false">_xlfn.MINIFS('Onder 45 dollar'!$D$2:$D$227,'Onder 45 dollar'!$C$2:$C$227,A51)</f>
        <v>34.95</v>
      </c>
    </row>
    <row r="52" customFormat="false" ht="15" hidden="false" customHeight="false" outlineLevel="0" collapsed="false">
      <c r="A52" s="10" t="s">
        <v>49</v>
      </c>
      <c r="B52" s="10" t="n">
        <f aca="false">COUNTIF('Onder 45 dollar'!$C$2:$C$227,A52)</f>
        <v>3</v>
      </c>
      <c r="C52" s="9" t="n">
        <f aca="false">_xlfn.MINIFS('Onder 45 dollar'!$D$2:$D$227,'Onder 45 dollar'!$C$2:$C$227,A52)</f>
        <v>34.95</v>
      </c>
    </row>
    <row r="53" customFormat="false" ht="15" hidden="false" customHeight="false" outlineLevel="0" collapsed="false">
      <c r="A53" s="12" t="s">
        <v>50</v>
      </c>
      <c r="B53" s="12" t="n">
        <f aca="false">COUNTIF('Onder 45 dollar'!$C$2:$C$227,A53)</f>
        <v>2</v>
      </c>
      <c r="C53" s="11" t="n">
        <f aca="false">_xlfn.MINIFS('Onder 45 dollar'!$D$2:$D$227,'Onder 45 dollar'!$C$2:$C$227,A53)</f>
        <v>43.95</v>
      </c>
    </row>
    <row r="54" customFormat="false" ht="15" hidden="false" customHeight="false" outlineLevel="0" collapsed="false">
      <c r="A54" s="10" t="s">
        <v>51</v>
      </c>
      <c r="B54" s="10" t="n">
        <f aca="false">COUNTIF('Onder 45 dollar'!$C$2:$C$227,A54)</f>
        <v>1</v>
      </c>
      <c r="C54" s="9" t="n">
        <f aca="false">_xlfn.MINIFS('Onder 45 dollar'!$D$2:$D$227,'Onder 45 dollar'!$C$2:$C$227,A54)</f>
        <v>44.95</v>
      </c>
    </row>
    <row r="56" customFormat="false" ht="15" hidden="false" customHeight="false" outlineLevel="0" collapsed="false">
      <c r="A56" s="2" t="s">
        <v>52</v>
      </c>
    </row>
    <row r="57" customFormat="false" ht="15" hidden="false" customHeight="false" outlineLevel="0" collapsed="false">
      <c r="A57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22"/>
  </cols>
  <sheetData>
    <row r="1" customFormat="false" ht="21.75" hidden="false" customHeight="true" outlineLevel="0" collapsed="false">
      <c r="A1" s="14" t="s">
        <v>54</v>
      </c>
      <c r="B1" s="14" t="s">
        <v>55</v>
      </c>
      <c r="C1" s="14" t="s">
        <v>31</v>
      </c>
      <c r="D1" s="14" t="s">
        <v>10</v>
      </c>
      <c r="E1" s="14" t="s">
        <v>56</v>
      </c>
      <c r="F1" s="14" t="s">
        <v>57</v>
      </c>
      <c r="G1" s="14" t="s">
        <v>58</v>
      </c>
      <c r="H1" s="14" t="s">
        <v>59</v>
      </c>
    </row>
    <row r="2" customFormat="false" ht="15" hidden="false" customHeight="false" outlineLevel="0" collapsed="false">
      <c r="A2" s="10" t="s">
        <v>60</v>
      </c>
      <c r="B2" s="10" t="s">
        <v>61</v>
      </c>
      <c r="C2" s="10" t="s">
        <v>35</v>
      </c>
      <c r="D2" s="9" t="n">
        <v>27.95</v>
      </c>
      <c r="E2" s="9" t="n">
        <v>56</v>
      </c>
      <c r="F2" s="15" t="n">
        <f aca="false">IFERROR(1-D2/E2,"")</f>
        <v>0.500892857142857</v>
      </c>
      <c r="G2" s="16" t="n">
        <v>50</v>
      </c>
      <c r="H2" s="10" t="s">
        <v>62</v>
      </c>
    </row>
    <row r="3" customFormat="false" ht="15" hidden="false" customHeight="false" outlineLevel="0" collapsed="false">
      <c r="A3" s="12" t="s">
        <v>63</v>
      </c>
      <c r="B3" s="12" t="s">
        <v>64</v>
      </c>
      <c r="C3" s="12" t="s">
        <v>34</v>
      </c>
      <c r="D3" s="11" t="n">
        <v>28.95</v>
      </c>
      <c r="E3" s="11" t="n">
        <v>58</v>
      </c>
      <c r="F3" s="17" t="n">
        <f aca="false">IFERROR(1-D3/E3,"")</f>
        <v>0.500862068965517</v>
      </c>
      <c r="G3" s="18" t="n">
        <v>34</v>
      </c>
      <c r="H3" s="12" t="s">
        <v>62</v>
      </c>
    </row>
    <row r="4" customFormat="false" ht="15" hidden="false" customHeight="false" outlineLevel="0" collapsed="false">
      <c r="A4" s="10" t="s">
        <v>65</v>
      </c>
      <c r="B4" s="10" t="s">
        <v>66</v>
      </c>
      <c r="C4" s="10" t="s">
        <v>42</v>
      </c>
      <c r="D4" s="9" t="n">
        <v>28.95</v>
      </c>
      <c r="E4" s="9" t="n">
        <v>58</v>
      </c>
      <c r="F4" s="15" t="n">
        <f aca="false">IFERROR(1-D4/E4,"")</f>
        <v>0.500862068965517</v>
      </c>
      <c r="G4" s="16" t="n">
        <v>4</v>
      </c>
      <c r="H4" s="10" t="s">
        <v>62</v>
      </c>
    </row>
    <row r="5" customFormat="false" ht="15" hidden="false" customHeight="false" outlineLevel="0" collapsed="false">
      <c r="A5" s="12" t="s">
        <v>67</v>
      </c>
      <c r="B5" s="12" t="s">
        <v>68</v>
      </c>
      <c r="C5" s="12" t="s">
        <v>38</v>
      </c>
      <c r="D5" s="11" t="n">
        <v>29.95</v>
      </c>
      <c r="E5" s="11" t="n">
        <v>60</v>
      </c>
      <c r="F5" s="17" t="n">
        <f aca="false">IFERROR(1-D5/E5,"")</f>
        <v>0.500833333333333</v>
      </c>
      <c r="G5" s="18" t="n">
        <v>35</v>
      </c>
      <c r="H5" s="12" t="s">
        <v>62</v>
      </c>
    </row>
    <row r="6" customFormat="false" ht="15" hidden="false" customHeight="false" outlineLevel="0" collapsed="false">
      <c r="A6" s="10" t="s">
        <v>69</v>
      </c>
      <c r="B6" s="10" t="s">
        <v>70</v>
      </c>
      <c r="C6" s="10" t="s">
        <v>33</v>
      </c>
      <c r="D6" s="9" t="n">
        <v>29.95</v>
      </c>
      <c r="E6" s="9" t="n">
        <v>60</v>
      </c>
      <c r="F6" s="15" t="n">
        <f aca="false">IFERROR(1-D6/E6,"")</f>
        <v>0.500833333333333</v>
      </c>
      <c r="G6" s="16" t="n">
        <v>5</v>
      </c>
      <c r="H6" s="10" t="s">
        <v>62</v>
      </c>
    </row>
    <row r="7" customFormat="false" ht="15" hidden="false" customHeight="false" outlineLevel="0" collapsed="false">
      <c r="A7" s="12" t="s">
        <v>71</v>
      </c>
      <c r="B7" s="12" t="s">
        <v>72</v>
      </c>
      <c r="C7" s="12" t="s">
        <v>33</v>
      </c>
      <c r="D7" s="11" t="n">
        <v>29.95</v>
      </c>
      <c r="E7" s="11" t="n">
        <v>60</v>
      </c>
      <c r="F7" s="17" t="n">
        <f aca="false">IFERROR(1-D7/E7,"")</f>
        <v>0.500833333333333</v>
      </c>
      <c r="G7" s="18" t="n">
        <v>4</v>
      </c>
      <c r="H7" s="12" t="s">
        <v>62</v>
      </c>
    </row>
    <row r="8" customFormat="false" ht="15" hidden="false" customHeight="false" outlineLevel="0" collapsed="false">
      <c r="A8" s="10" t="s">
        <v>73</v>
      </c>
      <c r="B8" s="10" t="s">
        <v>74</v>
      </c>
      <c r="C8" s="10" t="s">
        <v>33</v>
      </c>
      <c r="D8" s="9" t="n">
        <v>29.95</v>
      </c>
      <c r="E8" s="9" t="n">
        <v>60</v>
      </c>
      <c r="F8" s="15" t="n">
        <f aca="false">IFERROR(1-D8/E8,"")</f>
        <v>0.500833333333333</v>
      </c>
      <c r="G8" s="16" t="n">
        <v>9</v>
      </c>
      <c r="H8" s="10" t="s">
        <v>62</v>
      </c>
    </row>
    <row r="9" customFormat="false" ht="15" hidden="false" customHeight="false" outlineLevel="0" collapsed="false">
      <c r="A9" s="12" t="s">
        <v>75</v>
      </c>
      <c r="B9" s="12" t="s">
        <v>76</v>
      </c>
      <c r="C9" s="12" t="s">
        <v>40</v>
      </c>
      <c r="D9" s="11" t="n">
        <v>29.95</v>
      </c>
      <c r="E9" s="11" t="n">
        <v>60</v>
      </c>
      <c r="F9" s="17" t="n">
        <f aca="false">IFERROR(1-D9/E9,"")</f>
        <v>0.500833333333333</v>
      </c>
      <c r="G9" s="18" t="n">
        <v>20</v>
      </c>
      <c r="H9" s="12" t="s">
        <v>62</v>
      </c>
    </row>
    <row r="10" customFormat="false" ht="15" hidden="false" customHeight="false" outlineLevel="0" collapsed="false">
      <c r="A10" s="10" t="s">
        <v>77</v>
      </c>
      <c r="B10" s="10" t="s">
        <v>78</v>
      </c>
      <c r="C10" s="10" t="s">
        <v>40</v>
      </c>
      <c r="D10" s="9" t="n">
        <v>29.95</v>
      </c>
      <c r="E10" s="9" t="n">
        <v>60</v>
      </c>
      <c r="F10" s="15" t="n">
        <f aca="false">IFERROR(1-D10/E10,"")</f>
        <v>0.500833333333333</v>
      </c>
      <c r="G10" s="16" t="n">
        <v>18</v>
      </c>
      <c r="H10" s="10" t="s">
        <v>62</v>
      </c>
    </row>
    <row r="11" customFormat="false" ht="15" hidden="false" customHeight="false" outlineLevel="0" collapsed="false">
      <c r="A11" s="12" t="s">
        <v>79</v>
      </c>
      <c r="B11" s="12" t="s">
        <v>80</v>
      </c>
      <c r="C11" s="12" t="s">
        <v>38</v>
      </c>
      <c r="D11" s="11" t="n">
        <v>29.95</v>
      </c>
      <c r="E11" s="11" t="n">
        <v>60</v>
      </c>
      <c r="F11" s="17" t="n">
        <f aca="false">IFERROR(1-D11/E11,"")</f>
        <v>0.500833333333333</v>
      </c>
      <c r="G11" s="18" t="n">
        <v>35</v>
      </c>
      <c r="H11" s="12" t="s">
        <v>62</v>
      </c>
    </row>
    <row r="12" customFormat="false" ht="15" hidden="false" customHeight="false" outlineLevel="0" collapsed="false">
      <c r="A12" s="10" t="s">
        <v>81</v>
      </c>
      <c r="B12" s="10" t="s">
        <v>82</v>
      </c>
      <c r="C12" s="10" t="s">
        <v>39</v>
      </c>
      <c r="D12" s="9" t="n">
        <v>29.95</v>
      </c>
      <c r="E12" s="9" t="n">
        <v>60</v>
      </c>
      <c r="F12" s="15" t="n">
        <f aca="false">IFERROR(1-D12/E12,"")</f>
        <v>0.500833333333333</v>
      </c>
      <c r="G12" s="16" t="n">
        <v>14</v>
      </c>
      <c r="H12" s="10" t="s">
        <v>62</v>
      </c>
    </row>
    <row r="13" customFormat="false" ht="15" hidden="false" customHeight="false" outlineLevel="0" collapsed="false">
      <c r="A13" s="12" t="s">
        <v>83</v>
      </c>
      <c r="B13" s="12" t="s">
        <v>84</v>
      </c>
      <c r="C13" s="12" t="s">
        <v>43</v>
      </c>
      <c r="D13" s="11" t="n">
        <v>29.95</v>
      </c>
      <c r="E13" s="11" t="n">
        <v>60</v>
      </c>
      <c r="F13" s="17" t="n">
        <f aca="false">IFERROR(1-D13/E13,"")</f>
        <v>0.500833333333333</v>
      </c>
      <c r="G13" s="18" t="n">
        <v>8</v>
      </c>
      <c r="H13" s="12" t="s">
        <v>62</v>
      </c>
    </row>
    <row r="14" customFormat="false" ht="15" hidden="false" customHeight="false" outlineLevel="0" collapsed="false">
      <c r="A14" s="10" t="s">
        <v>85</v>
      </c>
      <c r="B14" s="10" t="s">
        <v>86</v>
      </c>
      <c r="C14" s="10" t="s">
        <v>39</v>
      </c>
      <c r="D14" s="9" t="n">
        <v>31.95</v>
      </c>
      <c r="E14" s="9" t="n">
        <v>64</v>
      </c>
      <c r="F14" s="15" t="n">
        <f aca="false">IFERROR(1-D14/E14,"")</f>
        <v>0.50078125</v>
      </c>
      <c r="G14" s="16" t="n">
        <v>25</v>
      </c>
      <c r="H14" s="10" t="s">
        <v>62</v>
      </c>
    </row>
    <row r="15" customFormat="false" ht="15" hidden="false" customHeight="false" outlineLevel="0" collapsed="false">
      <c r="A15" s="12" t="s">
        <v>87</v>
      </c>
      <c r="B15" s="12" t="s">
        <v>88</v>
      </c>
      <c r="C15" s="12" t="s">
        <v>36</v>
      </c>
      <c r="D15" s="11" t="n">
        <v>32.95</v>
      </c>
      <c r="E15" s="11" t="n">
        <v>66</v>
      </c>
      <c r="F15" s="17" t="n">
        <f aca="false">IFERROR(1-D15/E15,"")</f>
        <v>0.500757575757576</v>
      </c>
      <c r="G15" s="18" t="n">
        <v>85</v>
      </c>
      <c r="H15" s="12" t="s">
        <v>62</v>
      </c>
    </row>
    <row r="16" customFormat="false" ht="15" hidden="false" customHeight="false" outlineLevel="0" collapsed="false">
      <c r="A16" s="10" t="s">
        <v>89</v>
      </c>
      <c r="B16" s="10" t="s">
        <v>90</v>
      </c>
      <c r="C16" s="10" t="s">
        <v>39</v>
      </c>
      <c r="D16" s="9" t="n">
        <v>33.95</v>
      </c>
      <c r="E16" s="9" t="n">
        <v>68</v>
      </c>
      <c r="F16" s="15" t="n">
        <f aca="false">IFERROR(1-D16/E16,"")</f>
        <v>0.500735294117647</v>
      </c>
      <c r="G16" s="16" t="n">
        <v>25</v>
      </c>
      <c r="H16" s="10" t="s">
        <v>62</v>
      </c>
    </row>
    <row r="17" customFormat="false" ht="15" hidden="false" customHeight="false" outlineLevel="0" collapsed="false">
      <c r="A17" s="12" t="s">
        <v>91</v>
      </c>
      <c r="B17" s="12" t="s">
        <v>92</v>
      </c>
      <c r="C17" s="12" t="s">
        <v>34</v>
      </c>
      <c r="D17" s="11" t="n">
        <v>34.95</v>
      </c>
      <c r="E17" s="11" t="n">
        <v>70</v>
      </c>
      <c r="F17" s="17" t="n">
        <f aca="false">IFERROR(1-D17/E17,"")</f>
        <v>0.500714285714286</v>
      </c>
      <c r="G17" s="18" t="n">
        <v>68</v>
      </c>
      <c r="H17" s="12" t="s">
        <v>62</v>
      </c>
    </row>
    <row r="18" customFormat="false" ht="15" hidden="false" customHeight="false" outlineLevel="0" collapsed="false">
      <c r="A18" s="10" t="s">
        <v>93</v>
      </c>
      <c r="B18" s="10" t="s">
        <v>94</v>
      </c>
      <c r="C18" s="10" t="s">
        <v>36</v>
      </c>
      <c r="D18" s="9" t="n">
        <v>34.95</v>
      </c>
      <c r="E18" s="9" t="n">
        <v>70</v>
      </c>
      <c r="F18" s="15" t="n">
        <f aca="false">IFERROR(1-D18/E18,"")</f>
        <v>0.500714285714286</v>
      </c>
      <c r="G18" s="16" t="n">
        <v>24</v>
      </c>
      <c r="H18" s="10" t="s">
        <v>62</v>
      </c>
    </row>
    <row r="19" customFormat="false" ht="15" hidden="false" customHeight="false" outlineLevel="0" collapsed="false">
      <c r="A19" s="12" t="s">
        <v>95</v>
      </c>
      <c r="B19" s="12" t="s">
        <v>96</v>
      </c>
      <c r="C19" s="12" t="s">
        <v>48</v>
      </c>
      <c r="D19" s="11" t="n">
        <v>34.95</v>
      </c>
      <c r="E19" s="11" t="n">
        <v>70</v>
      </c>
      <c r="F19" s="17" t="n">
        <f aca="false">IFERROR(1-D19/E19,"")</f>
        <v>0.500714285714286</v>
      </c>
      <c r="G19" s="18" t="n">
        <v>1</v>
      </c>
      <c r="H19" s="12" t="s">
        <v>62</v>
      </c>
    </row>
    <row r="20" customFormat="false" ht="15" hidden="false" customHeight="false" outlineLevel="0" collapsed="false">
      <c r="A20" s="10" t="s">
        <v>97</v>
      </c>
      <c r="B20" s="10" t="s">
        <v>98</v>
      </c>
      <c r="C20" s="10" t="s">
        <v>49</v>
      </c>
      <c r="D20" s="9" t="n">
        <v>34.95</v>
      </c>
      <c r="E20" s="9" t="n">
        <v>70</v>
      </c>
      <c r="F20" s="15" t="n">
        <f aca="false">IFERROR(1-D20/E20,"")</f>
        <v>0.500714285714286</v>
      </c>
      <c r="G20" s="16" t="n">
        <v>51</v>
      </c>
      <c r="H20" s="10" t="s">
        <v>62</v>
      </c>
    </row>
    <row r="21" customFormat="false" ht="15" hidden="false" customHeight="false" outlineLevel="0" collapsed="false">
      <c r="A21" s="12" t="s">
        <v>99</v>
      </c>
      <c r="B21" s="12" t="s">
        <v>100</v>
      </c>
      <c r="C21" s="12" t="s">
        <v>35</v>
      </c>
      <c r="D21" s="11" t="n">
        <v>34.95</v>
      </c>
      <c r="E21" s="11" t="n">
        <v>70</v>
      </c>
      <c r="F21" s="17" t="n">
        <f aca="false">IFERROR(1-D21/E21,"")</f>
        <v>0.500714285714286</v>
      </c>
      <c r="G21" s="18" t="n">
        <v>25</v>
      </c>
      <c r="H21" s="12" t="s">
        <v>62</v>
      </c>
    </row>
    <row r="22" customFormat="false" ht="15" hidden="false" customHeight="false" outlineLevel="0" collapsed="false">
      <c r="A22" s="10" t="s">
        <v>101</v>
      </c>
      <c r="B22" s="10" t="s">
        <v>102</v>
      </c>
      <c r="C22" s="10" t="s">
        <v>45</v>
      </c>
      <c r="D22" s="9" t="n">
        <v>34.95</v>
      </c>
      <c r="E22" s="9" t="n">
        <v>70</v>
      </c>
      <c r="F22" s="15" t="n">
        <f aca="false">IFERROR(1-D22/E22,"")</f>
        <v>0.500714285714286</v>
      </c>
      <c r="G22" s="16" t="n">
        <v>3</v>
      </c>
      <c r="H22" s="10" t="s">
        <v>62</v>
      </c>
    </row>
    <row r="23" customFormat="false" ht="15" hidden="false" customHeight="false" outlineLevel="0" collapsed="false">
      <c r="A23" s="12" t="s">
        <v>103</v>
      </c>
      <c r="B23" s="12" t="s">
        <v>104</v>
      </c>
      <c r="C23" s="12" t="s">
        <v>45</v>
      </c>
      <c r="D23" s="11" t="n">
        <v>34.95</v>
      </c>
      <c r="E23" s="11" t="n">
        <v>70</v>
      </c>
      <c r="F23" s="17" t="n">
        <f aca="false">IFERROR(1-D23/E23,"")</f>
        <v>0.500714285714286</v>
      </c>
      <c r="G23" s="18" t="n">
        <v>6</v>
      </c>
      <c r="H23" s="12" t="s">
        <v>62</v>
      </c>
    </row>
    <row r="24" customFormat="false" ht="15" hidden="false" customHeight="false" outlineLevel="0" collapsed="false">
      <c r="A24" s="10" t="s">
        <v>105</v>
      </c>
      <c r="B24" s="10" t="s">
        <v>106</v>
      </c>
      <c r="C24" s="10" t="s">
        <v>45</v>
      </c>
      <c r="D24" s="9" t="n">
        <v>34.95</v>
      </c>
      <c r="E24" s="9" t="n">
        <v>70</v>
      </c>
      <c r="F24" s="15" t="n">
        <f aca="false">IFERROR(1-D24/E24,"")</f>
        <v>0.500714285714286</v>
      </c>
      <c r="G24" s="16" t="n">
        <v>18</v>
      </c>
      <c r="H24" s="10" t="s">
        <v>62</v>
      </c>
    </row>
    <row r="25" customFormat="false" ht="15" hidden="false" customHeight="false" outlineLevel="0" collapsed="false">
      <c r="A25" s="12" t="s">
        <v>107</v>
      </c>
      <c r="B25" s="12" t="s">
        <v>108</v>
      </c>
      <c r="C25" s="12" t="s">
        <v>33</v>
      </c>
      <c r="D25" s="11" t="n">
        <v>34.95</v>
      </c>
      <c r="E25" s="11" t="n">
        <v>70</v>
      </c>
      <c r="F25" s="17" t="n">
        <f aca="false">IFERROR(1-D25/E25,"")</f>
        <v>0.500714285714286</v>
      </c>
      <c r="G25" s="18" t="n">
        <v>16</v>
      </c>
      <c r="H25" s="12" t="s">
        <v>62</v>
      </c>
    </row>
    <row r="26" customFormat="false" ht="15" hidden="false" customHeight="false" outlineLevel="0" collapsed="false">
      <c r="A26" s="10" t="s">
        <v>109</v>
      </c>
      <c r="B26" s="10" t="s">
        <v>110</v>
      </c>
      <c r="C26" s="10" t="s">
        <v>33</v>
      </c>
      <c r="D26" s="9" t="n">
        <v>34.95</v>
      </c>
      <c r="E26" s="9" t="n">
        <v>70</v>
      </c>
      <c r="F26" s="15" t="n">
        <f aca="false">IFERROR(1-D26/E26,"")</f>
        <v>0.500714285714286</v>
      </c>
      <c r="G26" s="16" t="n">
        <v>12</v>
      </c>
      <c r="H26" s="10" t="s">
        <v>62</v>
      </c>
    </row>
    <row r="27" customFormat="false" ht="15" hidden="false" customHeight="false" outlineLevel="0" collapsed="false">
      <c r="A27" s="12" t="s">
        <v>111</v>
      </c>
      <c r="B27" s="12" t="s">
        <v>112</v>
      </c>
      <c r="C27" s="12" t="s">
        <v>41</v>
      </c>
      <c r="D27" s="11" t="n">
        <v>34.95</v>
      </c>
      <c r="E27" s="11" t="n">
        <v>70</v>
      </c>
      <c r="F27" s="17" t="n">
        <f aca="false">IFERROR(1-D27/E27,"")</f>
        <v>0.500714285714286</v>
      </c>
      <c r="G27" s="18" t="n">
        <v>25</v>
      </c>
      <c r="H27" s="12" t="s">
        <v>62</v>
      </c>
    </row>
    <row r="28" customFormat="false" ht="15" hidden="false" customHeight="false" outlineLevel="0" collapsed="false">
      <c r="A28" s="10" t="s">
        <v>113</v>
      </c>
      <c r="B28" s="10" t="s">
        <v>114</v>
      </c>
      <c r="C28" s="10" t="s">
        <v>41</v>
      </c>
      <c r="D28" s="9" t="n">
        <v>34.95</v>
      </c>
      <c r="E28" s="9" t="n">
        <v>70</v>
      </c>
      <c r="F28" s="15" t="n">
        <f aca="false">IFERROR(1-D28/E28,"")</f>
        <v>0.500714285714286</v>
      </c>
      <c r="G28" s="16" t="n">
        <v>65</v>
      </c>
      <c r="H28" s="10" t="s">
        <v>62</v>
      </c>
    </row>
    <row r="29" customFormat="false" ht="15" hidden="false" customHeight="false" outlineLevel="0" collapsed="false">
      <c r="A29" s="12" t="s">
        <v>115</v>
      </c>
      <c r="B29" s="12" t="s">
        <v>116</v>
      </c>
      <c r="C29" s="12" t="s">
        <v>46</v>
      </c>
      <c r="D29" s="11" t="n">
        <v>34.95</v>
      </c>
      <c r="E29" s="11" t="n">
        <v>70</v>
      </c>
      <c r="F29" s="17" t="n">
        <f aca="false">IFERROR(1-D29/E29,"")</f>
        <v>0.500714285714286</v>
      </c>
      <c r="G29" s="18" t="n">
        <v>24</v>
      </c>
      <c r="H29" s="12" t="s">
        <v>62</v>
      </c>
    </row>
    <row r="30" customFormat="false" ht="15" hidden="false" customHeight="false" outlineLevel="0" collapsed="false">
      <c r="A30" s="10" t="s">
        <v>117</v>
      </c>
      <c r="B30" s="10" t="s">
        <v>118</v>
      </c>
      <c r="C30" s="10" t="s">
        <v>40</v>
      </c>
      <c r="D30" s="9" t="n">
        <v>34.95</v>
      </c>
      <c r="E30" s="9" t="n">
        <v>70</v>
      </c>
      <c r="F30" s="15" t="n">
        <f aca="false">IFERROR(1-D30/E30,"")</f>
        <v>0.500714285714286</v>
      </c>
      <c r="G30" s="16" t="n">
        <v>6</v>
      </c>
      <c r="H30" s="10" t="s">
        <v>62</v>
      </c>
    </row>
    <row r="31" customFormat="false" ht="15" hidden="false" customHeight="false" outlineLevel="0" collapsed="false">
      <c r="A31" s="12" t="s">
        <v>119</v>
      </c>
      <c r="B31" s="12" t="s">
        <v>120</v>
      </c>
      <c r="C31" s="12" t="s">
        <v>40</v>
      </c>
      <c r="D31" s="11" t="n">
        <v>34.95</v>
      </c>
      <c r="E31" s="11" t="n">
        <v>70</v>
      </c>
      <c r="F31" s="17" t="n">
        <f aca="false">IFERROR(1-D31/E31,"")</f>
        <v>0.500714285714286</v>
      </c>
      <c r="G31" s="18" t="n">
        <v>12</v>
      </c>
      <c r="H31" s="12" t="s">
        <v>62</v>
      </c>
    </row>
    <row r="32" customFormat="false" ht="15" hidden="false" customHeight="false" outlineLevel="0" collapsed="false">
      <c r="A32" s="10" t="s">
        <v>121</v>
      </c>
      <c r="B32" s="10" t="s">
        <v>122</v>
      </c>
      <c r="C32" s="10" t="s">
        <v>35</v>
      </c>
      <c r="D32" s="9" t="n">
        <v>34.95</v>
      </c>
      <c r="E32" s="9" t="n">
        <v>70</v>
      </c>
      <c r="F32" s="15" t="n">
        <f aca="false">IFERROR(1-D32/E32,"")</f>
        <v>0.500714285714286</v>
      </c>
      <c r="G32" s="16" t="n">
        <v>18</v>
      </c>
      <c r="H32" s="10" t="s">
        <v>62</v>
      </c>
    </row>
    <row r="33" customFormat="false" ht="15" hidden="false" customHeight="false" outlineLevel="0" collapsed="false">
      <c r="A33" s="12" t="s">
        <v>123</v>
      </c>
      <c r="B33" s="12" t="s">
        <v>124</v>
      </c>
      <c r="C33" s="12" t="s">
        <v>32</v>
      </c>
      <c r="D33" s="11" t="n">
        <v>34.95</v>
      </c>
      <c r="E33" s="11" t="n">
        <v>70</v>
      </c>
      <c r="F33" s="17" t="n">
        <f aca="false">IFERROR(1-D33/E33,"")</f>
        <v>0.500714285714286</v>
      </c>
      <c r="G33" s="18" t="n">
        <v>39</v>
      </c>
      <c r="H33" s="12" t="s">
        <v>62</v>
      </c>
    </row>
    <row r="34" customFormat="false" ht="15" hidden="false" customHeight="false" outlineLevel="0" collapsed="false">
      <c r="A34" s="10" t="s">
        <v>125</v>
      </c>
      <c r="B34" s="10" t="s">
        <v>126</v>
      </c>
      <c r="C34" s="10" t="s">
        <v>32</v>
      </c>
      <c r="D34" s="9" t="n">
        <v>34.95</v>
      </c>
      <c r="E34" s="9" t="n">
        <v>70</v>
      </c>
      <c r="F34" s="15" t="n">
        <f aca="false">IFERROR(1-D34/E34,"")</f>
        <v>0.500714285714286</v>
      </c>
      <c r="G34" s="16" t="n">
        <v>5</v>
      </c>
      <c r="H34" s="10" t="s">
        <v>62</v>
      </c>
    </row>
    <row r="35" customFormat="false" ht="15" hidden="false" customHeight="false" outlineLevel="0" collapsed="false">
      <c r="A35" s="12" t="s">
        <v>127</v>
      </c>
      <c r="B35" s="12" t="s">
        <v>128</v>
      </c>
      <c r="C35" s="12" t="s">
        <v>42</v>
      </c>
      <c r="D35" s="11" t="n">
        <v>34.95</v>
      </c>
      <c r="E35" s="11" t="n">
        <v>70</v>
      </c>
      <c r="F35" s="17" t="n">
        <f aca="false">IFERROR(1-D35/E35,"")</f>
        <v>0.500714285714286</v>
      </c>
      <c r="G35" s="18" t="n">
        <v>25</v>
      </c>
      <c r="H35" s="12" t="s">
        <v>62</v>
      </c>
    </row>
    <row r="36" customFormat="false" ht="15" hidden="false" customHeight="false" outlineLevel="0" collapsed="false">
      <c r="A36" s="10" t="s">
        <v>129</v>
      </c>
      <c r="B36" s="10" t="s">
        <v>130</v>
      </c>
      <c r="C36" s="10" t="s">
        <v>42</v>
      </c>
      <c r="D36" s="9" t="n">
        <v>34.95</v>
      </c>
      <c r="E36" s="9" t="n">
        <v>70</v>
      </c>
      <c r="F36" s="15" t="n">
        <f aca="false">IFERROR(1-D36/E36,"")</f>
        <v>0.500714285714286</v>
      </c>
      <c r="G36" s="16" t="n">
        <v>4</v>
      </c>
      <c r="H36" s="10" t="s">
        <v>62</v>
      </c>
    </row>
    <row r="37" customFormat="false" ht="15" hidden="false" customHeight="false" outlineLevel="0" collapsed="false">
      <c r="A37" s="12" t="s">
        <v>131</v>
      </c>
      <c r="B37" s="12" t="s">
        <v>132</v>
      </c>
      <c r="C37" s="12" t="s">
        <v>32</v>
      </c>
      <c r="D37" s="11" t="n">
        <v>34.95</v>
      </c>
      <c r="E37" s="11" t="n">
        <v>70</v>
      </c>
      <c r="F37" s="17" t="n">
        <f aca="false">IFERROR(1-D37/E37,"")</f>
        <v>0.500714285714286</v>
      </c>
      <c r="G37" s="18" t="n">
        <v>5</v>
      </c>
      <c r="H37" s="12" t="s">
        <v>62</v>
      </c>
    </row>
    <row r="38" customFormat="false" ht="15" hidden="false" customHeight="false" outlineLevel="0" collapsed="false">
      <c r="A38" s="10" t="s">
        <v>133</v>
      </c>
      <c r="B38" s="10" t="s">
        <v>134</v>
      </c>
      <c r="C38" s="10" t="s">
        <v>35</v>
      </c>
      <c r="D38" s="9" t="n">
        <v>34.95</v>
      </c>
      <c r="E38" s="9" t="n">
        <v>70</v>
      </c>
      <c r="F38" s="15" t="n">
        <f aca="false">IFERROR(1-D38/E38,"")</f>
        <v>0.500714285714286</v>
      </c>
      <c r="G38" s="16" t="n">
        <v>10</v>
      </c>
      <c r="H38" s="10" t="s">
        <v>62</v>
      </c>
    </row>
    <row r="39" customFormat="false" ht="15" hidden="false" customHeight="false" outlineLevel="0" collapsed="false">
      <c r="A39" s="12" t="s">
        <v>135</v>
      </c>
      <c r="B39" s="12" t="s">
        <v>136</v>
      </c>
      <c r="C39" s="12" t="s">
        <v>35</v>
      </c>
      <c r="D39" s="11" t="n">
        <v>34.95</v>
      </c>
      <c r="E39" s="11" t="n">
        <v>70</v>
      </c>
      <c r="F39" s="17" t="n">
        <f aca="false">IFERROR(1-D39/E39,"")</f>
        <v>0.500714285714286</v>
      </c>
      <c r="G39" s="18" t="n">
        <v>4</v>
      </c>
      <c r="H39" s="12" t="s">
        <v>62</v>
      </c>
    </row>
    <row r="40" customFormat="false" ht="15" hidden="false" customHeight="false" outlineLevel="0" collapsed="false">
      <c r="A40" s="10" t="s">
        <v>137</v>
      </c>
      <c r="B40" s="10" t="s">
        <v>138</v>
      </c>
      <c r="C40" s="10" t="s">
        <v>35</v>
      </c>
      <c r="D40" s="9" t="n">
        <v>34.95</v>
      </c>
      <c r="E40" s="9" t="n">
        <v>70</v>
      </c>
      <c r="F40" s="15" t="n">
        <f aca="false">IFERROR(1-D40/E40,"")</f>
        <v>0.500714285714286</v>
      </c>
      <c r="G40" s="16" t="n">
        <v>17</v>
      </c>
      <c r="H40" s="10" t="s">
        <v>62</v>
      </c>
    </row>
    <row r="41" customFormat="false" ht="15" hidden="false" customHeight="false" outlineLevel="0" collapsed="false">
      <c r="A41" s="12" t="s">
        <v>139</v>
      </c>
      <c r="B41" s="12" t="s">
        <v>140</v>
      </c>
      <c r="C41" s="12" t="s">
        <v>35</v>
      </c>
      <c r="D41" s="11" t="n">
        <v>34.95</v>
      </c>
      <c r="E41" s="11" t="n">
        <v>70</v>
      </c>
      <c r="F41" s="17" t="n">
        <f aca="false">IFERROR(1-D41/E41,"")</f>
        <v>0.500714285714286</v>
      </c>
      <c r="G41" s="18" t="n">
        <v>36</v>
      </c>
      <c r="H41" s="12" t="s">
        <v>62</v>
      </c>
    </row>
    <row r="42" customFormat="false" ht="15" hidden="false" customHeight="false" outlineLevel="0" collapsed="false">
      <c r="A42" s="10" t="s">
        <v>141</v>
      </c>
      <c r="B42" s="10" t="s">
        <v>142</v>
      </c>
      <c r="C42" s="10" t="s">
        <v>33</v>
      </c>
      <c r="D42" s="9" t="n">
        <v>34.95</v>
      </c>
      <c r="E42" s="9" t="n">
        <v>70</v>
      </c>
      <c r="F42" s="15" t="n">
        <f aca="false">IFERROR(1-D42/E42,"")</f>
        <v>0.500714285714286</v>
      </c>
      <c r="G42" s="16" t="n">
        <v>5</v>
      </c>
      <c r="H42" s="10" t="s">
        <v>62</v>
      </c>
    </row>
    <row r="43" customFormat="false" ht="15" hidden="false" customHeight="false" outlineLevel="0" collapsed="false">
      <c r="A43" s="12" t="s">
        <v>143</v>
      </c>
      <c r="B43" s="12" t="s">
        <v>144</v>
      </c>
      <c r="C43" s="12" t="s">
        <v>33</v>
      </c>
      <c r="D43" s="11" t="n">
        <v>34.95</v>
      </c>
      <c r="E43" s="11" t="n">
        <v>70</v>
      </c>
      <c r="F43" s="17" t="n">
        <f aca="false">IFERROR(1-D43/E43,"")</f>
        <v>0.500714285714286</v>
      </c>
      <c r="G43" s="18" t="n">
        <v>5</v>
      </c>
      <c r="H43" s="12" t="s">
        <v>62</v>
      </c>
    </row>
    <row r="44" customFormat="false" ht="15" hidden="false" customHeight="false" outlineLevel="0" collapsed="false">
      <c r="A44" s="10" t="s">
        <v>145</v>
      </c>
      <c r="B44" s="10" t="s">
        <v>146</v>
      </c>
      <c r="C44" s="10" t="s">
        <v>33</v>
      </c>
      <c r="D44" s="9" t="n">
        <v>34.95</v>
      </c>
      <c r="E44" s="9" t="n">
        <v>70</v>
      </c>
      <c r="F44" s="15" t="n">
        <f aca="false">IFERROR(1-D44/E44,"")</f>
        <v>0.500714285714286</v>
      </c>
      <c r="G44" s="16" t="n">
        <v>40</v>
      </c>
      <c r="H44" s="10" t="s">
        <v>62</v>
      </c>
    </row>
    <row r="45" customFormat="false" ht="15" hidden="false" customHeight="false" outlineLevel="0" collapsed="false">
      <c r="A45" s="12" t="s">
        <v>147</v>
      </c>
      <c r="B45" s="12" t="s">
        <v>148</v>
      </c>
      <c r="C45" s="12" t="s">
        <v>33</v>
      </c>
      <c r="D45" s="11" t="n">
        <v>34.95</v>
      </c>
      <c r="E45" s="11" t="n">
        <v>70</v>
      </c>
      <c r="F45" s="17" t="n">
        <f aca="false">IFERROR(1-D45/E45,"")</f>
        <v>0.500714285714286</v>
      </c>
      <c r="G45" s="18" t="n">
        <v>35</v>
      </c>
      <c r="H45" s="12" t="s">
        <v>62</v>
      </c>
    </row>
    <row r="46" customFormat="false" ht="15" hidden="false" customHeight="false" outlineLevel="0" collapsed="false">
      <c r="A46" s="10" t="s">
        <v>149</v>
      </c>
      <c r="B46" s="10" t="s">
        <v>150</v>
      </c>
      <c r="C46" s="10" t="s">
        <v>33</v>
      </c>
      <c r="D46" s="9" t="n">
        <v>34.95</v>
      </c>
      <c r="E46" s="9" t="n">
        <v>70</v>
      </c>
      <c r="F46" s="15" t="n">
        <f aca="false">IFERROR(1-D46/E46,"")</f>
        <v>0.500714285714286</v>
      </c>
      <c r="G46" s="16" t="n">
        <v>30</v>
      </c>
      <c r="H46" s="10" t="s">
        <v>62</v>
      </c>
    </row>
    <row r="47" customFormat="false" ht="15" hidden="false" customHeight="false" outlineLevel="0" collapsed="false">
      <c r="A47" s="12" t="s">
        <v>151</v>
      </c>
      <c r="B47" s="12" t="s">
        <v>152</v>
      </c>
      <c r="C47" s="12" t="s">
        <v>33</v>
      </c>
      <c r="D47" s="11" t="n">
        <v>34.95</v>
      </c>
      <c r="E47" s="11" t="n">
        <v>70</v>
      </c>
      <c r="F47" s="17" t="n">
        <f aca="false">IFERROR(1-D47/E47,"")</f>
        <v>0.500714285714286</v>
      </c>
      <c r="G47" s="18" t="n">
        <v>42</v>
      </c>
      <c r="H47" s="12" t="s">
        <v>62</v>
      </c>
    </row>
    <row r="48" customFormat="false" ht="15" hidden="false" customHeight="false" outlineLevel="0" collapsed="false">
      <c r="A48" s="10" t="s">
        <v>153</v>
      </c>
      <c r="B48" s="10" t="s">
        <v>154</v>
      </c>
      <c r="C48" s="10" t="s">
        <v>47</v>
      </c>
      <c r="D48" s="9" t="n">
        <v>35.95</v>
      </c>
      <c r="E48" s="9" t="n">
        <v>112</v>
      </c>
      <c r="F48" s="15" t="n">
        <f aca="false">IFERROR(1-D48/E48,"")</f>
        <v>0.679017857142857</v>
      </c>
      <c r="G48" s="16" t="n">
        <v>35</v>
      </c>
      <c r="H48" s="10" t="s">
        <v>155</v>
      </c>
    </row>
    <row r="49" customFormat="false" ht="15" hidden="false" customHeight="false" outlineLevel="0" collapsed="false">
      <c r="A49" s="12" t="s">
        <v>156</v>
      </c>
      <c r="B49" s="12" t="s">
        <v>157</v>
      </c>
      <c r="C49" s="12" t="s">
        <v>34</v>
      </c>
      <c r="D49" s="11" t="n">
        <v>35.95</v>
      </c>
      <c r="E49" s="11" t="n">
        <v>72</v>
      </c>
      <c r="F49" s="17" t="n">
        <f aca="false">IFERROR(1-D49/E49,"")</f>
        <v>0.500694444444444</v>
      </c>
      <c r="G49" s="18" t="n">
        <v>102</v>
      </c>
      <c r="H49" s="12" t="s">
        <v>62</v>
      </c>
    </row>
    <row r="50" customFormat="false" ht="15" hidden="false" customHeight="false" outlineLevel="0" collapsed="false">
      <c r="A50" s="10" t="s">
        <v>158</v>
      </c>
      <c r="B50" s="10" t="s">
        <v>159</v>
      </c>
      <c r="C50" s="10" t="s">
        <v>34</v>
      </c>
      <c r="D50" s="9" t="n">
        <v>35.95</v>
      </c>
      <c r="E50" s="9" t="n">
        <v>72</v>
      </c>
      <c r="F50" s="15" t="n">
        <f aca="false">IFERROR(1-D50/E50,"")</f>
        <v>0.500694444444444</v>
      </c>
      <c r="G50" s="16" t="n">
        <v>85</v>
      </c>
      <c r="H50" s="10" t="s">
        <v>62</v>
      </c>
    </row>
    <row r="51" customFormat="false" ht="15" hidden="false" customHeight="false" outlineLevel="0" collapsed="false">
      <c r="A51" s="12" t="s">
        <v>160</v>
      </c>
      <c r="B51" s="12" t="s">
        <v>161</v>
      </c>
      <c r="C51" s="12" t="s">
        <v>37</v>
      </c>
      <c r="D51" s="11" t="n">
        <v>35.95</v>
      </c>
      <c r="E51" s="11" t="n">
        <v>72</v>
      </c>
      <c r="F51" s="17" t="n">
        <f aca="false">IFERROR(1-D51/E51,"")</f>
        <v>0.500694444444444</v>
      </c>
      <c r="G51" s="18" t="n">
        <v>20</v>
      </c>
      <c r="H51" s="12" t="s">
        <v>62</v>
      </c>
    </row>
    <row r="52" customFormat="false" ht="15" hidden="false" customHeight="false" outlineLevel="0" collapsed="false">
      <c r="A52" s="10" t="s">
        <v>162</v>
      </c>
      <c r="B52" s="10" t="s">
        <v>163</v>
      </c>
      <c r="C52" s="10" t="s">
        <v>44</v>
      </c>
      <c r="D52" s="9" t="n">
        <v>36.95</v>
      </c>
      <c r="E52" s="9" t="n">
        <v>74</v>
      </c>
      <c r="F52" s="15" t="n">
        <f aca="false">IFERROR(1-D52/E52,"")</f>
        <v>0.500675675675676</v>
      </c>
      <c r="G52" s="16" t="n">
        <v>20</v>
      </c>
      <c r="H52" s="10" t="s">
        <v>62</v>
      </c>
    </row>
    <row r="53" customFormat="false" ht="15" hidden="false" customHeight="false" outlineLevel="0" collapsed="false">
      <c r="A53" s="12" t="s">
        <v>164</v>
      </c>
      <c r="B53" s="12" t="s">
        <v>165</v>
      </c>
      <c r="C53" s="12" t="s">
        <v>41</v>
      </c>
      <c r="D53" s="11" t="n">
        <v>36.95</v>
      </c>
      <c r="E53" s="11" t="n">
        <v>74</v>
      </c>
      <c r="F53" s="17" t="n">
        <f aca="false">IFERROR(1-D53/E53,"")</f>
        <v>0.500675675675676</v>
      </c>
      <c r="G53" s="18" t="n">
        <v>12</v>
      </c>
      <c r="H53" s="12" t="s">
        <v>62</v>
      </c>
    </row>
    <row r="54" customFormat="false" ht="15" hidden="false" customHeight="false" outlineLevel="0" collapsed="false">
      <c r="A54" s="10" t="s">
        <v>166</v>
      </c>
      <c r="B54" s="10" t="s">
        <v>167</v>
      </c>
      <c r="C54" s="10" t="s">
        <v>32</v>
      </c>
      <c r="D54" s="9" t="n">
        <v>37.95</v>
      </c>
      <c r="E54" s="9" t="n">
        <v>76</v>
      </c>
      <c r="F54" s="15" t="n">
        <f aca="false">IFERROR(1-D54/E54,"")</f>
        <v>0.500657894736842</v>
      </c>
      <c r="G54" s="16" t="n">
        <v>10</v>
      </c>
      <c r="H54" s="10" t="s">
        <v>62</v>
      </c>
    </row>
    <row r="55" customFormat="false" ht="15" hidden="false" customHeight="false" outlineLevel="0" collapsed="false">
      <c r="A55" s="12" t="s">
        <v>168</v>
      </c>
      <c r="B55" s="12" t="s">
        <v>169</v>
      </c>
      <c r="C55" s="12" t="s">
        <v>39</v>
      </c>
      <c r="D55" s="11" t="n">
        <v>37.95</v>
      </c>
      <c r="E55" s="11" t="n">
        <v>76</v>
      </c>
      <c r="F55" s="17" t="n">
        <f aca="false">IFERROR(1-D55/E55,"")</f>
        <v>0.500657894736842</v>
      </c>
      <c r="G55" s="18" t="n">
        <v>84</v>
      </c>
      <c r="H55" s="12" t="s">
        <v>62</v>
      </c>
    </row>
    <row r="56" customFormat="false" ht="15" hidden="false" customHeight="false" outlineLevel="0" collapsed="false">
      <c r="A56" s="10" t="s">
        <v>170</v>
      </c>
      <c r="B56" s="10" t="s">
        <v>171</v>
      </c>
      <c r="C56" s="10" t="s">
        <v>37</v>
      </c>
      <c r="D56" s="9" t="n">
        <v>37.95</v>
      </c>
      <c r="E56" s="9" t="n">
        <v>76</v>
      </c>
      <c r="F56" s="15" t="n">
        <f aca="false">IFERROR(1-D56/E56,"")</f>
        <v>0.500657894736842</v>
      </c>
      <c r="G56" s="16" t="n">
        <v>32</v>
      </c>
      <c r="H56" s="10" t="s">
        <v>62</v>
      </c>
    </row>
    <row r="57" customFormat="false" ht="15" hidden="false" customHeight="false" outlineLevel="0" collapsed="false">
      <c r="A57" s="12" t="s">
        <v>172</v>
      </c>
      <c r="B57" s="12" t="s">
        <v>173</v>
      </c>
      <c r="C57" s="12" t="s">
        <v>37</v>
      </c>
      <c r="D57" s="11" t="n">
        <v>37.95</v>
      </c>
      <c r="E57" s="11" t="n">
        <v>76</v>
      </c>
      <c r="F57" s="17" t="n">
        <f aca="false">IFERROR(1-D57/E57,"")</f>
        <v>0.500657894736842</v>
      </c>
      <c r="G57" s="18" t="n">
        <v>52</v>
      </c>
      <c r="H57" s="12" t="s">
        <v>62</v>
      </c>
    </row>
    <row r="58" customFormat="false" ht="15" hidden="false" customHeight="false" outlineLevel="0" collapsed="false">
      <c r="A58" s="10" t="s">
        <v>174</v>
      </c>
      <c r="B58" s="10" t="s">
        <v>175</v>
      </c>
      <c r="C58" s="10" t="s">
        <v>34</v>
      </c>
      <c r="D58" s="9" t="n">
        <v>38.95</v>
      </c>
      <c r="E58" s="9" t="n">
        <v>78</v>
      </c>
      <c r="F58" s="15" t="n">
        <f aca="false">IFERROR(1-D58/E58,"")</f>
        <v>0.500641025641026</v>
      </c>
      <c r="G58" s="16" t="n">
        <v>102</v>
      </c>
      <c r="H58" s="10" t="s">
        <v>62</v>
      </c>
    </row>
    <row r="59" customFormat="false" ht="15" hidden="false" customHeight="false" outlineLevel="0" collapsed="false">
      <c r="A59" s="12" t="s">
        <v>176</v>
      </c>
      <c r="B59" s="12" t="s">
        <v>177</v>
      </c>
      <c r="C59" s="12" t="s">
        <v>39</v>
      </c>
      <c r="D59" s="11" t="n">
        <v>38.95</v>
      </c>
      <c r="E59" s="11" t="n">
        <v>78</v>
      </c>
      <c r="F59" s="17" t="n">
        <f aca="false">IFERROR(1-D59/E59,"")</f>
        <v>0.500641025641026</v>
      </c>
      <c r="G59" s="18" t="n">
        <v>5</v>
      </c>
      <c r="H59" s="12" t="s">
        <v>62</v>
      </c>
    </row>
    <row r="60" customFormat="false" ht="15" hidden="false" customHeight="false" outlineLevel="0" collapsed="false">
      <c r="A60" s="10" t="s">
        <v>178</v>
      </c>
      <c r="B60" s="10" t="s">
        <v>179</v>
      </c>
      <c r="C60" s="10" t="s">
        <v>35</v>
      </c>
      <c r="D60" s="9" t="n">
        <v>38.95</v>
      </c>
      <c r="E60" s="9" t="n">
        <v>78</v>
      </c>
      <c r="F60" s="15" t="n">
        <f aca="false">IFERROR(1-D60/E60,"")</f>
        <v>0.500641025641026</v>
      </c>
      <c r="G60" s="16" t="n">
        <v>18</v>
      </c>
      <c r="H60" s="10" t="s">
        <v>62</v>
      </c>
    </row>
    <row r="61" customFormat="false" ht="15" hidden="false" customHeight="false" outlineLevel="0" collapsed="false">
      <c r="A61" s="12" t="s">
        <v>180</v>
      </c>
      <c r="B61" s="12" t="s">
        <v>181</v>
      </c>
      <c r="C61" s="12" t="s">
        <v>42</v>
      </c>
      <c r="D61" s="11" t="n">
        <v>38.95</v>
      </c>
      <c r="E61" s="11" t="n">
        <v>78</v>
      </c>
      <c r="F61" s="17" t="n">
        <f aca="false">IFERROR(1-D61/E61,"")</f>
        <v>0.500641025641026</v>
      </c>
      <c r="G61" s="18" t="n">
        <v>18</v>
      </c>
      <c r="H61" s="12" t="s">
        <v>62</v>
      </c>
    </row>
    <row r="62" customFormat="false" ht="15" hidden="false" customHeight="false" outlineLevel="0" collapsed="false">
      <c r="A62" s="10" t="s">
        <v>182</v>
      </c>
      <c r="B62" s="10" t="s">
        <v>183</v>
      </c>
      <c r="C62" s="10" t="s">
        <v>36</v>
      </c>
      <c r="D62" s="9" t="n">
        <v>39.95</v>
      </c>
      <c r="E62" s="9" t="n">
        <v>80</v>
      </c>
      <c r="F62" s="15" t="n">
        <f aca="false">IFERROR(1-D62/E62,"")</f>
        <v>0.500625</v>
      </c>
      <c r="G62" s="16" t="n">
        <v>51</v>
      </c>
      <c r="H62" s="10" t="s">
        <v>62</v>
      </c>
    </row>
    <row r="63" customFormat="false" ht="15" hidden="false" customHeight="false" outlineLevel="0" collapsed="false">
      <c r="A63" s="12" t="s">
        <v>184</v>
      </c>
      <c r="B63" s="12" t="s">
        <v>185</v>
      </c>
      <c r="C63" s="12" t="s">
        <v>34</v>
      </c>
      <c r="D63" s="11" t="n">
        <v>39.95</v>
      </c>
      <c r="E63" s="11" t="n">
        <v>80</v>
      </c>
      <c r="F63" s="17" t="n">
        <f aca="false">IFERROR(1-D63/E63,"")</f>
        <v>0.500625</v>
      </c>
      <c r="G63" s="18" t="n">
        <v>51</v>
      </c>
      <c r="H63" s="12" t="s">
        <v>62</v>
      </c>
    </row>
    <row r="64" customFormat="false" ht="15" hidden="false" customHeight="false" outlineLevel="0" collapsed="false">
      <c r="A64" s="10" t="s">
        <v>186</v>
      </c>
      <c r="B64" s="10" t="s">
        <v>187</v>
      </c>
      <c r="C64" s="10" t="s">
        <v>34</v>
      </c>
      <c r="D64" s="9" t="n">
        <v>39.95</v>
      </c>
      <c r="E64" s="9" t="n">
        <v>80</v>
      </c>
      <c r="F64" s="15" t="n">
        <f aca="false">IFERROR(1-D64/E64,"")</f>
        <v>0.500625</v>
      </c>
      <c r="G64" s="16" t="n">
        <v>34</v>
      </c>
      <c r="H64" s="10" t="s">
        <v>62</v>
      </c>
    </row>
    <row r="65" customFormat="false" ht="15" hidden="false" customHeight="false" outlineLevel="0" collapsed="false">
      <c r="A65" s="12" t="s">
        <v>188</v>
      </c>
      <c r="B65" s="12" t="s">
        <v>189</v>
      </c>
      <c r="C65" s="12" t="s">
        <v>34</v>
      </c>
      <c r="D65" s="11" t="n">
        <v>39.95</v>
      </c>
      <c r="E65" s="11" t="n">
        <v>80</v>
      </c>
      <c r="F65" s="17" t="n">
        <f aca="false">IFERROR(1-D65/E65,"")</f>
        <v>0.500625</v>
      </c>
      <c r="G65" s="18" t="n">
        <v>68</v>
      </c>
      <c r="H65" s="12" t="s">
        <v>62</v>
      </c>
    </row>
    <row r="66" customFormat="false" ht="15" hidden="false" customHeight="false" outlineLevel="0" collapsed="false">
      <c r="A66" s="10" t="s">
        <v>190</v>
      </c>
      <c r="B66" s="10" t="s">
        <v>191</v>
      </c>
      <c r="C66" s="10" t="s">
        <v>34</v>
      </c>
      <c r="D66" s="9" t="n">
        <v>39.95</v>
      </c>
      <c r="E66" s="9" t="n">
        <v>80</v>
      </c>
      <c r="F66" s="15" t="n">
        <f aca="false">IFERROR(1-D66/E66,"")</f>
        <v>0.500625</v>
      </c>
      <c r="G66" s="16" t="n">
        <v>102</v>
      </c>
      <c r="H66" s="10" t="s">
        <v>62</v>
      </c>
    </row>
    <row r="67" customFormat="false" ht="15" hidden="false" customHeight="false" outlineLevel="0" collapsed="false">
      <c r="A67" s="12" t="s">
        <v>192</v>
      </c>
      <c r="B67" s="12" t="s">
        <v>193</v>
      </c>
      <c r="C67" s="12" t="s">
        <v>34</v>
      </c>
      <c r="D67" s="11" t="n">
        <v>39.95</v>
      </c>
      <c r="E67" s="11" t="n">
        <v>80</v>
      </c>
      <c r="F67" s="17" t="n">
        <f aca="false">IFERROR(1-D67/E67,"")</f>
        <v>0.500625</v>
      </c>
      <c r="G67" s="18" t="n">
        <v>68</v>
      </c>
      <c r="H67" s="12" t="s">
        <v>62</v>
      </c>
    </row>
    <row r="68" customFormat="false" ht="15" hidden="false" customHeight="false" outlineLevel="0" collapsed="false">
      <c r="A68" s="10" t="s">
        <v>194</v>
      </c>
      <c r="B68" s="10" t="s">
        <v>195</v>
      </c>
      <c r="C68" s="10" t="s">
        <v>34</v>
      </c>
      <c r="D68" s="9" t="n">
        <v>39.95</v>
      </c>
      <c r="E68" s="9" t="n">
        <v>80</v>
      </c>
      <c r="F68" s="15" t="n">
        <f aca="false">IFERROR(1-D68/E68,"")</f>
        <v>0.500625</v>
      </c>
      <c r="G68" s="16" t="n">
        <v>51</v>
      </c>
      <c r="H68" s="10" t="s">
        <v>62</v>
      </c>
    </row>
    <row r="69" customFormat="false" ht="15" hidden="false" customHeight="false" outlineLevel="0" collapsed="false">
      <c r="A69" s="12" t="s">
        <v>196</v>
      </c>
      <c r="B69" s="12" t="s">
        <v>197</v>
      </c>
      <c r="C69" s="12" t="s">
        <v>36</v>
      </c>
      <c r="D69" s="11" t="n">
        <v>39.95</v>
      </c>
      <c r="E69" s="11" t="n">
        <v>80</v>
      </c>
      <c r="F69" s="17" t="n">
        <f aca="false">IFERROR(1-D69/E69,"")</f>
        <v>0.500625</v>
      </c>
      <c r="G69" s="18" t="n">
        <v>51</v>
      </c>
      <c r="H69" s="12" t="s">
        <v>62</v>
      </c>
    </row>
    <row r="70" customFormat="false" ht="15" hidden="false" customHeight="false" outlineLevel="0" collapsed="false">
      <c r="A70" s="10" t="s">
        <v>198</v>
      </c>
      <c r="B70" s="10" t="s">
        <v>199</v>
      </c>
      <c r="C70" s="10" t="s">
        <v>36</v>
      </c>
      <c r="D70" s="9" t="n">
        <v>39.95</v>
      </c>
      <c r="E70" s="9" t="n">
        <v>80</v>
      </c>
      <c r="F70" s="15" t="n">
        <f aca="false">IFERROR(1-D70/E70,"")</f>
        <v>0.500625</v>
      </c>
      <c r="G70" s="16" t="n">
        <v>102</v>
      </c>
      <c r="H70" s="10" t="s">
        <v>62</v>
      </c>
    </row>
    <row r="71" customFormat="false" ht="15" hidden="false" customHeight="false" outlineLevel="0" collapsed="false">
      <c r="A71" s="12" t="s">
        <v>200</v>
      </c>
      <c r="B71" s="12" t="s">
        <v>201</v>
      </c>
      <c r="C71" s="12" t="s">
        <v>36</v>
      </c>
      <c r="D71" s="11" t="n">
        <v>39.95</v>
      </c>
      <c r="E71" s="11" t="n">
        <v>80</v>
      </c>
      <c r="F71" s="17" t="n">
        <f aca="false">IFERROR(1-D71/E71,"")</f>
        <v>0.500625</v>
      </c>
      <c r="G71" s="18" t="n">
        <v>85</v>
      </c>
      <c r="H71" s="12" t="s">
        <v>62</v>
      </c>
    </row>
    <row r="72" customFormat="false" ht="15" hidden="false" customHeight="false" outlineLevel="0" collapsed="false">
      <c r="A72" s="10" t="s">
        <v>202</v>
      </c>
      <c r="B72" s="10" t="s">
        <v>203</v>
      </c>
      <c r="C72" s="10" t="s">
        <v>32</v>
      </c>
      <c r="D72" s="9" t="n">
        <v>39.95</v>
      </c>
      <c r="E72" s="9" t="n">
        <v>80</v>
      </c>
      <c r="F72" s="15" t="n">
        <f aca="false">IFERROR(1-D72/E72,"")</f>
        <v>0.500625</v>
      </c>
      <c r="G72" s="16" t="n">
        <v>3</v>
      </c>
      <c r="H72" s="10" t="s">
        <v>62</v>
      </c>
    </row>
    <row r="73" customFormat="false" ht="15" hidden="false" customHeight="false" outlineLevel="0" collapsed="false">
      <c r="A73" s="12" t="s">
        <v>204</v>
      </c>
      <c r="B73" s="12" t="s">
        <v>205</v>
      </c>
      <c r="C73" s="12" t="s">
        <v>37</v>
      </c>
      <c r="D73" s="11" t="n">
        <v>39.95</v>
      </c>
      <c r="E73" s="11" t="n">
        <v>80</v>
      </c>
      <c r="F73" s="17" t="n">
        <f aca="false">IFERROR(1-D73/E73,"")</f>
        <v>0.500625</v>
      </c>
      <c r="G73" s="18" t="n">
        <v>40</v>
      </c>
      <c r="H73" s="12" t="s">
        <v>62</v>
      </c>
    </row>
    <row r="74" customFormat="false" ht="15" hidden="false" customHeight="false" outlineLevel="0" collapsed="false">
      <c r="A74" s="10" t="s">
        <v>206</v>
      </c>
      <c r="B74" s="10" t="s">
        <v>207</v>
      </c>
      <c r="C74" s="10" t="s">
        <v>47</v>
      </c>
      <c r="D74" s="9" t="n">
        <v>39.95</v>
      </c>
      <c r="E74" s="9" t="n">
        <v>80</v>
      </c>
      <c r="F74" s="15" t="n">
        <f aca="false">IFERROR(1-D74/E74,"")</f>
        <v>0.500625</v>
      </c>
      <c r="G74" s="16" t="n">
        <v>9</v>
      </c>
      <c r="H74" s="10" t="s">
        <v>62</v>
      </c>
    </row>
    <row r="75" customFormat="false" ht="15" hidden="false" customHeight="false" outlineLevel="0" collapsed="false">
      <c r="A75" s="12" t="s">
        <v>208</v>
      </c>
      <c r="B75" s="12" t="s">
        <v>209</v>
      </c>
      <c r="C75" s="12" t="s">
        <v>38</v>
      </c>
      <c r="D75" s="11" t="n">
        <v>39.95</v>
      </c>
      <c r="E75" s="11" t="n">
        <v>80</v>
      </c>
      <c r="F75" s="17" t="n">
        <f aca="false">IFERROR(1-D75/E75,"")</f>
        <v>0.500625</v>
      </c>
      <c r="G75" s="18" t="n">
        <v>36</v>
      </c>
      <c r="H75" s="12" t="s">
        <v>62</v>
      </c>
    </row>
    <row r="76" customFormat="false" ht="15" hidden="false" customHeight="false" outlineLevel="0" collapsed="false">
      <c r="A76" s="10" t="s">
        <v>210</v>
      </c>
      <c r="B76" s="10" t="s">
        <v>211</v>
      </c>
      <c r="C76" s="10" t="s">
        <v>44</v>
      </c>
      <c r="D76" s="9" t="n">
        <v>39.95</v>
      </c>
      <c r="E76" s="9" t="n">
        <v>80</v>
      </c>
      <c r="F76" s="15" t="n">
        <f aca="false">IFERROR(1-D76/E76,"")</f>
        <v>0.500625</v>
      </c>
      <c r="G76" s="16" t="n">
        <v>20</v>
      </c>
      <c r="H76" s="10" t="s">
        <v>62</v>
      </c>
    </row>
    <row r="77" customFormat="false" ht="15" hidden="false" customHeight="false" outlineLevel="0" collapsed="false">
      <c r="A77" s="12" t="s">
        <v>212</v>
      </c>
      <c r="B77" s="12" t="s">
        <v>213</v>
      </c>
      <c r="C77" s="12" t="s">
        <v>44</v>
      </c>
      <c r="D77" s="11" t="n">
        <v>39.95</v>
      </c>
      <c r="E77" s="11" t="n">
        <v>80</v>
      </c>
      <c r="F77" s="17" t="n">
        <f aca="false">IFERROR(1-D77/E77,"")</f>
        <v>0.500625</v>
      </c>
      <c r="G77" s="18" t="n">
        <v>12</v>
      </c>
      <c r="H77" s="12" t="s">
        <v>62</v>
      </c>
    </row>
    <row r="78" customFormat="false" ht="15" hidden="false" customHeight="false" outlineLevel="0" collapsed="false">
      <c r="A78" s="10" t="s">
        <v>214</v>
      </c>
      <c r="B78" s="10" t="s">
        <v>215</v>
      </c>
      <c r="C78" s="10" t="s">
        <v>44</v>
      </c>
      <c r="D78" s="9" t="n">
        <v>39.95</v>
      </c>
      <c r="E78" s="9" t="n">
        <v>80</v>
      </c>
      <c r="F78" s="15" t="n">
        <f aca="false">IFERROR(1-D78/E78,"")</f>
        <v>0.500625</v>
      </c>
      <c r="G78" s="16" t="n">
        <v>5</v>
      </c>
      <c r="H78" s="10" t="s">
        <v>62</v>
      </c>
    </row>
    <row r="79" customFormat="false" ht="15" hidden="false" customHeight="false" outlineLevel="0" collapsed="false">
      <c r="A79" s="12" t="s">
        <v>216</v>
      </c>
      <c r="B79" s="12" t="s">
        <v>217</v>
      </c>
      <c r="C79" s="12" t="s">
        <v>32</v>
      </c>
      <c r="D79" s="11" t="n">
        <v>39.95</v>
      </c>
      <c r="E79" s="11" t="n">
        <v>80</v>
      </c>
      <c r="F79" s="17" t="n">
        <f aca="false">IFERROR(1-D79/E79,"")</f>
        <v>0.500625</v>
      </c>
      <c r="G79" s="18" t="n">
        <v>18</v>
      </c>
      <c r="H79" s="12" t="s">
        <v>62</v>
      </c>
    </row>
    <row r="80" customFormat="false" ht="15" hidden="false" customHeight="false" outlineLevel="0" collapsed="false">
      <c r="A80" s="10" t="s">
        <v>218</v>
      </c>
      <c r="B80" s="10" t="s">
        <v>219</v>
      </c>
      <c r="C80" s="10" t="s">
        <v>44</v>
      </c>
      <c r="D80" s="9" t="n">
        <v>39.95</v>
      </c>
      <c r="E80" s="9" t="n">
        <v>80</v>
      </c>
      <c r="F80" s="15" t="n">
        <f aca="false">IFERROR(1-D80/E80,"")</f>
        <v>0.500625</v>
      </c>
      <c r="G80" s="16" t="n">
        <v>20</v>
      </c>
      <c r="H80" s="10" t="s">
        <v>62</v>
      </c>
    </row>
    <row r="81" customFormat="false" ht="15" hidden="false" customHeight="false" outlineLevel="0" collapsed="false">
      <c r="A81" s="12" t="s">
        <v>220</v>
      </c>
      <c r="B81" s="12" t="s">
        <v>221</v>
      </c>
      <c r="C81" s="12" t="s">
        <v>33</v>
      </c>
      <c r="D81" s="11" t="n">
        <v>39.95</v>
      </c>
      <c r="E81" s="11" t="n">
        <v>80</v>
      </c>
      <c r="F81" s="17" t="n">
        <f aca="false">IFERROR(1-D81/E81,"")</f>
        <v>0.500625</v>
      </c>
      <c r="G81" s="18" t="n">
        <v>6</v>
      </c>
      <c r="H81" s="12" t="s">
        <v>62</v>
      </c>
    </row>
    <row r="82" customFormat="false" ht="15" hidden="false" customHeight="false" outlineLevel="0" collapsed="false">
      <c r="A82" s="10" t="s">
        <v>222</v>
      </c>
      <c r="B82" s="10" t="s">
        <v>223</v>
      </c>
      <c r="C82" s="10" t="s">
        <v>33</v>
      </c>
      <c r="D82" s="9" t="n">
        <v>39.95</v>
      </c>
      <c r="E82" s="9" t="n">
        <v>80</v>
      </c>
      <c r="F82" s="15" t="n">
        <f aca="false">IFERROR(1-D82/E82,"")</f>
        <v>0.500625</v>
      </c>
      <c r="G82" s="16" t="n">
        <v>4</v>
      </c>
      <c r="H82" s="10" t="s">
        <v>62</v>
      </c>
    </row>
    <row r="83" customFormat="false" ht="15" hidden="false" customHeight="false" outlineLevel="0" collapsed="false">
      <c r="A83" s="12" t="s">
        <v>224</v>
      </c>
      <c r="B83" s="12" t="s">
        <v>225</v>
      </c>
      <c r="C83" s="12" t="s">
        <v>33</v>
      </c>
      <c r="D83" s="11" t="n">
        <v>39.95</v>
      </c>
      <c r="E83" s="11" t="n">
        <v>80</v>
      </c>
      <c r="F83" s="17" t="n">
        <f aca="false">IFERROR(1-D83/E83,"")</f>
        <v>0.500625</v>
      </c>
      <c r="G83" s="18" t="n">
        <v>4</v>
      </c>
      <c r="H83" s="12" t="s">
        <v>62</v>
      </c>
    </row>
    <row r="84" customFormat="false" ht="15" hidden="false" customHeight="false" outlineLevel="0" collapsed="false">
      <c r="A84" s="10" t="s">
        <v>226</v>
      </c>
      <c r="B84" s="10" t="s">
        <v>227</v>
      </c>
      <c r="C84" s="10" t="s">
        <v>33</v>
      </c>
      <c r="D84" s="9" t="n">
        <v>39.95</v>
      </c>
      <c r="E84" s="9" t="n">
        <v>80</v>
      </c>
      <c r="F84" s="15" t="n">
        <f aca="false">IFERROR(1-D84/E84,"")</f>
        <v>0.500625</v>
      </c>
      <c r="G84" s="16" t="n">
        <v>24</v>
      </c>
      <c r="H84" s="10" t="s">
        <v>62</v>
      </c>
    </row>
    <row r="85" customFormat="false" ht="15" hidden="false" customHeight="false" outlineLevel="0" collapsed="false">
      <c r="A85" s="12" t="s">
        <v>228</v>
      </c>
      <c r="B85" s="12" t="s">
        <v>229</v>
      </c>
      <c r="C85" s="12" t="s">
        <v>41</v>
      </c>
      <c r="D85" s="11" t="n">
        <v>39.95</v>
      </c>
      <c r="E85" s="11" t="n">
        <v>80</v>
      </c>
      <c r="F85" s="17" t="n">
        <f aca="false">IFERROR(1-D85/E85,"")</f>
        <v>0.500625</v>
      </c>
      <c r="G85" s="18" t="n">
        <v>6</v>
      </c>
      <c r="H85" s="12" t="s">
        <v>62</v>
      </c>
    </row>
    <row r="86" customFormat="false" ht="15" hidden="false" customHeight="false" outlineLevel="0" collapsed="false">
      <c r="A86" s="10" t="s">
        <v>230</v>
      </c>
      <c r="B86" s="10" t="s">
        <v>231</v>
      </c>
      <c r="C86" s="10" t="s">
        <v>41</v>
      </c>
      <c r="D86" s="9" t="n">
        <v>39.95</v>
      </c>
      <c r="E86" s="9" t="n">
        <v>80</v>
      </c>
      <c r="F86" s="15" t="n">
        <f aca="false">IFERROR(1-D86/E86,"")</f>
        <v>0.500625</v>
      </c>
      <c r="G86" s="16" t="n">
        <v>40</v>
      </c>
      <c r="H86" s="10" t="s">
        <v>62</v>
      </c>
    </row>
    <row r="87" customFormat="false" ht="15" hidden="false" customHeight="false" outlineLevel="0" collapsed="false">
      <c r="A87" s="12" t="s">
        <v>232</v>
      </c>
      <c r="B87" s="12" t="s">
        <v>233</v>
      </c>
      <c r="C87" s="12" t="s">
        <v>40</v>
      </c>
      <c r="D87" s="11" t="n">
        <v>39.95</v>
      </c>
      <c r="E87" s="11" t="n">
        <v>80</v>
      </c>
      <c r="F87" s="17" t="n">
        <f aca="false">IFERROR(1-D87/E87,"")</f>
        <v>0.500625</v>
      </c>
      <c r="G87" s="18" t="n">
        <v>12</v>
      </c>
      <c r="H87" s="12" t="s">
        <v>62</v>
      </c>
    </row>
    <row r="88" customFormat="false" ht="15" hidden="false" customHeight="false" outlineLevel="0" collapsed="false">
      <c r="A88" s="10" t="s">
        <v>234</v>
      </c>
      <c r="B88" s="10" t="s">
        <v>235</v>
      </c>
      <c r="C88" s="10" t="s">
        <v>40</v>
      </c>
      <c r="D88" s="9" t="n">
        <v>39.95</v>
      </c>
      <c r="E88" s="9" t="n">
        <v>60</v>
      </c>
      <c r="F88" s="15" t="n">
        <f aca="false">IFERROR(1-D88/E88,"")</f>
        <v>0.334166666666667</v>
      </c>
      <c r="G88" s="16" t="n">
        <v>5</v>
      </c>
      <c r="H88" s="10" t="s">
        <v>62</v>
      </c>
    </row>
    <row r="89" customFormat="false" ht="15" hidden="false" customHeight="false" outlineLevel="0" collapsed="false">
      <c r="A89" s="12" t="s">
        <v>236</v>
      </c>
      <c r="B89" s="12" t="s">
        <v>237</v>
      </c>
      <c r="C89" s="12" t="s">
        <v>38</v>
      </c>
      <c r="D89" s="11" t="n">
        <v>39.95</v>
      </c>
      <c r="E89" s="11" t="n">
        <v>80</v>
      </c>
      <c r="F89" s="17" t="n">
        <f aca="false">IFERROR(1-D89/E89,"")</f>
        <v>0.500625</v>
      </c>
      <c r="G89" s="18" t="n">
        <v>30</v>
      </c>
      <c r="H89" s="12" t="s">
        <v>62</v>
      </c>
    </row>
    <row r="90" customFormat="false" ht="15" hidden="false" customHeight="false" outlineLevel="0" collapsed="false">
      <c r="A90" s="10" t="s">
        <v>238</v>
      </c>
      <c r="B90" s="10" t="s">
        <v>239</v>
      </c>
      <c r="C90" s="10" t="s">
        <v>38</v>
      </c>
      <c r="D90" s="9" t="n">
        <v>39.95</v>
      </c>
      <c r="E90" s="9" t="n">
        <v>80</v>
      </c>
      <c r="F90" s="15" t="n">
        <f aca="false">IFERROR(1-D90/E90,"")</f>
        <v>0.500625</v>
      </c>
      <c r="G90" s="16" t="n">
        <v>49</v>
      </c>
      <c r="H90" s="10" t="s">
        <v>62</v>
      </c>
    </row>
    <row r="91" customFormat="false" ht="15" hidden="false" customHeight="false" outlineLevel="0" collapsed="false">
      <c r="A91" s="12" t="s">
        <v>240</v>
      </c>
      <c r="B91" s="12" t="s">
        <v>241</v>
      </c>
      <c r="C91" s="12" t="s">
        <v>38</v>
      </c>
      <c r="D91" s="11" t="n">
        <v>39.95</v>
      </c>
      <c r="E91" s="11" t="n">
        <v>80</v>
      </c>
      <c r="F91" s="17" t="n">
        <f aca="false">IFERROR(1-D91/E91,"")</f>
        <v>0.500625</v>
      </c>
      <c r="G91" s="18" t="n">
        <v>25</v>
      </c>
      <c r="H91" s="12" t="s">
        <v>62</v>
      </c>
    </row>
    <row r="92" customFormat="false" ht="15" hidden="false" customHeight="false" outlineLevel="0" collapsed="false">
      <c r="A92" s="10" t="s">
        <v>242</v>
      </c>
      <c r="B92" s="10" t="s">
        <v>243</v>
      </c>
      <c r="C92" s="10" t="s">
        <v>37</v>
      </c>
      <c r="D92" s="9" t="n">
        <v>39.95</v>
      </c>
      <c r="E92" s="9" t="n">
        <v>80</v>
      </c>
      <c r="F92" s="15" t="n">
        <f aca="false">IFERROR(1-D92/E92,"")</f>
        <v>0.500625</v>
      </c>
      <c r="G92" s="16" t="n">
        <v>54</v>
      </c>
      <c r="H92" s="10" t="s">
        <v>62</v>
      </c>
    </row>
    <row r="93" customFormat="false" ht="15" hidden="false" customHeight="false" outlineLevel="0" collapsed="false">
      <c r="A93" s="12" t="s">
        <v>244</v>
      </c>
      <c r="B93" s="12" t="s">
        <v>245</v>
      </c>
      <c r="C93" s="12" t="s">
        <v>37</v>
      </c>
      <c r="D93" s="11" t="n">
        <v>39.95</v>
      </c>
      <c r="E93" s="11" t="n">
        <v>80</v>
      </c>
      <c r="F93" s="17" t="n">
        <f aca="false">IFERROR(1-D93/E93,"")</f>
        <v>0.500625</v>
      </c>
      <c r="G93" s="18" t="n">
        <v>88</v>
      </c>
      <c r="H93" s="12" t="s">
        <v>62</v>
      </c>
    </row>
    <row r="94" customFormat="false" ht="15" hidden="false" customHeight="false" outlineLevel="0" collapsed="false">
      <c r="A94" s="10" t="s">
        <v>246</v>
      </c>
      <c r="B94" s="10" t="s">
        <v>247</v>
      </c>
      <c r="C94" s="10" t="s">
        <v>32</v>
      </c>
      <c r="D94" s="9" t="n">
        <v>39.95</v>
      </c>
      <c r="E94" s="9" t="n">
        <v>80</v>
      </c>
      <c r="F94" s="15" t="n">
        <f aca="false">IFERROR(1-D94/E94,"")</f>
        <v>0.500625</v>
      </c>
      <c r="G94" s="16" t="n">
        <v>50</v>
      </c>
      <c r="H94" s="10" t="s">
        <v>62</v>
      </c>
    </row>
    <row r="95" customFormat="false" ht="15" hidden="false" customHeight="false" outlineLevel="0" collapsed="false">
      <c r="A95" s="12" t="s">
        <v>248</v>
      </c>
      <c r="B95" s="12" t="s">
        <v>249</v>
      </c>
      <c r="C95" s="12" t="s">
        <v>35</v>
      </c>
      <c r="D95" s="11" t="n">
        <v>39.95</v>
      </c>
      <c r="E95" s="11" t="n">
        <v>80</v>
      </c>
      <c r="F95" s="17" t="n">
        <f aca="false">IFERROR(1-D95/E95,"")</f>
        <v>0.500625</v>
      </c>
      <c r="G95" s="18" t="n">
        <v>8</v>
      </c>
      <c r="H95" s="12" t="s">
        <v>62</v>
      </c>
    </row>
    <row r="96" customFormat="false" ht="15" hidden="false" customHeight="false" outlineLevel="0" collapsed="false">
      <c r="A96" s="10" t="s">
        <v>250</v>
      </c>
      <c r="B96" s="10" t="s">
        <v>251</v>
      </c>
      <c r="C96" s="10" t="s">
        <v>35</v>
      </c>
      <c r="D96" s="9" t="n">
        <v>39.95</v>
      </c>
      <c r="E96" s="9" t="n">
        <v>80</v>
      </c>
      <c r="F96" s="15" t="n">
        <f aca="false">IFERROR(1-D96/E96,"")</f>
        <v>0.500625</v>
      </c>
      <c r="G96" s="16" t="n">
        <v>48</v>
      </c>
      <c r="H96" s="10" t="s">
        <v>62</v>
      </c>
    </row>
    <row r="97" customFormat="false" ht="15" hidden="false" customHeight="false" outlineLevel="0" collapsed="false">
      <c r="A97" s="12" t="s">
        <v>252</v>
      </c>
      <c r="B97" s="12" t="s">
        <v>253</v>
      </c>
      <c r="C97" s="12" t="s">
        <v>38</v>
      </c>
      <c r="D97" s="11" t="n">
        <v>39.95</v>
      </c>
      <c r="E97" s="11" t="n">
        <v>80</v>
      </c>
      <c r="F97" s="17" t="n">
        <f aca="false">IFERROR(1-D97/E97,"")</f>
        <v>0.500625</v>
      </c>
      <c r="G97" s="18" t="n">
        <v>36</v>
      </c>
      <c r="H97" s="12" t="s">
        <v>62</v>
      </c>
    </row>
    <row r="98" customFormat="false" ht="15" hidden="false" customHeight="false" outlineLevel="0" collapsed="false">
      <c r="A98" s="10" t="s">
        <v>254</v>
      </c>
      <c r="B98" s="10" t="s">
        <v>255</v>
      </c>
      <c r="C98" s="10" t="s">
        <v>32</v>
      </c>
      <c r="D98" s="9" t="n">
        <v>39.95</v>
      </c>
      <c r="E98" s="9" t="n">
        <v>80</v>
      </c>
      <c r="F98" s="15" t="n">
        <f aca="false">IFERROR(1-D98/E98,"")</f>
        <v>0.500625</v>
      </c>
      <c r="G98" s="16" t="n">
        <v>4</v>
      </c>
      <c r="H98" s="10" t="s">
        <v>62</v>
      </c>
    </row>
    <row r="99" customFormat="false" ht="15" hidden="false" customHeight="false" outlineLevel="0" collapsed="false">
      <c r="A99" s="12" t="s">
        <v>256</v>
      </c>
      <c r="B99" s="12" t="s">
        <v>257</v>
      </c>
      <c r="C99" s="12" t="s">
        <v>37</v>
      </c>
      <c r="D99" s="11" t="n">
        <v>39.95</v>
      </c>
      <c r="E99" s="11" t="n">
        <v>80</v>
      </c>
      <c r="F99" s="17" t="n">
        <f aca="false">IFERROR(1-D99/E99,"")</f>
        <v>0.500625</v>
      </c>
      <c r="G99" s="18" t="n">
        <v>35</v>
      </c>
      <c r="H99" s="12" t="s">
        <v>62</v>
      </c>
    </row>
    <row r="100" customFormat="false" ht="15" hidden="false" customHeight="false" outlineLevel="0" collapsed="false">
      <c r="A100" s="10" t="s">
        <v>258</v>
      </c>
      <c r="B100" s="10" t="s">
        <v>259</v>
      </c>
      <c r="C100" s="10" t="s">
        <v>37</v>
      </c>
      <c r="D100" s="9" t="n">
        <v>39.95</v>
      </c>
      <c r="E100" s="9" t="n">
        <v>80</v>
      </c>
      <c r="F100" s="15" t="n">
        <f aca="false">IFERROR(1-D100/E100,"")</f>
        <v>0.500625</v>
      </c>
      <c r="G100" s="16" t="n">
        <v>24</v>
      </c>
      <c r="H100" s="10" t="s">
        <v>62</v>
      </c>
    </row>
    <row r="101" customFormat="false" ht="15" hidden="false" customHeight="false" outlineLevel="0" collapsed="false">
      <c r="A101" s="12" t="s">
        <v>260</v>
      </c>
      <c r="B101" s="12" t="s">
        <v>261</v>
      </c>
      <c r="C101" s="12" t="s">
        <v>39</v>
      </c>
      <c r="D101" s="11" t="n">
        <v>39.95</v>
      </c>
      <c r="E101" s="11" t="n">
        <v>80</v>
      </c>
      <c r="F101" s="17" t="n">
        <f aca="false">IFERROR(1-D101/E101,"")</f>
        <v>0.500625</v>
      </c>
      <c r="G101" s="18" t="n">
        <v>30</v>
      </c>
      <c r="H101" s="12" t="s">
        <v>62</v>
      </c>
    </row>
    <row r="102" customFormat="false" ht="15" hidden="false" customHeight="false" outlineLevel="0" collapsed="false">
      <c r="A102" s="10" t="s">
        <v>262</v>
      </c>
      <c r="B102" s="10" t="s">
        <v>263</v>
      </c>
      <c r="C102" s="10" t="s">
        <v>39</v>
      </c>
      <c r="D102" s="9" t="n">
        <v>39.95</v>
      </c>
      <c r="E102" s="9" t="n">
        <v>80</v>
      </c>
      <c r="F102" s="15" t="n">
        <f aca="false">IFERROR(1-D102/E102,"")</f>
        <v>0.500625</v>
      </c>
      <c r="G102" s="16" t="n">
        <v>15</v>
      </c>
      <c r="H102" s="10" t="s">
        <v>62</v>
      </c>
    </row>
    <row r="103" customFormat="false" ht="15" hidden="false" customHeight="false" outlineLevel="0" collapsed="false">
      <c r="A103" s="12" t="s">
        <v>264</v>
      </c>
      <c r="B103" s="12" t="s">
        <v>265</v>
      </c>
      <c r="C103" s="12" t="s">
        <v>32</v>
      </c>
      <c r="D103" s="11" t="n">
        <v>39.95</v>
      </c>
      <c r="E103" s="11" t="n">
        <v>80</v>
      </c>
      <c r="F103" s="17" t="n">
        <f aca="false">IFERROR(1-D103/E103,"")</f>
        <v>0.500625</v>
      </c>
      <c r="G103" s="18" t="n">
        <v>5</v>
      </c>
      <c r="H103" s="12" t="s">
        <v>62</v>
      </c>
    </row>
    <row r="104" customFormat="false" ht="15" hidden="false" customHeight="false" outlineLevel="0" collapsed="false">
      <c r="A104" s="10" t="s">
        <v>266</v>
      </c>
      <c r="B104" s="10" t="s">
        <v>267</v>
      </c>
      <c r="C104" s="10" t="s">
        <v>32</v>
      </c>
      <c r="D104" s="9" t="n">
        <v>39.95</v>
      </c>
      <c r="E104" s="9" t="n">
        <v>80</v>
      </c>
      <c r="F104" s="15" t="n">
        <f aca="false">IFERROR(1-D104/E104,"")</f>
        <v>0.500625</v>
      </c>
      <c r="G104" s="16" t="n">
        <v>6</v>
      </c>
      <c r="H104" s="10" t="s">
        <v>62</v>
      </c>
    </row>
    <row r="105" customFormat="false" ht="15" hidden="false" customHeight="false" outlineLevel="0" collapsed="false">
      <c r="A105" s="12" t="s">
        <v>268</v>
      </c>
      <c r="B105" s="12" t="s">
        <v>269</v>
      </c>
      <c r="C105" s="12" t="s">
        <v>35</v>
      </c>
      <c r="D105" s="11" t="n">
        <v>39.95</v>
      </c>
      <c r="E105" s="11" t="n">
        <v>80</v>
      </c>
      <c r="F105" s="17" t="n">
        <f aca="false">IFERROR(1-D105/E105,"")</f>
        <v>0.500625</v>
      </c>
      <c r="G105" s="18" t="n">
        <v>48</v>
      </c>
      <c r="H105" s="12" t="s">
        <v>62</v>
      </c>
    </row>
    <row r="106" customFormat="false" ht="15" hidden="false" customHeight="false" outlineLevel="0" collapsed="false">
      <c r="A106" s="10" t="s">
        <v>270</v>
      </c>
      <c r="B106" s="10" t="s">
        <v>271</v>
      </c>
      <c r="C106" s="10" t="s">
        <v>35</v>
      </c>
      <c r="D106" s="9" t="n">
        <v>39.95</v>
      </c>
      <c r="E106" s="9" t="n">
        <v>80</v>
      </c>
      <c r="F106" s="15" t="n">
        <f aca="false">IFERROR(1-D106/E106,"")</f>
        <v>0.500625</v>
      </c>
      <c r="G106" s="16" t="n">
        <v>12</v>
      </c>
      <c r="H106" s="10" t="s">
        <v>62</v>
      </c>
    </row>
    <row r="107" customFormat="false" ht="15" hidden="false" customHeight="false" outlineLevel="0" collapsed="false">
      <c r="A107" s="12" t="s">
        <v>272</v>
      </c>
      <c r="B107" s="12" t="s">
        <v>273</v>
      </c>
      <c r="C107" s="12" t="s">
        <v>35</v>
      </c>
      <c r="D107" s="11" t="n">
        <v>39.95</v>
      </c>
      <c r="E107" s="11" t="n">
        <v>80</v>
      </c>
      <c r="F107" s="17" t="n">
        <f aca="false">IFERROR(1-D107/E107,"")</f>
        <v>0.500625</v>
      </c>
      <c r="G107" s="18" t="n">
        <v>4</v>
      </c>
      <c r="H107" s="12" t="s">
        <v>62</v>
      </c>
    </row>
    <row r="108" customFormat="false" ht="15" hidden="false" customHeight="false" outlineLevel="0" collapsed="false">
      <c r="A108" s="10" t="s">
        <v>274</v>
      </c>
      <c r="B108" s="10" t="s">
        <v>275</v>
      </c>
      <c r="C108" s="10" t="s">
        <v>35</v>
      </c>
      <c r="D108" s="9" t="n">
        <v>39.95</v>
      </c>
      <c r="E108" s="9" t="n">
        <v>80</v>
      </c>
      <c r="F108" s="15" t="n">
        <f aca="false">IFERROR(1-D108/E108,"")</f>
        <v>0.500625</v>
      </c>
      <c r="G108" s="16" t="n">
        <v>49</v>
      </c>
      <c r="H108" s="10" t="s">
        <v>62</v>
      </c>
    </row>
    <row r="109" customFormat="false" ht="15" hidden="false" customHeight="false" outlineLevel="0" collapsed="false">
      <c r="A109" s="12" t="s">
        <v>276</v>
      </c>
      <c r="B109" s="12" t="s">
        <v>277</v>
      </c>
      <c r="C109" s="12" t="s">
        <v>35</v>
      </c>
      <c r="D109" s="11" t="n">
        <v>39.95</v>
      </c>
      <c r="E109" s="11" t="n">
        <v>80</v>
      </c>
      <c r="F109" s="17" t="n">
        <f aca="false">IFERROR(1-D109/E109,"")</f>
        <v>0.500625</v>
      </c>
      <c r="G109" s="18" t="n">
        <v>24</v>
      </c>
      <c r="H109" s="12" t="s">
        <v>62</v>
      </c>
    </row>
    <row r="110" customFormat="false" ht="15" hidden="false" customHeight="false" outlineLevel="0" collapsed="false">
      <c r="A110" s="10" t="s">
        <v>278</v>
      </c>
      <c r="B110" s="10" t="s">
        <v>279</v>
      </c>
      <c r="C110" s="10" t="s">
        <v>33</v>
      </c>
      <c r="D110" s="9" t="n">
        <v>39.95</v>
      </c>
      <c r="E110" s="9" t="n">
        <v>80</v>
      </c>
      <c r="F110" s="15" t="n">
        <f aca="false">IFERROR(1-D110/E110,"")</f>
        <v>0.500625</v>
      </c>
      <c r="G110" s="16" t="n">
        <v>35</v>
      </c>
      <c r="H110" s="10" t="s">
        <v>62</v>
      </c>
    </row>
    <row r="111" customFormat="false" ht="15" hidden="false" customHeight="false" outlineLevel="0" collapsed="false">
      <c r="A111" s="12" t="s">
        <v>280</v>
      </c>
      <c r="B111" s="12" t="s">
        <v>281</v>
      </c>
      <c r="C111" s="12" t="s">
        <v>33</v>
      </c>
      <c r="D111" s="11" t="n">
        <v>39.95</v>
      </c>
      <c r="E111" s="11" t="n">
        <v>80</v>
      </c>
      <c r="F111" s="17" t="n">
        <f aca="false">IFERROR(1-D111/E111,"")</f>
        <v>0.500625</v>
      </c>
      <c r="G111" s="18" t="n">
        <v>30</v>
      </c>
      <c r="H111" s="12" t="s">
        <v>62</v>
      </c>
    </row>
    <row r="112" customFormat="false" ht="15" hidden="false" customHeight="false" outlineLevel="0" collapsed="false">
      <c r="A112" s="10" t="s">
        <v>282</v>
      </c>
      <c r="B112" s="10" t="s">
        <v>283</v>
      </c>
      <c r="C112" s="10" t="s">
        <v>33</v>
      </c>
      <c r="D112" s="9" t="n">
        <v>39.95</v>
      </c>
      <c r="E112" s="9" t="n">
        <v>80</v>
      </c>
      <c r="F112" s="15" t="n">
        <f aca="false">IFERROR(1-D112/E112,"")</f>
        <v>0.500625</v>
      </c>
      <c r="G112" s="16" t="n">
        <v>36</v>
      </c>
      <c r="H112" s="10" t="s">
        <v>62</v>
      </c>
    </row>
    <row r="113" customFormat="false" ht="15" hidden="false" customHeight="false" outlineLevel="0" collapsed="false">
      <c r="A113" s="12" t="s">
        <v>284</v>
      </c>
      <c r="B113" s="12" t="s">
        <v>285</v>
      </c>
      <c r="C113" s="12" t="s">
        <v>33</v>
      </c>
      <c r="D113" s="11" t="n">
        <v>39.95</v>
      </c>
      <c r="E113" s="11" t="n">
        <v>80</v>
      </c>
      <c r="F113" s="17" t="n">
        <f aca="false">IFERROR(1-D113/E113,"")</f>
        <v>0.500625</v>
      </c>
      <c r="G113" s="18" t="n">
        <v>32</v>
      </c>
      <c r="H113" s="12" t="s">
        <v>62</v>
      </c>
    </row>
    <row r="114" customFormat="false" ht="15" hidden="false" customHeight="false" outlineLevel="0" collapsed="false">
      <c r="A114" s="10" t="s">
        <v>286</v>
      </c>
      <c r="B114" s="10" t="s">
        <v>287</v>
      </c>
      <c r="C114" s="10" t="s">
        <v>33</v>
      </c>
      <c r="D114" s="9" t="n">
        <v>39.95</v>
      </c>
      <c r="E114" s="9" t="n">
        <v>80</v>
      </c>
      <c r="F114" s="15" t="n">
        <f aca="false">IFERROR(1-D114/E114,"")</f>
        <v>0.500625</v>
      </c>
      <c r="G114" s="16" t="n">
        <v>45</v>
      </c>
      <c r="H114" s="10" t="s">
        <v>62</v>
      </c>
    </row>
    <row r="115" customFormat="false" ht="15" hidden="false" customHeight="false" outlineLevel="0" collapsed="false">
      <c r="A115" s="12" t="s">
        <v>288</v>
      </c>
      <c r="B115" s="12" t="s">
        <v>289</v>
      </c>
      <c r="C115" s="12" t="s">
        <v>43</v>
      </c>
      <c r="D115" s="11" t="n">
        <v>39.95</v>
      </c>
      <c r="E115" s="11" t="n">
        <v>80</v>
      </c>
      <c r="F115" s="17" t="n">
        <f aca="false">IFERROR(1-D115/E115,"")</f>
        <v>0.500625</v>
      </c>
      <c r="G115" s="18" t="n">
        <v>3</v>
      </c>
      <c r="H115" s="12" t="s">
        <v>62</v>
      </c>
    </row>
    <row r="116" customFormat="false" ht="15" hidden="false" customHeight="false" outlineLevel="0" collapsed="false">
      <c r="A116" s="10" t="s">
        <v>290</v>
      </c>
      <c r="B116" s="10" t="s">
        <v>291</v>
      </c>
      <c r="C116" s="10" t="s">
        <v>32</v>
      </c>
      <c r="D116" s="9" t="n">
        <v>39.95</v>
      </c>
      <c r="E116" s="9" t="n">
        <v>80</v>
      </c>
      <c r="F116" s="15" t="n">
        <f aca="false">IFERROR(1-D116/E116,"")</f>
        <v>0.500625</v>
      </c>
      <c r="G116" s="16" t="n">
        <v>56</v>
      </c>
      <c r="H116" s="10" t="s">
        <v>62</v>
      </c>
    </row>
    <row r="117" customFormat="false" ht="15" hidden="false" customHeight="false" outlineLevel="0" collapsed="false">
      <c r="A117" s="12" t="s">
        <v>292</v>
      </c>
      <c r="B117" s="12" t="s">
        <v>293</v>
      </c>
      <c r="C117" s="12" t="s">
        <v>43</v>
      </c>
      <c r="D117" s="11" t="n">
        <v>39.95</v>
      </c>
      <c r="E117" s="11" t="n">
        <v>80</v>
      </c>
      <c r="F117" s="17" t="n">
        <f aca="false">IFERROR(1-D117/E117,"")</f>
        <v>0.500625</v>
      </c>
      <c r="G117" s="18" t="n">
        <v>12</v>
      </c>
      <c r="H117" s="12" t="s">
        <v>62</v>
      </c>
    </row>
    <row r="118" customFormat="false" ht="15" hidden="false" customHeight="false" outlineLevel="0" collapsed="false">
      <c r="A118" s="10" t="s">
        <v>294</v>
      </c>
      <c r="B118" s="10" t="s">
        <v>295</v>
      </c>
      <c r="C118" s="10" t="s">
        <v>43</v>
      </c>
      <c r="D118" s="9" t="n">
        <v>39.95</v>
      </c>
      <c r="E118" s="9" t="n">
        <v>80</v>
      </c>
      <c r="F118" s="15" t="n">
        <f aca="false">IFERROR(1-D118/E118,"")</f>
        <v>0.500625</v>
      </c>
      <c r="G118" s="16" t="n">
        <v>5</v>
      </c>
      <c r="H118" s="10" t="s">
        <v>62</v>
      </c>
    </row>
    <row r="119" customFormat="false" ht="15" hidden="false" customHeight="false" outlineLevel="0" collapsed="false">
      <c r="A119" s="12" t="s">
        <v>296</v>
      </c>
      <c r="B119" s="12" t="s">
        <v>297</v>
      </c>
      <c r="C119" s="12" t="s">
        <v>49</v>
      </c>
      <c r="D119" s="11" t="n">
        <v>40.95</v>
      </c>
      <c r="E119" s="11" t="n">
        <v>82</v>
      </c>
      <c r="F119" s="17" t="n">
        <f aca="false">IFERROR(1-D119/E119,"")</f>
        <v>0.500609756097561</v>
      </c>
      <c r="G119" s="18" t="n">
        <v>51</v>
      </c>
      <c r="H119" s="12" t="s">
        <v>62</v>
      </c>
    </row>
    <row r="120" customFormat="false" ht="15" hidden="false" customHeight="false" outlineLevel="0" collapsed="false">
      <c r="A120" s="10" t="s">
        <v>298</v>
      </c>
      <c r="B120" s="10" t="s">
        <v>299</v>
      </c>
      <c r="C120" s="10" t="s">
        <v>34</v>
      </c>
      <c r="D120" s="9" t="n">
        <v>40.95</v>
      </c>
      <c r="E120" s="9" t="n">
        <v>82</v>
      </c>
      <c r="F120" s="15" t="n">
        <f aca="false">IFERROR(1-D120/E120,"")</f>
        <v>0.500609756097561</v>
      </c>
      <c r="G120" s="16" t="n">
        <v>85</v>
      </c>
      <c r="H120" s="10" t="s">
        <v>62</v>
      </c>
    </row>
    <row r="121" customFormat="false" ht="15" hidden="false" customHeight="false" outlineLevel="0" collapsed="false">
      <c r="A121" s="12" t="s">
        <v>300</v>
      </c>
      <c r="B121" s="12" t="s">
        <v>301</v>
      </c>
      <c r="C121" s="12" t="s">
        <v>48</v>
      </c>
      <c r="D121" s="11" t="n">
        <v>40.95</v>
      </c>
      <c r="E121" s="11" t="n">
        <v>82</v>
      </c>
      <c r="F121" s="17" t="n">
        <f aca="false">IFERROR(1-D121/E121,"")</f>
        <v>0.500609756097561</v>
      </c>
      <c r="G121" s="18" t="n">
        <v>75</v>
      </c>
      <c r="H121" s="12" t="s">
        <v>62</v>
      </c>
    </row>
    <row r="122" customFormat="false" ht="15" hidden="false" customHeight="false" outlineLevel="0" collapsed="false">
      <c r="A122" s="10" t="s">
        <v>302</v>
      </c>
      <c r="B122" s="10" t="s">
        <v>303</v>
      </c>
      <c r="C122" s="10" t="s">
        <v>44</v>
      </c>
      <c r="D122" s="9" t="n">
        <v>40.95</v>
      </c>
      <c r="E122" s="9" t="n">
        <v>82</v>
      </c>
      <c r="F122" s="15" t="n">
        <f aca="false">IFERROR(1-D122/E122,"")</f>
        <v>0.500609756097561</v>
      </c>
      <c r="G122" s="16" t="n">
        <v>20</v>
      </c>
      <c r="H122" s="10" t="s">
        <v>62</v>
      </c>
    </row>
    <row r="123" customFormat="false" ht="15" hidden="false" customHeight="false" outlineLevel="0" collapsed="false">
      <c r="A123" s="12" t="s">
        <v>304</v>
      </c>
      <c r="B123" s="12" t="s">
        <v>305</v>
      </c>
      <c r="C123" s="12" t="s">
        <v>41</v>
      </c>
      <c r="D123" s="11" t="n">
        <v>40.95</v>
      </c>
      <c r="E123" s="11" t="n">
        <v>82</v>
      </c>
      <c r="F123" s="17" t="n">
        <f aca="false">IFERROR(1-D123/E123,"")</f>
        <v>0.500609756097561</v>
      </c>
      <c r="G123" s="18" t="n">
        <v>20</v>
      </c>
      <c r="H123" s="12" t="s">
        <v>62</v>
      </c>
    </row>
    <row r="124" customFormat="false" ht="15" hidden="false" customHeight="false" outlineLevel="0" collapsed="false">
      <c r="A124" s="10" t="s">
        <v>306</v>
      </c>
      <c r="B124" s="10" t="s">
        <v>307</v>
      </c>
      <c r="C124" s="10" t="s">
        <v>41</v>
      </c>
      <c r="D124" s="9" t="n">
        <v>40.95</v>
      </c>
      <c r="E124" s="9" t="n">
        <v>82</v>
      </c>
      <c r="F124" s="15" t="n">
        <f aca="false">IFERROR(1-D124/E124,"")</f>
        <v>0.500609756097561</v>
      </c>
      <c r="G124" s="16" t="n">
        <v>21</v>
      </c>
      <c r="H124" s="10" t="s">
        <v>62</v>
      </c>
    </row>
    <row r="125" customFormat="false" ht="15" hidden="false" customHeight="false" outlineLevel="0" collapsed="false">
      <c r="A125" s="12" t="s">
        <v>308</v>
      </c>
      <c r="B125" s="12" t="s">
        <v>309</v>
      </c>
      <c r="C125" s="12" t="s">
        <v>46</v>
      </c>
      <c r="D125" s="11" t="n">
        <v>40.95</v>
      </c>
      <c r="E125" s="11" t="n">
        <v>82</v>
      </c>
      <c r="F125" s="17" t="n">
        <f aca="false">IFERROR(1-D125/E125,"")</f>
        <v>0.500609756097561</v>
      </c>
      <c r="G125" s="18" t="n">
        <v>15</v>
      </c>
      <c r="H125" s="12" t="s">
        <v>62</v>
      </c>
    </row>
    <row r="126" customFormat="false" ht="15" hidden="false" customHeight="false" outlineLevel="0" collapsed="false">
      <c r="A126" s="10" t="s">
        <v>310</v>
      </c>
      <c r="B126" s="10" t="s">
        <v>311</v>
      </c>
      <c r="C126" s="10" t="s">
        <v>42</v>
      </c>
      <c r="D126" s="9" t="n">
        <v>40.95</v>
      </c>
      <c r="E126" s="9" t="n">
        <v>82</v>
      </c>
      <c r="F126" s="15" t="n">
        <f aca="false">IFERROR(1-D126/E126,"")</f>
        <v>0.500609756097561</v>
      </c>
      <c r="G126" s="16" t="n">
        <v>15</v>
      </c>
      <c r="H126" s="10" t="s">
        <v>62</v>
      </c>
    </row>
    <row r="127" customFormat="false" ht="15" hidden="false" customHeight="false" outlineLevel="0" collapsed="false">
      <c r="A127" s="12" t="s">
        <v>312</v>
      </c>
      <c r="B127" s="12" t="s">
        <v>313</v>
      </c>
      <c r="C127" s="12" t="s">
        <v>34</v>
      </c>
      <c r="D127" s="11" t="n">
        <v>41.95</v>
      </c>
      <c r="E127" s="11" t="n">
        <v>84</v>
      </c>
      <c r="F127" s="17" t="n">
        <f aca="false">IFERROR(1-D127/E127,"")</f>
        <v>0.500595238095238</v>
      </c>
      <c r="G127" s="18" t="n">
        <v>68</v>
      </c>
      <c r="H127" s="12" t="s">
        <v>62</v>
      </c>
    </row>
    <row r="128" customFormat="false" ht="15" hidden="false" customHeight="false" outlineLevel="0" collapsed="false">
      <c r="A128" s="10" t="s">
        <v>314</v>
      </c>
      <c r="B128" s="10" t="s">
        <v>315</v>
      </c>
      <c r="C128" s="10" t="s">
        <v>43</v>
      </c>
      <c r="D128" s="9" t="n">
        <v>41.95</v>
      </c>
      <c r="E128" s="9" t="n">
        <v>84</v>
      </c>
      <c r="F128" s="15" t="n">
        <f aca="false">IFERROR(1-D128/E128,"")</f>
        <v>0.500595238095238</v>
      </c>
      <c r="G128" s="16" t="n">
        <v>24</v>
      </c>
      <c r="H128" s="10" t="s">
        <v>62</v>
      </c>
    </row>
    <row r="129" customFormat="false" ht="15" hidden="false" customHeight="false" outlineLevel="0" collapsed="false">
      <c r="A129" s="12" t="s">
        <v>316</v>
      </c>
      <c r="B129" s="12" t="s">
        <v>317</v>
      </c>
      <c r="C129" s="12" t="s">
        <v>43</v>
      </c>
      <c r="D129" s="11" t="n">
        <v>41.95</v>
      </c>
      <c r="E129" s="11" t="n">
        <v>84</v>
      </c>
      <c r="F129" s="17" t="n">
        <f aca="false">IFERROR(1-D129/E129,"")</f>
        <v>0.500595238095238</v>
      </c>
      <c r="G129" s="18" t="n">
        <v>12</v>
      </c>
      <c r="H129" s="12" t="s">
        <v>62</v>
      </c>
    </row>
    <row r="130" customFormat="false" ht="15" hidden="false" customHeight="false" outlineLevel="0" collapsed="false">
      <c r="A130" s="10" t="s">
        <v>318</v>
      </c>
      <c r="B130" s="10" t="s">
        <v>319</v>
      </c>
      <c r="C130" s="10" t="s">
        <v>46</v>
      </c>
      <c r="D130" s="9" t="n">
        <v>41.95</v>
      </c>
      <c r="E130" s="9" t="n">
        <v>84</v>
      </c>
      <c r="F130" s="15" t="n">
        <f aca="false">IFERROR(1-D130/E130,"")</f>
        <v>0.500595238095238</v>
      </c>
      <c r="G130" s="16" t="n">
        <v>48</v>
      </c>
      <c r="H130" s="10" t="s">
        <v>62</v>
      </c>
    </row>
    <row r="131" customFormat="false" ht="15" hidden="false" customHeight="false" outlineLevel="0" collapsed="false">
      <c r="A131" s="12" t="s">
        <v>320</v>
      </c>
      <c r="B131" s="12" t="s">
        <v>321</v>
      </c>
      <c r="C131" s="12" t="s">
        <v>38</v>
      </c>
      <c r="D131" s="11" t="n">
        <v>41.95</v>
      </c>
      <c r="E131" s="11" t="n">
        <v>84</v>
      </c>
      <c r="F131" s="17" t="n">
        <f aca="false">IFERROR(1-D131/E131,"")</f>
        <v>0.500595238095238</v>
      </c>
      <c r="G131" s="18" t="n">
        <v>30</v>
      </c>
      <c r="H131" s="12" t="s">
        <v>62</v>
      </c>
    </row>
    <row r="132" customFormat="false" ht="15" hidden="false" customHeight="false" outlineLevel="0" collapsed="false">
      <c r="A132" s="10" t="s">
        <v>322</v>
      </c>
      <c r="B132" s="10" t="s">
        <v>323</v>
      </c>
      <c r="C132" s="10" t="s">
        <v>37</v>
      </c>
      <c r="D132" s="9" t="n">
        <v>41.95</v>
      </c>
      <c r="E132" s="9" t="n">
        <v>84</v>
      </c>
      <c r="F132" s="15" t="n">
        <f aca="false">IFERROR(1-D132/E132,"")</f>
        <v>0.500595238095238</v>
      </c>
      <c r="G132" s="16" t="n">
        <v>20</v>
      </c>
      <c r="H132" s="10" t="s">
        <v>62</v>
      </c>
    </row>
    <row r="133" customFormat="false" ht="15" hidden="false" customHeight="false" outlineLevel="0" collapsed="false">
      <c r="A133" s="12" t="s">
        <v>324</v>
      </c>
      <c r="B133" s="12" t="s">
        <v>325</v>
      </c>
      <c r="C133" s="12" t="s">
        <v>39</v>
      </c>
      <c r="D133" s="11" t="n">
        <v>41.95</v>
      </c>
      <c r="E133" s="11" t="n">
        <v>84</v>
      </c>
      <c r="F133" s="17" t="n">
        <f aca="false">IFERROR(1-D133/E133,"")</f>
        <v>0.500595238095238</v>
      </c>
      <c r="G133" s="18" t="n">
        <v>5</v>
      </c>
      <c r="H133" s="12" t="s">
        <v>62</v>
      </c>
    </row>
    <row r="134" customFormat="false" ht="15" hidden="false" customHeight="false" outlineLevel="0" collapsed="false">
      <c r="A134" s="10" t="s">
        <v>326</v>
      </c>
      <c r="B134" s="10" t="s">
        <v>327</v>
      </c>
      <c r="C134" s="10" t="s">
        <v>42</v>
      </c>
      <c r="D134" s="9" t="n">
        <v>41.95</v>
      </c>
      <c r="E134" s="9" t="n">
        <v>84</v>
      </c>
      <c r="F134" s="15" t="n">
        <f aca="false">IFERROR(1-D134/E134,"")</f>
        <v>0.500595238095238</v>
      </c>
      <c r="G134" s="16" t="n">
        <v>28</v>
      </c>
      <c r="H134" s="10" t="s">
        <v>62</v>
      </c>
    </row>
    <row r="135" customFormat="false" ht="15" hidden="false" customHeight="false" outlineLevel="0" collapsed="false">
      <c r="A135" s="12" t="s">
        <v>328</v>
      </c>
      <c r="B135" s="12" t="s">
        <v>329</v>
      </c>
      <c r="C135" s="12" t="s">
        <v>32</v>
      </c>
      <c r="D135" s="11" t="n">
        <v>41.95</v>
      </c>
      <c r="E135" s="11" t="n">
        <v>84</v>
      </c>
      <c r="F135" s="17" t="n">
        <f aca="false">IFERROR(1-D135/E135,"")</f>
        <v>0.500595238095238</v>
      </c>
      <c r="G135" s="18" t="n">
        <v>10</v>
      </c>
      <c r="H135" s="12" t="s">
        <v>62</v>
      </c>
    </row>
    <row r="136" customFormat="false" ht="15" hidden="false" customHeight="false" outlineLevel="0" collapsed="false">
      <c r="A136" s="10" t="s">
        <v>330</v>
      </c>
      <c r="B136" s="10" t="s">
        <v>331</v>
      </c>
      <c r="C136" s="10" t="s">
        <v>37</v>
      </c>
      <c r="D136" s="9" t="n">
        <v>41.95</v>
      </c>
      <c r="E136" s="9" t="n">
        <v>84</v>
      </c>
      <c r="F136" s="15" t="n">
        <f aca="false">IFERROR(1-D136/E136,"")</f>
        <v>0.500595238095238</v>
      </c>
      <c r="G136" s="16" t="n">
        <v>64</v>
      </c>
      <c r="H136" s="10" t="s">
        <v>62</v>
      </c>
    </row>
    <row r="137" customFormat="false" ht="15" hidden="false" customHeight="false" outlineLevel="0" collapsed="false">
      <c r="A137" s="12" t="s">
        <v>332</v>
      </c>
      <c r="B137" s="12" t="s">
        <v>333</v>
      </c>
      <c r="C137" s="12" t="s">
        <v>36</v>
      </c>
      <c r="D137" s="11" t="n">
        <v>42.95</v>
      </c>
      <c r="E137" s="11" t="n">
        <v>86</v>
      </c>
      <c r="F137" s="17" t="n">
        <f aca="false">IFERROR(1-D137/E137,"")</f>
        <v>0.500581395348837</v>
      </c>
      <c r="G137" s="18" t="n">
        <v>98</v>
      </c>
      <c r="H137" s="12" t="s">
        <v>62</v>
      </c>
    </row>
    <row r="138" customFormat="false" ht="15" hidden="false" customHeight="false" outlineLevel="0" collapsed="false">
      <c r="A138" s="10" t="s">
        <v>334</v>
      </c>
      <c r="B138" s="10" t="s">
        <v>335</v>
      </c>
      <c r="C138" s="10" t="s">
        <v>36</v>
      </c>
      <c r="D138" s="9" t="n">
        <v>42.95</v>
      </c>
      <c r="E138" s="9" t="n">
        <v>86</v>
      </c>
      <c r="F138" s="15" t="n">
        <f aca="false">IFERROR(1-D138/E138,"")</f>
        <v>0.500581395348837</v>
      </c>
      <c r="G138" s="16" t="n">
        <v>68</v>
      </c>
      <c r="H138" s="10" t="s">
        <v>62</v>
      </c>
    </row>
    <row r="139" customFormat="false" ht="15" hidden="false" customHeight="false" outlineLevel="0" collapsed="false">
      <c r="A139" s="12" t="s">
        <v>336</v>
      </c>
      <c r="B139" s="12" t="s">
        <v>337</v>
      </c>
      <c r="C139" s="12" t="s">
        <v>49</v>
      </c>
      <c r="D139" s="11" t="n">
        <v>42.95</v>
      </c>
      <c r="E139" s="11" t="n">
        <v>86</v>
      </c>
      <c r="F139" s="17" t="n">
        <f aca="false">IFERROR(1-D139/E139,"")</f>
        <v>0.500581395348837</v>
      </c>
      <c r="G139" s="18" t="n">
        <v>51</v>
      </c>
      <c r="H139" s="12" t="s">
        <v>62</v>
      </c>
    </row>
    <row r="140" customFormat="false" ht="15" hidden="false" customHeight="false" outlineLevel="0" collapsed="false">
      <c r="A140" s="10" t="s">
        <v>338</v>
      </c>
      <c r="B140" s="10" t="s">
        <v>339</v>
      </c>
      <c r="C140" s="10" t="s">
        <v>44</v>
      </c>
      <c r="D140" s="9" t="n">
        <v>42.95</v>
      </c>
      <c r="E140" s="9" t="n">
        <v>86</v>
      </c>
      <c r="F140" s="15" t="n">
        <f aca="false">IFERROR(1-D140/E140,"")</f>
        <v>0.500581395348837</v>
      </c>
      <c r="G140" s="16" t="n">
        <v>36</v>
      </c>
      <c r="H140" s="10" t="s">
        <v>62</v>
      </c>
    </row>
    <row r="141" customFormat="false" ht="15" hidden="false" customHeight="false" outlineLevel="0" collapsed="false">
      <c r="A141" s="12" t="s">
        <v>340</v>
      </c>
      <c r="B141" s="12" t="s">
        <v>341</v>
      </c>
      <c r="C141" s="12" t="s">
        <v>41</v>
      </c>
      <c r="D141" s="11" t="n">
        <v>42.95</v>
      </c>
      <c r="E141" s="11" t="n">
        <v>86</v>
      </c>
      <c r="F141" s="17" t="n">
        <f aca="false">IFERROR(1-D141/E141,"")</f>
        <v>0.500581395348837</v>
      </c>
      <c r="G141" s="18" t="n">
        <v>35</v>
      </c>
      <c r="H141" s="12" t="s">
        <v>62</v>
      </c>
    </row>
    <row r="142" customFormat="false" ht="15" hidden="false" customHeight="false" outlineLevel="0" collapsed="false">
      <c r="A142" s="10" t="s">
        <v>342</v>
      </c>
      <c r="B142" s="10" t="s">
        <v>343</v>
      </c>
      <c r="C142" s="10" t="s">
        <v>32</v>
      </c>
      <c r="D142" s="9" t="n">
        <v>42.95</v>
      </c>
      <c r="E142" s="9" t="n">
        <v>86</v>
      </c>
      <c r="F142" s="15" t="n">
        <f aca="false">IFERROR(1-D142/E142,"")</f>
        <v>0.500581395348837</v>
      </c>
      <c r="G142" s="16" t="n">
        <v>5</v>
      </c>
      <c r="H142" s="10" t="s">
        <v>62</v>
      </c>
    </row>
    <row r="143" customFormat="false" ht="15" hidden="false" customHeight="false" outlineLevel="0" collapsed="false">
      <c r="A143" s="12" t="s">
        <v>344</v>
      </c>
      <c r="B143" s="12" t="s">
        <v>345</v>
      </c>
      <c r="C143" s="12" t="s">
        <v>41</v>
      </c>
      <c r="D143" s="11" t="n">
        <v>42.95</v>
      </c>
      <c r="E143" s="11" t="n">
        <v>86</v>
      </c>
      <c r="F143" s="17" t="n">
        <f aca="false">IFERROR(1-D143/E143,"")</f>
        <v>0.500581395348837</v>
      </c>
      <c r="G143" s="18" t="n">
        <v>8</v>
      </c>
      <c r="H143" s="12" t="s">
        <v>62</v>
      </c>
    </row>
    <row r="144" customFormat="false" ht="15" hidden="false" customHeight="false" outlineLevel="0" collapsed="false">
      <c r="A144" s="10" t="s">
        <v>346</v>
      </c>
      <c r="B144" s="10" t="s">
        <v>347</v>
      </c>
      <c r="C144" s="10" t="s">
        <v>46</v>
      </c>
      <c r="D144" s="9" t="n">
        <v>42.95</v>
      </c>
      <c r="E144" s="9" t="n">
        <v>86</v>
      </c>
      <c r="F144" s="15" t="n">
        <f aca="false">IFERROR(1-D144/E144,"")</f>
        <v>0.500581395348837</v>
      </c>
      <c r="G144" s="16" t="n">
        <v>20</v>
      </c>
      <c r="H144" s="10" t="s">
        <v>62</v>
      </c>
    </row>
    <row r="145" customFormat="false" ht="15" hidden="false" customHeight="false" outlineLevel="0" collapsed="false">
      <c r="A145" s="12" t="s">
        <v>348</v>
      </c>
      <c r="B145" s="12" t="s">
        <v>349</v>
      </c>
      <c r="C145" s="12" t="s">
        <v>39</v>
      </c>
      <c r="D145" s="11" t="n">
        <v>42.95</v>
      </c>
      <c r="E145" s="11" t="n">
        <v>86</v>
      </c>
      <c r="F145" s="17" t="n">
        <f aca="false">IFERROR(1-D145/E145,"")</f>
        <v>0.500581395348837</v>
      </c>
      <c r="G145" s="18" t="n">
        <v>40</v>
      </c>
      <c r="H145" s="12" t="s">
        <v>62</v>
      </c>
    </row>
    <row r="146" customFormat="false" ht="15" hidden="false" customHeight="false" outlineLevel="0" collapsed="false">
      <c r="A146" s="10" t="s">
        <v>350</v>
      </c>
      <c r="B146" s="10" t="s">
        <v>351</v>
      </c>
      <c r="C146" s="10" t="s">
        <v>39</v>
      </c>
      <c r="D146" s="9" t="n">
        <v>42.95</v>
      </c>
      <c r="E146" s="9" t="n">
        <v>86</v>
      </c>
      <c r="F146" s="15" t="n">
        <f aca="false">IFERROR(1-D146/E146,"")</f>
        <v>0.500581395348837</v>
      </c>
      <c r="G146" s="16" t="n">
        <v>45</v>
      </c>
      <c r="H146" s="10" t="s">
        <v>62</v>
      </c>
    </row>
    <row r="147" customFormat="false" ht="15" hidden="false" customHeight="false" outlineLevel="0" collapsed="false">
      <c r="A147" s="12" t="s">
        <v>352</v>
      </c>
      <c r="B147" s="12" t="s">
        <v>353</v>
      </c>
      <c r="C147" s="12" t="s">
        <v>50</v>
      </c>
      <c r="D147" s="11" t="n">
        <v>43.95</v>
      </c>
      <c r="E147" s="11" t="n">
        <v>88</v>
      </c>
      <c r="F147" s="17" t="n">
        <f aca="false">IFERROR(1-D147/E147,"")</f>
        <v>0.500568181818182</v>
      </c>
      <c r="G147" s="18" t="n">
        <v>18</v>
      </c>
      <c r="H147" s="12" t="s">
        <v>62</v>
      </c>
    </row>
    <row r="148" customFormat="false" ht="15" hidden="false" customHeight="false" outlineLevel="0" collapsed="false">
      <c r="A148" s="10" t="s">
        <v>354</v>
      </c>
      <c r="B148" s="10" t="s">
        <v>355</v>
      </c>
      <c r="C148" s="10" t="s">
        <v>50</v>
      </c>
      <c r="D148" s="9" t="n">
        <v>43.95</v>
      </c>
      <c r="E148" s="9" t="n">
        <v>88</v>
      </c>
      <c r="F148" s="15" t="n">
        <f aca="false">IFERROR(1-D148/E148,"")</f>
        <v>0.500568181818182</v>
      </c>
      <c r="G148" s="16" t="n">
        <v>72</v>
      </c>
      <c r="H148" s="10" t="s">
        <v>62</v>
      </c>
    </row>
    <row r="149" customFormat="false" ht="15" hidden="false" customHeight="false" outlineLevel="0" collapsed="false">
      <c r="A149" s="12" t="s">
        <v>356</v>
      </c>
      <c r="B149" s="12" t="s">
        <v>357</v>
      </c>
      <c r="C149" s="12" t="s">
        <v>34</v>
      </c>
      <c r="D149" s="11" t="n">
        <v>43.95</v>
      </c>
      <c r="E149" s="11" t="n">
        <v>88</v>
      </c>
      <c r="F149" s="17" t="n">
        <f aca="false">IFERROR(1-D149/E149,"")</f>
        <v>0.500568181818182</v>
      </c>
      <c r="G149" s="18" t="n">
        <v>34</v>
      </c>
      <c r="H149" s="12" t="s">
        <v>62</v>
      </c>
    </row>
    <row r="150" customFormat="false" ht="15" hidden="false" customHeight="false" outlineLevel="0" collapsed="false">
      <c r="A150" s="10" t="s">
        <v>358</v>
      </c>
      <c r="B150" s="10" t="s">
        <v>359</v>
      </c>
      <c r="C150" s="10" t="s">
        <v>34</v>
      </c>
      <c r="D150" s="9" t="n">
        <v>43.95</v>
      </c>
      <c r="E150" s="9" t="n">
        <v>88</v>
      </c>
      <c r="F150" s="15" t="n">
        <f aca="false">IFERROR(1-D150/E150,"")</f>
        <v>0.500568181818182</v>
      </c>
      <c r="G150" s="16" t="n">
        <v>220</v>
      </c>
      <c r="H150" s="10" t="s">
        <v>62</v>
      </c>
    </row>
    <row r="151" customFormat="false" ht="15" hidden="false" customHeight="false" outlineLevel="0" collapsed="false">
      <c r="A151" s="12" t="s">
        <v>360</v>
      </c>
      <c r="B151" s="12" t="s">
        <v>361</v>
      </c>
      <c r="C151" s="12" t="s">
        <v>48</v>
      </c>
      <c r="D151" s="11" t="n">
        <v>43.95</v>
      </c>
      <c r="E151" s="11" t="n">
        <v>88</v>
      </c>
      <c r="F151" s="17" t="n">
        <f aca="false">IFERROR(1-D151/E151,"")</f>
        <v>0.500568181818182</v>
      </c>
      <c r="G151" s="18" t="n">
        <v>15</v>
      </c>
      <c r="H151" s="12" t="s">
        <v>62</v>
      </c>
    </row>
    <row r="152" customFormat="false" ht="15" hidden="false" customHeight="false" outlineLevel="0" collapsed="false">
      <c r="A152" s="10" t="s">
        <v>362</v>
      </c>
      <c r="B152" s="10" t="s">
        <v>363</v>
      </c>
      <c r="C152" s="10" t="s">
        <v>44</v>
      </c>
      <c r="D152" s="9" t="n">
        <v>43.95</v>
      </c>
      <c r="E152" s="9" t="n">
        <v>88</v>
      </c>
      <c r="F152" s="15" t="n">
        <f aca="false">IFERROR(1-D152/E152,"")</f>
        <v>0.500568181818182</v>
      </c>
      <c r="G152" s="16" t="n">
        <v>30</v>
      </c>
      <c r="H152" s="10" t="s">
        <v>62</v>
      </c>
    </row>
    <row r="153" customFormat="false" ht="15" hidden="false" customHeight="false" outlineLevel="0" collapsed="false">
      <c r="A153" s="12" t="s">
        <v>364</v>
      </c>
      <c r="B153" s="12" t="s">
        <v>365</v>
      </c>
      <c r="C153" s="12" t="s">
        <v>42</v>
      </c>
      <c r="D153" s="11" t="n">
        <v>43.95</v>
      </c>
      <c r="E153" s="11" t="n">
        <v>88</v>
      </c>
      <c r="F153" s="17" t="n">
        <f aca="false">IFERROR(1-D153/E153,"")</f>
        <v>0.500568181818182</v>
      </c>
      <c r="G153" s="18" t="n">
        <v>12</v>
      </c>
      <c r="H153" s="12" t="s">
        <v>62</v>
      </c>
    </row>
    <row r="154" customFormat="false" ht="15" hidden="false" customHeight="false" outlineLevel="0" collapsed="false">
      <c r="A154" s="10" t="s">
        <v>366</v>
      </c>
      <c r="B154" s="10" t="s">
        <v>367</v>
      </c>
      <c r="C154" s="10" t="s">
        <v>32</v>
      </c>
      <c r="D154" s="9" t="n">
        <v>43.95</v>
      </c>
      <c r="E154" s="9" t="n">
        <v>88</v>
      </c>
      <c r="F154" s="15" t="n">
        <f aca="false">IFERROR(1-D154/E154,"")</f>
        <v>0.500568181818182</v>
      </c>
      <c r="G154" s="16" t="n">
        <v>30</v>
      </c>
      <c r="H154" s="10" t="s">
        <v>62</v>
      </c>
    </row>
    <row r="155" customFormat="false" ht="15" hidden="false" customHeight="false" outlineLevel="0" collapsed="false">
      <c r="A155" s="12" t="s">
        <v>368</v>
      </c>
      <c r="B155" s="12" t="s">
        <v>369</v>
      </c>
      <c r="C155" s="12" t="s">
        <v>39</v>
      </c>
      <c r="D155" s="11" t="n">
        <v>43.95</v>
      </c>
      <c r="E155" s="11" t="n">
        <v>88</v>
      </c>
      <c r="F155" s="17" t="n">
        <f aca="false">IFERROR(1-D155/E155,"")</f>
        <v>0.500568181818182</v>
      </c>
      <c r="G155" s="18" t="n">
        <v>70</v>
      </c>
      <c r="H155" s="12" t="s">
        <v>62</v>
      </c>
    </row>
    <row r="156" customFormat="false" ht="15" hidden="false" customHeight="false" outlineLevel="0" collapsed="false">
      <c r="A156" s="10" t="s">
        <v>370</v>
      </c>
      <c r="B156" s="10" t="s">
        <v>371</v>
      </c>
      <c r="C156" s="10" t="s">
        <v>36</v>
      </c>
      <c r="D156" s="9" t="n">
        <v>44.95</v>
      </c>
      <c r="E156" s="9" t="n">
        <v>90</v>
      </c>
      <c r="F156" s="15" t="n">
        <f aca="false">IFERROR(1-D156/E156,"")</f>
        <v>0.500555555555556</v>
      </c>
      <c r="G156" s="16" t="n">
        <v>68</v>
      </c>
      <c r="H156" s="10" t="s">
        <v>62</v>
      </c>
    </row>
    <row r="157" customFormat="false" ht="15" hidden="false" customHeight="false" outlineLevel="0" collapsed="false">
      <c r="A157" s="12" t="s">
        <v>372</v>
      </c>
      <c r="B157" s="12" t="s">
        <v>373</v>
      </c>
      <c r="C157" s="12" t="s">
        <v>36</v>
      </c>
      <c r="D157" s="11" t="n">
        <v>44.95</v>
      </c>
      <c r="E157" s="11" t="n">
        <v>90</v>
      </c>
      <c r="F157" s="17" t="n">
        <f aca="false">IFERROR(1-D157/E157,"")</f>
        <v>0.500555555555556</v>
      </c>
      <c r="G157" s="18" t="n">
        <v>56</v>
      </c>
      <c r="H157" s="12" t="s">
        <v>62</v>
      </c>
    </row>
    <row r="158" customFormat="false" ht="15" hidden="false" customHeight="false" outlineLevel="0" collapsed="false">
      <c r="A158" s="10" t="s">
        <v>374</v>
      </c>
      <c r="B158" s="10" t="s">
        <v>375</v>
      </c>
      <c r="C158" s="10" t="s">
        <v>51</v>
      </c>
      <c r="D158" s="9" t="n">
        <v>44.95</v>
      </c>
      <c r="E158" s="9" t="n">
        <v>90</v>
      </c>
      <c r="F158" s="15" t="n">
        <f aca="false">IFERROR(1-D158/E158,"")</f>
        <v>0.500555555555556</v>
      </c>
      <c r="G158" s="16" t="n">
        <v>32</v>
      </c>
      <c r="H158" s="10" t="s">
        <v>62</v>
      </c>
    </row>
    <row r="159" customFormat="false" ht="15" hidden="false" customHeight="false" outlineLevel="0" collapsed="false">
      <c r="A159" s="12" t="s">
        <v>376</v>
      </c>
      <c r="B159" s="12" t="s">
        <v>377</v>
      </c>
      <c r="C159" s="12" t="s">
        <v>34</v>
      </c>
      <c r="D159" s="11" t="n">
        <v>44.95</v>
      </c>
      <c r="E159" s="11" t="n">
        <v>90</v>
      </c>
      <c r="F159" s="17" t="n">
        <f aca="false">IFERROR(1-D159/E159,"")</f>
        <v>0.500555555555556</v>
      </c>
      <c r="G159" s="18" t="n">
        <v>102</v>
      </c>
      <c r="H159" s="12" t="s">
        <v>62</v>
      </c>
    </row>
    <row r="160" customFormat="false" ht="15" hidden="false" customHeight="false" outlineLevel="0" collapsed="false">
      <c r="A160" s="10" t="s">
        <v>378</v>
      </c>
      <c r="B160" s="10" t="s">
        <v>379</v>
      </c>
      <c r="C160" s="10" t="s">
        <v>34</v>
      </c>
      <c r="D160" s="9" t="n">
        <v>44.95</v>
      </c>
      <c r="E160" s="9" t="n">
        <v>90</v>
      </c>
      <c r="F160" s="15" t="n">
        <f aca="false">IFERROR(1-D160/E160,"")</f>
        <v>0.500555555555556</v>
      </c>
      <c r="G160" s="16" t="n">
        <v>136</v>
      </c>
      <c r="H160" s="10" t="s">
        <v>62</v>
      </c>
    </row>
    <row r="161" customFormat="false" ht="15" hidden="false" customHeight="false" outlineLevel="0" collapsed="false">
      <c r="A161" s="12" t="s">
        <v>380</v>
      </c>
      <c r="B161" s="12" t="s">
        <v>381</v>
      </c>
      <c r="C161" s="12" t="s">
        <v>36</v>
      </c>
      <c r="D161" s="11" t="n">
        <v>44.95</v>
      </c>
      <c r="E161" s="11" t="n">
        <v>90</v>
      </c>
      <c r="F161" s="17" t="n">
        <f aca="false">IFERROR(1-D161/E161,"")</f>
        <v>0.500555555555556</v>
      </c>
      <c r="G161" s="18" t="n">
        <v>102</v>
      </c>
      <c r="H161" s="12" t="s">
        <v>62</v>
      </c>
    </row>
    <row r="162" customFormat="false" ht="15" hidden="false" customHeight="false" outlineLevel="0" collapsed="false">
      <c r="A162" s="10" t="s">
        <v>382</v>
      </c>
      <c r="B162" s="10" t="s">
        <v>383</v>
      </c>
      <c r="C162" s="10" t="s">
        <v>34</v>
      </c>
      <c r="D162" s="9" t="n">
        <v>44.95</v>
      </c>
      <c r="E162" s="9" t="n">
        <v>90</v>
      </c>
      <c r="F162" s="15" t="n">
        <f aca="false">IFERROR(1-D162/E162,"")</f>
        <v>0.500555555555556</v>
      </c>
      <c r="G162" s="16" t="n">
        <v>68</v>
      </c>
      <c r="H162" s="10" t="s">
        <v>62</v>
      </c>
    </row>
    <row r="163" customFormat="false" ht="15" hidden="false" customHeight="false" outlineLevel="0" collapsed="false">
      <c r="A163" s="12" t="s">
        <v>384</v>
      </c>
      <c r="B163" s="12" t="s">
        <v>385</v>
      </c>
      <c r="C163" s="12" t="s">
        <v>34</v>
      </c>
      <c r="D163" s="11" t="n">
        <v>44.95</v>
      </c>
      <c r="E163" s="11" t="n">
        <v>90</v>
      </c>
      <c r="F163" s="17" t="n">
        <f aca="false">IFERROR(1-D163/E163,"")</f>
        <v>0.500555555555556</v>
      </c>
      <c r="G163" s="18" t="n">
        <v>68</v>
      </c>
      <c r="H163" s="12" t="s">
        <v>62</v>
      </c>
    </row>
    <row r="164" customFormat="false" ht="15" hidden="false" customHeight="false" outlineLevel="0" collapsed="false">
      <c r="A164" s="10" t="s">
        <v>386</v>
      </c>
      <c r="B164" s="10" t="s">
        <v>387</v>
      </c>
      <c r="C164" s="10" t="s">
        <v>34</v>
      </c>
      <c r="D164" s="9" t="n">
        <v>44.95</v>
      </c>
      <c r="E164" s="9" t="n">
        <v>90</v>
      </c>
      <c r="F164" s="15" t="n">
        <f aca="false">IFERROR(1-D164/E164,"")</f>
        <v>0.500555555555556</v>
      </c>
      <c r="G164" s="16" t="n">
        <v>51</v>
      </c>
      <c r="H164" s="10" t="s">
        <v>62</v>
      </c>
    </row>
    <row r="165" customFormat="false" ht="15" hidden="false" customHeight="false" outlineLevel="0" collapsed="false">
      <c r="A165" s="12" t="s">
        <v>388</v>
      </c>
      <c r="B165" s="12" t="s">
        <v>389</v>
      </c>
      <c r="C165" s="12" t="s">
        <v>34</v>
      </c>
      <c r="D165" s="11" t="n">
        <v>44.95</v>
      </c>
      <c r="E165" s="11" t="n">
        <v>90</v>
      </c>
      <c r="F165" s="17" t="n">
        <f aca="false">IFERROR(1-D165/E165,"")</f>
        <v>0.500555555555556</v>
      </c>
      <c r="G165" s="18" t="n">
        <v>85</v>
      </c>
      <c r="H165" s="12" t="s">
        <v>62</v>
      </c>
    </row>
    <row r="166" customFormat="false" ht="15" hidden="false" customHeight="false" outlineLevel="0" collapsed="false">
      <c r="A166" s="10" t="s">
        <v>390</v>
      </c>
      <c r="B166" s="10" t="s">
        <v>391</v>
      </c>
      <c r="C166" s="10" t="s">
        <v>36</v>
      </c>
      <c r="D166" s="9" t="n">
        <v>44.95</v>
      </c>
      <c r="E166" s="9" t="n">
        <v>90</v>
      </c>
      <c r="F166" s="15" t="n">
        <f aca="false">IFERROR(1-D166/E166,"")</f>
        <v>0.500555555555556</v>
      </c>
      <c r="G166" s="16" t="n">
        <v>136</v>
      </c>
      <c r="H166" s="10" t="s">
        <v>62</v>
      </c>
    </row>
    <row r="167" customFormat="false" ht="15" hidden="false" customHeight="false" outlineLevel="0" collapsed="false">
      <c r="A167" s="12" t="s">
        <v>392</v>
      </c>
      <c r="B167" s="12" t="s">
        <v>393</v>
      </c>
      <c r="C167" s="12" t="s">
        <v>34</v>
      </c>
      <c r="D167" s="11" t="n">
        <v>44.95</v>
      </c>
      <c r="E167" s="11" t="n">
        <v>90</v>
      </c>
      <c r="F167" s="17" t="n">
        <f aca="false">IFERROR(1-D167/E167,"")</f>
        <v>0.500555555555556</v>
      </c>
      <c r="G167" s="18" t="n">
        <v>54</v>
      </c>
      <c r="H167" s="12" t="s">
        <v>62</v>
      </c>
    </row>
    <row r="168" customFormat="false" ht="15" hidden="false" customHeight="false" outlineLevel="0" collapsed="false">
      <c r="A168" s="10" t="s">
        <v>394</v>
      </c>
      <c r="B168" s="10" t="s">
        <v>395</v>
      </c>
      <c r="C168" s="10" t="s">
        <v>36</v>
      </c>
      <c r="D168" s="9" t="n">
        <v>44.95</v>
      </c>
      <c r="E168" s="9" t="n">
        <v>90</v>
      </c>
      <c r="F168" s="15" t="n">
        <f aca="false">IFERROR(1-D168/E168,"")</f>
        <v>0.500555555555556</v>
      </c>
      <c r="G168" s="16" t="n">
        <v>136</v>
      </c>
      <c r="H168" s="10" t="s">
        <v>62</v>
      </c>
    </row>
    <row r="169" customFormat="false" ht="15" hidden="false" customHeight="false" outlineLevel="0" collapsed="false">
      <c r="A169" s="12" t="s">
        <v>396</v>
      </c>
      <c r="B169" s="12" t="s">
        <v>397</v>
      </c>
      <c r="C169" s="12" t="s">
        <v>36</v>
      </c>
      <c r="D169" s="11" t="n">
        <v>44.95</v>
      </c>
      <c r="E169" s="11" t="n">
        <v>90</v>
      </c>
      <c r="F169" s="17" t="n">
        <f aca="false">IFERROR(1-D169/E169,"")</f>
        <v>0.500555555555556</v>
      </c>
      <c r="G169" s="18" t="n">
        <v>102</v>
      </c>
      <c r="H169" s="12" t="s">
        <v>62</v>
      </c>
    </row>
    <row r="170" customFormat="false" ht="15" hidden="false" customHeight="false" outlineLevel="0" collapsed="false">
      <c r="A170" s="10" t="s">
        <v>398</v>
      </c>
      <c r="B170" s="10" t="s">
        <v>399</v>
      </c>
      <c r="C170" s="10" t="s">
        <v>36</v>
      </c>
      <c r="D170" s="9" t="n">
        <v>44.95</v>
      </c>
      <c r="E170" s="9" t="n">
        <v>90</v>
      </c>
      <c r="F170" s="15" t="n">
        <f aca="false">IFERROR(1-D170/E170,"")</f>
        <v>0.500555555555556</v>
      </c>
      <c r="G170" s="16" t="n">
        <v>51</v>
      </c>
      <c r="H170" s="10" t="s">
        <v>62</v>
      </c>
    </row>
    <row r="171" customFormat="false" ht="15" hidden="false" customHeight="false" outlineLevel="0" collapsed="false">
      <c r="A171" s="12" t="s">
        <v>400</v>
      </c>
      <c r="B171" s="12" t="s">
        <v>401</v>
      </c>
      <c r="C171" s="12" t="s">
        <v>36</v>
      </c>
      <c r="D171" s="11" t="n">
        <v>44.95</v>
      </c>
      <c r="E171" s="11" t="n">
        <v>90</v>
      </c>
      <c r="F171" s="17" t="n">
        <f aca="false">IFERROR(1-D171/E171,"")</f>
        <v>0.500555555555556</v>
      </c>
      <c r="G171" s="18" t="n">
        <v>136</v>
      </c>
      <c r="H171" s="12" t="s">
        <v>62</v>
      </c>
    </row>
    <row r="172" customFormat="false" ht="15" hidden="false" customHeight="false" outlineLevel="0" collapsed="false">
      <c r="A172" s="10" t="s">
        <v>402</v>
      </c>
      <c r="B172" s="10" t="s">
        <v>403</v>
      </c>
      <c r="C172" s="10" t="s">
        <v>36</v>
      </c>
      <c r="D172" s="9" t="n">
        <v>44.95</v>
      </c>
      <c r="E172" s="9" t="n">
        <v>90</v>
      </c>
      <c r="F172" s="15" t="n">
        <f aca="false">IFERROR(1-D172/E172,"")</f>
        <v>0.500555555555556</v>
      </c>
      <c r="G172" s="16" t="n">
        <v>187</v>
      </c>
      <c r="H172" s="10" t="s">
        <v>62</v>
      </c>
    </row>
    <row r="173" customFormat="false" ht="15" hidden="false" customHeight="false" outlineLevel="0" collapsed="false">
      <c r="A173" s="12" t="s">
        <v>404</v>
      </c>
      <c r="B173" s="12" t="s">
        <v>405</v>
      </c>
      <c r="C173" s="12" t="s">
        <v>36</v>
      </c>
      <c r="D173" s="11" t="n">
        <v>44.95</v>
      </c>
      <c r="E173" s="11" t="n">
        <v>90</v>
      </c>
      <c r="F173" s="17" t="n">
        <f aca="false">IFERROR(1-D173/E173,"")</f>
        <v>0.500555555555556</v>
      </c>
      <c r="G173" s="18" t="n">
        <v>187</v>
      </c>
      <c r="H173" s="12" t="s">
        <v>62</v>
      </c>
    </row>
    <row r="174" customFormat="false" ht="15" hidden="false" customHeight="false" outlineLevel="0" collapsed="false">
      <c r="A174" s="10" t="s">
        <v>406</v>
      </c>
      <c r="B174" s="10" t="s">
        <v>407</v>
      </c>
      <c r="C174" s="10" t="s">
        <v>46</v>
      </c>
      <c r="D174" s="9" t="n">
        <v>44.95</v>
      </c>
      <c r="E174" s="9" t="n">
        <v>90</v>
      </c>
      <c r="F174" s="15" t="n">
        <f aca="false">IFERROR(1-D174/E174,"")</f>
        <v>0.500555555555556</v>
      </c>
      <c r="G174" s="16" t="n">
        <v>5</v>
      </c>
      <c r="H174" s="10" t="s">
        <v>62</v>
      </c>
    </row>
    <row r="175" customFormat="false" ht="15" hidden="false" customHeight="false" outlineLevel="0" collapsed="false">
      <c r="A175" s="12" t="s">
        <v>408</v>
      </c>
      <c r="B175" s="12" t="s">
        <v>409</v>
      </c>
      <c r="C175" s="12" t="s">
        <v>35</v>
      </c>
      <c r="D175" s="11" t="n">
        <v>44.95</v>
      </c>
      <c r="E175" s="11" t="n">
        <v>90</v>
      </c>
      <c r="F175" s="17" t="n">
        <f aca="false">IFERROR(1-D175/E175,"")</f>
        <v>0.500555555555556</v>
      </c>
      <c r="G175" s="18" t="n">
        <v>40</v>
      </c>
      <c r="H175" s="12" t="s">
        <v>62</v>
      </c>
    </row>
    <row r="176" customFormat="false" ht="15" hidden="false" customHeight="false" outlineLevel="0" collapsed="false">
      <c r="A176" s="10" t="s">
        <v>410</v>
      </c>
      <c r="B176" s="10" t="s">
        <v>411</v>
      </c>
      <c r="C176" s="10" t="s">
        <v>33</v>
      </c>
      <c r="D176" s="9" t="n">
        <v>44.95</v>
      </c>
      <c r="E176" s="9" t="n">
        <v>90</v>
      </c>
      <c r="F176" s="15" t="n">
        <f aca="false">IFERROR(1-D176/E176,"")</f>
        <v>0.500555555555556</v>
      </c>
      <c r="G176" s="16" t="n">
        <v>25</v>
      </c>
      <c r="H176" s="10" t="s">
        <v>62</v>
      </c>
    </row>
    <row r="177" customFormat="false" ht="15" hidden="false" customHeight="false" outlineLevel="0" collapsed="false">
      <c r="A177" s="12" t="s">
        <v>412</v>
      </c>
      <c r="B177" s="12" t="s">
        <v>413</v>
      </c>
      <c r="C177" s="12" t="s">
        <v>32</v>
      </c>
      <c r="D177" s="11" t="n">
        <v>44.95</v>
      </c>
      <c r="E177" s="11" t="n">
        <v>90</v>
      </c>
      <c r="F177" s="17" t="n">
        <f aca="false">IFERROR(1-D177/E177,"")</f>
        <v>0.500555555555556</v>
      </c>
      <c r="G177" s="18" t="n">
        <v>5</v>
      </c>
      <c r="H177" s="12" t="s">
        <v>62</v>
      </c>
    </row>
    <row r="178" customFormat="false" ht="15" hidden="false" customHeight="false" outlineLevel="0" collapsed="false">
      <c r="A178" s="10" t="s">
        <v>414</v>
      </c>
      <c r="B178" s="10" t="s">
        <v>415</v>
      </c>
      <c r="C178" s="10" t="s">
        <v>32</v>
      </c>
      <c r="D178" s="9" t="n">
        <v>44.95</v>
      </c>
      <c r="E178" s="9" t="n">
        <v>90</v>
      </c>
      <c r="F178" s="15" t="n">
        <f aca="false">IFERROR(1-D178/E178,"")</f>
        <v>0.500555555555556</v>
      </c>
      <c r="G178" s="16" t="n">
        <v>4</v>
      </c>
      <c r="H178" s="10" t="s">
        <v>62</v>
      </c>
    </row>
    <row r="179" customFormat="false" ht="15" hidden="false" customHeight="false" outlineLevel="0" collapsed="false">
      <c r="A179" s="12" t="s">
        <v>416</v>
      </c>
      <c r="B179" s="12" t="s">
        <v>417</v>
      </c>
      <c r="C179" s="12" t="s">
        <v>37</v>
      </c>
      <c r="D179" s="11" t="n">
        <v>44.95</v>
      </c>
      <c r="E179" s="11" t="n">
        <v>90</v>
      </c>
      <c r="F179" s="17" t="n">
        <f aca="false">IFERROR(1-D179/E179,"")</f>
        <v>0.500555555555556</v>
      </c>
      <c r="G179" s="18" t="n">
        <v>72</v>
      </c>
      <c r="H179" s="12" t="s">
        <v>62</v>
      </c>
    </row>
    <row r="180" customFormat="false" ht="15" hidden="false" customHeight="false" outlineLevel="0" collapsed="false">
      <c r="A180" s="10" t="s">
        <v>418</v>
      </c>
      <c r="B180" s="10" t="s">
        <v>419</v>
      </c>
      <c r="C180" s="10" t="s">
        <v>47</v>
      </c>
      <c r="D180" s="9" t="n">
        <v>44.95</v>
      </c>
      <c r="E180" s="9" t="n">
        <v>90</v>
      </c>
      <c r="F180" s="15" t="n">
        <f aca="false">IFERROR(1-D180/E180,"")</f>
        <v>0.500555555555556</v>
      </c>
      <c r="G180" s="16" t="n">
        <v>15</v>
      </c>
      <c r="H180" s="10" t="s">
        <v>62</v>
      </c>
    </row>
    <row r="181" customFormat="false" ht="15" hidden="false" customHeight="false" outlineLevel="0" collapsed="false">
      <c r="A181" s="12" t="s">
        <v>420</v>
      </c>
      <c r="B181" s="12" t="s">
        <v>421</v>
      </c>
      <c r="C181" s="12" t="s">
        <v>38</v>
      </c>
      <c r="D181" s="11" t="n">
        <v>44.95</v>
      </c>
      <c r="E181" s="11" t="n">
        <v>90</v>
      </c>
      <c r="F181" s="17" t="n">
        <f aca="false">IFERROR(1-D181/E181,"")</f>
        <v>0.500555555555556</v>
      </c>
      <c r="G181" s="18" t="n">
        <v>21</v>
      </c>
      <c r="H181" s="12" t="s">
        <v>62</v>
      </c>
    </row>
    <row r="182" customFormat="false" ht="15" hidden="false" customHeight="false" outlineLevel="0" collapsed="false">
      <c r="A182" s="10" t="s">
        <v>422</v>
      </c>
      <c r="B182" s="10" t="s">
        <v>423</v>
      </c>
      <c r="C182" s="10" t="s">
        <v>41</v>
      </c>
      <c r="D182" s="9" t="n">
        <v>44.95</v>
      </c>
      <c r="E182" s="9" t="n">
        <v>90</v>
      </c>
      <c r="F182" s="15" t="n">
        <f aca="false">IFERROR(1-D182/E182,"")</f>
        <v>0.500555555555556</v>
      </c>
      <c r="G182" s="16" t="n">
        <v>30</v>
      </c>
      <c r="H182" s="10" t="s">
        <v>62</v>
      </c>
    </row>
    <row r="183" customFormat="false" ht="15" hidden="false" customHeight="false" outlineLevel="0" collapsed="false">
      <c r="A183" s="12" t="s">
        <v>424</v>
      </c>
      <c r="B183" s="12" t="s">
        <v>425</v>
      </c>
      <c r="C183" s="12" t="s">
        <v>34</v>
      </c>
      <c r="D183" s="11" t="n">
        <v>44.95</v>
      </c>
      <c r="E183" s="11" t="n">
        <v>90</v>
      </c>
      <c r="F183" s="17" t="n">
        <f aca="false">IFERROR(1-D183/E183,"")</f>
        <v>0.500555555555556</v>
      </c>
      <c r="G183" s="18" t="n">
        <v>17</v>
      </c>
      <c r="H183" s="12" t="s">
        <v>62</v>
      </c>
    </row>
    <row r="184" customFormat="false" ht="15" hidden="false" customHeight="false" outlineLevel="0" collapsed="false">
      <c r="A184" s="10" t="s">
        <v>426</v>
      </c>
      <c r="B184" s="10" t="s">
        <v>427</v>
      </c>
      <c r="C184" s="10" t="s">
        <v>34</v>
      </c>
      <c r="D184" s="9" t="n">
        <v>44.95</v>
      </c>
      <c r="E184" s="9" t="n">
        <v>90</v>
      </c>
      <c r="F184" s="15" t="n">
        <f aca="false">IFERROR(1-D184/E184,"")</f>
        <v>0.500555555555556</v>
      </c>
      <c r="G184" s="16" t="n">
        <v>85</v>
      </c>
      <c r="H184" s="10" t="s">
        <v>62</v>
      </c>
    </row>
    <row r="185" customFormat="false" ht="15" hidden="false" customHeight="false" outlineLevel="0" collapsed="false">
      <c r="A185" s="12" t="s">
        <v>428</v>
      </c>
      <c r="B185" s="12" t="s">
        <v>429</v>
      </c>
      <c r="C185" s="12" t="s">
        <v>45</v>
      </c>
      <c r="D185" s="11" t="n">
        <v>44.95</v>
      </c>
      <c r="E185" s="11" t="n">
        <v>90</v>
      </c>
      <c r="F185" s="17" t="n">
        <f aca="false">IFERROR(1-D185/E185,"")</f>
        <v>0.500555555555556</v>
      </c>
      <c r="G185" s="18" t="n">
        <v>20</v>
      </c>
      <c r="H185" s="12" t="s">
        <v>62</v>
      </c>
    </row>
    <row r="186" customFormat="false" ht="15" hidden="false" customHeight="false" outlineLevel="0" collapsed="false">
      <c r="A186" s="10" t="s">
        <v>430</v>
      </c>
      <c r="B186" s="10" t="s">
        <v>431</v>
      </c>
      <c r="C186" s="10" t="s">
        <v>45</v>
      </c>
      <c r="D186" s="9" t="n">
        <v>44.95</v>
      </c>
      <c r="E186" s="9" t="n">
        <v>90</v>
      </c>
      <c r="F186" s="15" t="n">
        <f aca="false">IFERROR(1-D186/E186,"")</f>
        <v>0.500555555555556</v>
      </c>
      <c r="G186" s="16" t="n">
        <v>7</v>
      </c>
      <c r="H186" s="10" t="s">
        <v>62</v>
      </c>
    </row>
    <row r="187" customFormat="false" ht="15" hidden="false" customHeight="false" outlineLevel="0" collapsed="false">
      <c r="A187" s="12" t="s">
        <v>432</v>
      </c>
      <c r="B187" s="12" t="s">
        <v>433</v>
      </c>
      <c r="C187" s="12" t="s">
        <v>33</v>
      </c>
      <c r="D187" s="11" t="n">
        <v>44.95</v>
      </c>
      <c r="E187" s="11" t="n">
        <v>90</v>
      </c>
      <c r="F187" s="17" t="n">
        <f aca="false">IFERROR(1-D187/E187,"")</f>
        <v>0.500555555555556</v>
      </c>
      <c r="G187" s="18" t="n">
        <v>15</v>
      </c>
      <c r="H187" s="12" t="s">
        <v>62</v>
      </c>
    </row>
    <row r="188" customFormat="false" ht="15" hidden="false" customHeight="false" outlineLevel="0" collapsed="false">
      <c r="A188" s="10" t="s">
        <v>434</v>
      </c>
      <c r="B188" s="10" t="s">
        <v>435</v>
      </c>
      <c r="C188" s="10" t="s">
        <v>33</v>
      </c>
      <c r="D188" s="9" t="n">
        <v>44.95</v>
      </c>
      <c r="E188" s="9" t="n">
        <v>90</v>
      </c>
      <c r="F188" s="15" t="n">
        <f aca="false">IFERROR(1-D188/E188,"")</f>
        <v>0.500555555555556</v>
      </c>
      <c r="G188" s="16" t="n">
        <v>3</v>
      </c>
      <c r="H188" s="10" t="s">
        <v>62</v>
      </c>
    </row>
    <row r="189" customFormat="false" ht="15" hidden="false" customHeight="false" outlineLevel="0" collapsed="false">
      <c r="A189" s="12" t="s">
        <v>436</v>
      </c>
      <c r="B189" s="12" t="s">
        <v>437</v>
      </c>
      <c r="C189" s="12" t="s">
        <v>33</v>
      </c>
      <c r="D189" s="11" t="n">
        <v>44.95</v>
      </c>
      <c r="E189" s="11" t="n">
        <v>90</v>
      </c>
      <c r="F189" s="17" t="n">
        <f aca="false">IFERROR(1-D189/E189,"")</f>
        <v>0.500555555555556</v>
      </c>
      <c r="G189" s="18" t="n">
        <v>20</v>
      </c>
      <c r="H189" s="12" t="s">
        <v>62</v>
      </c>
    </row>
    <row r="190" customFormat="false" ht="15" hidden="false" customHeight="false" outlineLevel="0" collapsed="false">
      <c r="A190" s="10" t="s">
        <v>438</v>
      </c>
      <c r="B190" s="10" t="s">
        <v>439</v>
      </c>
      <c r="C190" s="10" t="s">
        <v>33</v>
      </c>
      <c r="D190" s="9" t="n">
        <v>44.95</v>
      </c>
      <c r="E190" s="9" t="n">
        <v>90</v>
      </c>
      <c r="F190" s="15" t="n">
        <f aca="false">IFERROR(1-D190/E190,"")</f>
        <v>0.500555555555556</v>
      </c>
      <c r="G190" s="16" t="n">
        <v>12</v>
      </c>
      <c r="H190" s="10" t="s">
        <v>62</v>
      </c>
    </row>
    <row r="191" customFormat="false" ht="15" hidden="false" customHeight="false" outlineLevel="0" collapsed="false">
      <c r="A191" s="12" t="s">
        <v>440</v>
      </c>
      <c r="B191" s="12" t="s">
        <v>441</v>
      </c>
      <c r="C191" s="12" t="s">
        <v>32</v>
      </c>
      <c r="D191" s="11" t="n">
        <v>44.95</v>
      </c>
      <c r="E191" s="11" t="n">
        <v>90</v>
      </c>
      <c r="F191" s="17" t="n">
        <f aca="false">IFERROR(1-D191/E191,"")</f>
        <v>0.500555555555556</v>
      </c>
      <c r="G191" s="18" t="n">
        <v>88</v>
      </c>
      <c r="H191" s="12" t="s">
        <v>62</v>
      </c>
    </row>
    <row r="192" customFormat="false" ht="15" hidden="false" customHeight="false" outlineLevel="0" collapsed="false">
      <c r="A192" s="10" t="s">
        <v>442</v>
      </c>
      <c r="B192" s="10" t="s">
        <v>443</v>
      </c>
      <c r="C192" s="10" t="s">
        <v>40</v>
      </c>
      <c r="D192" s="9" t="n">
        <v>44.95</v>
      </c>
      <c r="E192" s="9" t="n">
        <v>90</v>
      </c>
      <c r="F192" s="15" t="n">
        <f aca="false">IFERROR(1-D192/E192,"")</f>
        <v>0.500555555555556</v>
      </c>
      <c r="G192" s="16" t="n">
        <v>16</v>
      </c>
      <c r="H192" s="10" t="s">
        <v>62</v>
      </c>
    </row>
    <row r="193" customFormat="false" ht="15" hidden="false" customHeight="false" outlineLevel="0" collapsed="false">
      <c r="A193" s="12" t="s">
        <v>444</v>
      </c>
      <c r="B193" s="12" t="s">
        <v>445</v>
      </c>
      <c r="C193" s="12" t="s">
        <v>40</v>
      </c>
      <c r="D193" s="11" t="n">
        <v>44.95</v>
      </c>
      <c r="E193" s="11" t="n">
        <v>90</v>
      </c>
      <c r="F193" s="17" t="n">
        <f aca="false">IFERROR(1-D193/E193,"")</f>
        <v>0.500555555555556</v>
      </c>
      <c r="G193" s="18" t="n">
        <v>1</v>
      </c>
      <c r="H193" s="12" t="s">
        <v>62</v>
      </c>
    </row>
    <row r="194" customFormat="false" ht="15" hidden="false" customHeight="false" outlineLevel="0" collapsed="false">
      <c r="A194" s="10" t="s">
        <v>446</v>
      </c>
      <c r="B194" s="10" t="s">
        <v>447</v>
      </c>
      <c r="C194" s="10" t="s">
        <v>40</v>
      </c>
      <c r="D194" s="9" t="n">
        <v>44.95</v>
      </c>
      <c r="E194" s="9" t="n">
        <v>90</v>
      </c>
      <c r="F194" s="15" t="n">
        <f aca="false">IFERROR(1-D194/E194,"")</f>
        <v>0.500555555555556</v>
      </c>
      <c r="G194" s="16" t="n">
        <v>18</v>
      </c>
      <c r="H194" s="10" t="s">
        <v>62</v>
      </c>
    </row>
    <row r="195" customFormat="false" ht="15" hidden="false" customHeight="false" outlineLevel="0" collapsed="false">
      <c r="A195" s="12" t="s">
        <v>448</v>
      </c>
      <c r="B195" s="12" t="s">
        <v>449</v>
      </c>
      <c r="C195" s="12" t="s">
        <v>40</v>
      </c>
      <c r="D195" s="11" t="n">
        <v>44.95</v>
      </c>
      <c r="E195" s="11" t="n">
        <v>90</v>
      </c>
      <c r="F195" s="17" t="n">
        <f aca="false">IFERROR(1-D195/E195,"")</f>
        <v>0.500555555555556</v>
      </c>
      <c r="G195" s="18" t="n">
        <v>8</v>
      </c>
      <c r="H195" s="12" t="s">
        <v>62</v>
      </c>
    </row>
    <row r="196" customFormat="false" ht="15" hidden="false" customHeight="false" outlineLevel="0" collapsed="false">
      <c r="A196" s="10" t="s">
        <v>450</v>
      </c>
      <c r="B196" s="10" t="s">
        <v>451</v>
      </c>
      <c r="C196" s="10" t="s">
        <v>40</v>
      </c>
      <c r="D196" s="9" t="n">
        <v>44.95</v>
      </c>
      <c r="E196" s="9" t="n">
        <v>90</v>
      </c>
      <c r="F196" s="15" t="n">
        <f aca="false">IFERROR(1-D196/E196,"")</f>
        <v>0.500555555555556</v>
      </c>
      <c r="G196" s="16" t="n">
        <v>12</v>
      </c>
      <c r="H196" s="10" t="s">
        <v>62</v>
      </c>
    </row>
    <row r="197" customFormat="false" ht="15" hidden="false" customHeight="false" outlineLevel="0" collapsed="false">
      <c r="A197" s="12" t="s">
        <v>452</v>
      </c>
      <c r="B197" s="12" t="s">
        <v>453</v>
      </c>
      <c r="C197" s="12" t="s">
        <v>38</v>
      </c>
      <c r="D197" s="11" t="n">
        <v>44.95</v>
      </c>
      <c r="E197" s="11" t="n">
        <v>90</v>
      </c>
      <c r="F197" s="17" t="n">
        <f aca="false">IFERROR(1-D197/E197,"")</f>
        <v>0.500555555555556</v>
      </c>
      <c r="G197" s="18" t="n">
        <v>42</v>
      </c>
      <c r="H197" s="12" t="s">
        <v>62</v>
      </c>
    </row>
    <row r="198" customFormat="false" ht="15" hidden="false" customHeight="false" outlineLevel="0" collapsed="false">
      <c r="A198" s="10" t="s">
        <v>454</v>
      </c>
      <c r="B198" s="10" t="s">
        <v>455</v>
      </c>
      <c r="C198" s="10" t="s">
        <v>37</v>
      </c>
      <c r="D198" s="9" t="n">
        <v>44.95</v>
      </c>
      <c r="E198" s="9" t="n">
        <v>90</v>
      </c>
      <c r="F198" s="15" t="n">
        <f aca="false">IFERROR(1-D198/E198,"")</f>
        <v>0.500555555555556</v>
      </c>
      <c r="G198" s="16" t="n">
        <v>30</v>
      </c>
      <c r="H198" s="10" t="s">
        <v>62</v>
      </c>
    </row>
    <row r="199" customFormat="false" ht="15" hidden="false" customHeight="false" outlineLevel="0" collapsed="false">
      <c r="A199" s="12" t="s">
        <v>456</v>
      </c>
      <c r="B199" s="12" t="s">
        <v>457</v>
      </c>
      <c r="C199" s="12" t="s">
        <v>32</v>
      </c>
      <c r="D199" s="11" t="n">
        <v>44.95</v>
      </c>
      <c r="E199" s="11" t="n">
        <v>90</v>
      </c>
      <c r="F199" s="17" t="n">
        <f aca="false">IFERROR(1-D199/E199,"")</f>
        <v>0.500555555555556</v>
      </c>
      <c r="G199" s="18" t="n">
        <v>20</v>
      </c>
      <c r="H199" s="12" t="s">
        <v>62</v>
      </c>
    </row>
    <row r="200" customFormat="false" ht="15" hidden="false" customHeight="false" outlineLevel="0" collapsed="false">
      <c r="A200" s="10" t="s">
        <v>458</v>
      </c>
      <c r="B200" s="10" t="s">
        <v>459</v>
      </c>
      <c r="C200" s="10" t="s">
        <v>32</v>
      </c>
      <c r="D200" s="9" t="n">
        <v>44.95</v>
      </c>
      <c r="E200" s="9" t="n">
        <v>90</v>
      </c>
      <c r="F200" s="15" t="n">
        <f aca="false">IFERROR(1-D200/E200,"")</f>
        <v>0.500555555555556</v>
      </c>
      <c r="G200" s="16" t="n">
        <v>30</v>
      </c>
      <c r="H200" s="10" t="s">
        <v>62</v>
      </c>
    </row>
    <row r="201" customFormat="false" ht="15" hidden="false" customHeight="false" outlineLevel="0" collapsed="false">
      <c r="A201" s="12" t="s">
        <v>460</v>
      </c>
      <c r="B201" s="12" t="s">
        <v>461</v>
      </c>
      <c r="C201" s="12" t="s">
        <v>42</v>
      </c>
      <c r="D201" s="11" t="n">
        <v>44.95</v>
      </c>
      <c r="E201" s="11" t="n">
        <v>90</v>
      </c>
      <c r="F201" s="17" t="n">
        <f aca="false">IFERROR(1-D201/E201,"")</f>
        <v>0.500555555555556</v>
      </c>
      <c r="G201" s="18" t="n">
        <v>6</v>
      </c>
      <c r="H201" s="12" t="s">
        <v>62</v>
      </c>
    </row>
    <row r="202" customFormat="false" ht="15" hidden="false" customHeight="false" outlineLevel="0" collapsed="false">
      <c r="A202" s="10" t="s">
        <v>462</v>
      </c>
      <c r="B202" s="10" t="s">
        <v>463</v>
      </c>
      <c r="C202" s="10" t="s">
        <v>32</v>
      </c>
      <c r="D202" s="9" t="n">
        <v>44.95</v>
      </c>
      <c r="E202" s="9" t="n">
        <v>90</v>
      </c>
      <c r="F202" s="15" t="n">
        <f aca="false">IFERROR(1-D202/E202,"")</f>
        <v>0.500555555555556</v>
      </c>
      <c r="G202" s="16" t="n">
        <v>5</v>
      </c>
      <c r="H202" s="10" t="s">
        <v>62</v>
      </c>
    </row>
    <row r="203" customFormat="false" ht="15" hidden="false" customHeight="false" outlineLevel="0" collapsed="false">
      <c r="A203" s="12" t="s">
        <v>464</v>
      </c>
      <c r="B203" s="12" t="s">
        <v>465</v>
      </c>
      <c r="C203" s="12" t="s">
        <v>43</v>
      </c>
      <c r="D203" s="11" t="n">
        <v>44.95</v>
      </c>
      <c r="E203" s="11" t="n">
        <v>90</v>
      </c>
      <c r="F203" s="17" t="n">
        <f aca="false">IFERROR(1-D203/E203,"")</f>
        <v>0.500555555555556</v>
      </c>
      <c r="G203" s="18" t="n">
        <v>30</v>
      </c>
      <c r="H203" s="12" t="s">
        <v>62</v>
      </c>
    </row>
    <row r="204" customFormat="false" ht="15" hidden="false" customHeight="false" outlineLevel="0" collapsed="false">
      <c r="A204" s="10" t="s">
        <v>466</v>
      </c>
      <c r="B204" s="10" t="s">
        <v>467</v>
      </c>
      <c r="C204" s="10" t="s">
        <v>38</v>
      </c>
      <c r="D204" s="9" t="n">
        <v>44.95</v>
      </c>
      <c r="E204" s="9" t="n">
        <v>90</v>
      </c>
      <c r="F204" s="15" t="n">
        <f aca="false">IFERROR(1-D204/E204,"")</f>
        <v>0.500555555555556</v>
      </c>
      <c r="G204" s="16" t="n">
        <v>48</v>
      </c>
      <c r="H204" s="10" t="s">
        <v>62</v>
      </c>
    </row>
    <row r="205" customFormat="false" ht="15" hidden="false" customHeight="false" outlineLevel="0" collapsed="false">
      <c r="A205" s="12" t="s">
        <v>468</v>
      </c>
      <c r="B205" s="12" t="s">
        <v>469</v>
      </c>
      <c r="C205" s="12" t="s">
        <v>32</v>
      </c>
      <c r="D205" s="11" t="n">
        <v>44.95</v>
      </c>
      <c r="E205" s="11" t="n">
        <v>90</v>
      </c>
      <c r="F205" s="17" t="n">
        <f aca="false">IFERROR(1-D205/E205,"")</f>
        <v>0.500555555555556</v>
      </c>
      <c r="G205" s="18" t="n">
        <v>4</v>
      </c>
      <c r="H205" s="12" t="s">
        <v>62</v>
      </c>
    </row>
    <row r="206" customFormat="false" ht="15" hidden="false" customHeight="false" outlineLevel="0" collapsed="false">
      <c r="A206" s="10" t="s">
        <v>470</v>
      </c>
      <c r="B206" s="10" t="s">
        <v>471</v>
      </c>
      <c r="C206" s="10" t="s">
        <v>32</v>
      </c>
      <c r="D206" s="9" t="n">
        <v>44.95</v>
      </c>
      <c r="E206" s="9" t="n">
        <v>90</v>
      </c>
      <c r="F206" s="15" t="n">
        <f aca="false">IFERROR(1-D206/E206,"")</f>
        <v>0.500555555555556</v>
      </c>
      <c r="G206" s="16" t="n">
        <v>12</v>
      </c>
      <c r="H206" s="10" t="s">
        <v>62</v>
      </c>
    </row>
    <row r="207" customFormat="false" ht="15" hidden="false" customHeight="false" outlineLevel="0" collapsed="false">
      <c r="A207" s="12" t="s">
        <v>472</v>
      </c>
      <c r="B207" s="12" t="s">
        <v>473</v>
      </c>
      <c r="C207" s="12" t="s">
        <v>37</v>
      </c>
      <c r="D207" s="11" t="n">
        <v>44.95</v>
      </c>
      <c r="E207" s="11" t="n">
        <v>90</v>
      </c>
      <c r="F207" s="17" t="n">
        <f aca="false">IFERROR(1-D207/E207,"")</f>
        <v>0.500555555555556</v>
      </c>
      <c r="G207" s="18" t="n">
        <v>16</v>
      </c>
      <c r="H207" s="12" t="s">
        <v>62</v>
      </c>
    </row>
    <row r="208" customFormat="false" ht="15" hidden="false" customHeight="false" outlineLevel="0" collapsed="false">
      <c r="A208" s="10" t="s">
        <v>474</v>
      </c>
      <c r="B208" s="10" t="s">
        <v>475</v>
      </c>
      <c r="C208" s="10" t="s">
        <v>39</v>
      </c>
      <c r="D208" s="9" t="n">
        <v>44.95</v>
      </c>
      <c r="E208" s="9" t="n">
        <v>90</v>
      </c>
      <c r="F208" s="15" t="n">
        <f aca="false">IFERROR(1-D208/E208,"")</f>
        <v>0.500555555555556</v>
      </c>
      <c r="G208" s="16" t="n">
        <v>8</v>
      </c>
      <c r="H208" s="10" t="s">
        <v>62</v>
      </c>
    </row>
    <row r="209" customFormat="false" ht="15" hidden="false" customHeight="false" outlineLevel="0" collapsed="false">
      <c r="A209" s="12" t="s">
        <v>476</v>
      </c>
      <c r="B209" s="12" t="s">
        <v>477</v>
      </c>
      <c r="C209" s="12" t="s">
        <v>32</v>
      </c>
      <c r="D209" s="11" t="n">
        <v>44.95</v>
      </c>
      <c r="E209" s="11" t="n">
        <v>90</v>
      </c>
      <c r="F209" s="17" t="n">
        <f aca="false">IFERROR(1-D209/E209,"")</f>
        <v>0.500555555555556</v>
      </c>
      <c r="G209" s="18" t="n">
        <v>30</v>
      </c>
      <c r="H209" s="12" t="s">
        <v>62</v>
      </c>
    </row>
    <row r="210" customFormat="false" ht="15" hidden="false" customHeight="false" outlineLevel="0" collapsed="false">
      <c r="A210" s="10" t="s">
        <v>478</v>
      </c>
      <c r="B210" s="10" t="s">
        <v>479</v>
      </c>
      <c r="C210" s="10" t="s">
        <v>32</v>
      </c>
      <c r="D210" s="9" t="n">
        <v>44.95</v>
      </c>
      <c r="E210" s="9" t="n">
        <v>90</v>
      </c>
      <c r="F210" s="15" t="n">
        <f aca="false">IFERROR(1-D210/E210,"")</f>
        <v>0.500555555555556</v>
      </c>
      <c r="G210" s="16" t="n">
        <v>55</v>
      </c>
      <c r="H210" s="10" t="s">
        <v>62</v>
      </c>
    </row>
    <row r="211" customFormat="false" ht="15" hidden="false" customHeight="false" outlineLevel="0" collapsed="false">
      <c r="A211" s="12" t="s">
        <v>480</v>
      </c>
      <c r="B211" s="12" t="s">
        <v>481</v>
      </c>
      <c r="C211" s="12" t="s">
        <v>32</v>
      </c>
      <c r="D211" s="11" t="n">
        <v>44.95</v>
      </c>
      <c r="E211" s="11" t="n">
        <v>90</v>
      </c>
      <c r="F211" s="17" t="n">
        <f aca="false">IFERROR(1-D211/E211,"")</f>
        <v>0.500555555555556</v>
      </c>
      <c r="G211" s="18" t="n">
        <v>30</v>
      </c>
      <c r="H211" s="12" t="s">
        <v>62</v>
      </c>
    </row>
    <row r="212" customFormat="false" ht="15" hidden="false" customHeight="false" outlineLevel="0" collapsed="false">
      <c r="A212" s="10" t="s">
        <v>482</v>
      </c>
      <c r="B212" s="10" t="s">
        <v>483</v>
      </c>
      <c r="C212" s="10" t="s">
        <v>32</v>
      </c>
      <c r="D212" s="9" t="n">
        <v>44.95</v>
      </c>
      <c r="E212" s="9" t="n">
        <v>90</v>
      </c>
      <c r="F212" s="15" t="n">
        <f aca="false">IFERROR(1-D212/E212,"")</f>
        <v>0.500555555555556</v>
      </c>
      <c r="G212" s="16" t="n">
        <v>24</v>
      </c>
      <c r="H212" s="10" t="s">
        <v>62</v>
      </c>
    </row>
    <row r="213" customFormat="false" ht="15" hidden="false" customHeight="false" outlineLevel="0" collapsed="false">
      <c r="A213" s="12" t="s">
        <v>484</v>
      </c>
      <c r="B213" s="12" t="s">
        <v>485</v>
      </c>
      <c r="C213" s="12" t="s">
        <v>32</v>
      </c>
      <c r="D213" s="11" t="n">
        <v>44.95</v>
      </c>
      <c r="E213" s="11" t="n">
        <v>90</v>
      </c>
      <c r="F213" s="17" t="n">
        <f aca="false">IFERROR(1-D213/E213,"")</f>
        <v>0.500555555555556</v>
      </c>
      <c r="G213" s="18" t="n">
        <v>35</v>
      </c>
      <c r="H213" s="12" t="s">
        <v>62</v>
      </c>
    </row>
    <row r="214" customFormat="false" ht="15" hidden="false" customHeight="false" outlineLevel="0" collapsed="false">
      <c r="A214" s="10" t="s">
        <v>486</v>
      </c>
      <c r="B214" s="10" t="s">
        <v>487</v>
      </c>
      <c r="C214" s="10" t="s">
        <v>32</v>
      </c>
      <c r="D214" s="9" t="n">
        <v>44.95</v>
      </c>
      <c r="E214" s="9" t="n">
        <v>90</v>
      </c>
      <c r="F214" s="15" t="n">
        <f aca="false">IFERROR(1-D214/E214,"")</f>
        <v>0.500555555555556</v>
      </c>
      <c r="G214" s="16" t="n">
        <v>25</v>
      </c>
      <c r="H214" s="10" t="s">
        <v>62</v>
      </c>
    </row>
    <row r="215" customFormat="false" ht="15" hidden="false" customHeight="false" outlineLevel="0" collapsed="false">
      <c r="A215" s="12" t="s">
        <v>488</v>
      </c>
      <c r="B215" s="12" t="s">
        <v>489</v>
      </c>
      <c r="C215" s="12" t="s">
        <v>38</v>
      </c>
      <c r="D215" s="11" t="n">
        <v>44.95</v>
      </c>
      <c r="E215" s="11" t="n">
        <v>90</v>
      </c>
      <c r="F215" s="17" t="n">
        <f aca="false">IFERROR(1-D215/E215,"")</f>
        <v>0.500555555555556</v>
      </c>
      <c r="G215" s="18" t="n">
        <v>42</v>
      </c>
      <c r="H215" s="12" t="s">
        <v>62</v>
      </c>
    </row>
    <row r="216" customFormat="false" ht="15" hidden="false" customHeight="false" outlineLevel="0" collapsed="false">
      <c r="A216" s="10" t="s">
        <v>490</v>
      </c>
      <c r="B216" s="10" t="s">
        <v>491</v>
      </c>
      <c r="C216" s="10" t="s">
        <v>35</v>
      </c>
      <c r="D216" s="9" t="n">
        <v>44.95</v>
      </c>
      <c r="E216" s="9" t="n">
        <v>90</v>
      </c>
      <c r="F216" s="15" t="n">
        <f aca="false">IFERROR(1-D216/E216,"")</f>
        <v>0.500555555555556</v>
      </c>
      <c r="G216" s="16" t="n">
        <v>5</v>
      </c>
      <c r="H216" s="10" t="s">
        <v>62</v>
      </c>
    </row>
    <row r="217" customFormat="false" ht="15" hidden="false" customHeight="false" outlineLevel="0" collapsed="false">
      <c r="A217" s="12" t="s">
        <v>492</v>
      </c>
      <c r="B217" s="12" t="s">
        <v>493</v>
      </c>
      <c r="C217" s="12" t="s">
        <v>35</v>
      </c>
      <c r="D217" s="11" t="n">
        <v>44.95</v>
      </c>
      <c r="E217" s="11" t="n">
        <v>90</v>
      </c>
      <c r="F217" s="17" t="n">
        <f aca="false">IFERROR(1-D217/E217,"")</f>
        <v>0.500555555555556</v>
      </c>
      <c r="G217" s="18" t="n">
        <v>42</v>
      </c>
      <c r="H217" s="12" t="s">
        <v>62</v>
      </c>
    </row>
    <row r="218" customFormat="false" ht="15" hidden="false" customHeight="false" outlineLevel="0" collapsed="false">
      <c r="A218" s="10" t="s">
        <v>494</v>
      </c>
      <c r="B218" s="10" t="s">
        <v>495</v>
      </c>
      <c r="C218" s="10" t="s">
        <v>35</v>
      </c>
      <c r="D218" s="9" t="n">
        <v>44.95</v>
      </c>
      <c r="E218" s="9" t="n">
        <v>90</v>
      </c>
      <c r="F218" s="15" t="n">
        <f aca="false">IFERROR(1-D218/E218,"")</f>
        <v>0.500555555555556</v>
      </c>
      <c r="G218" s="16" t="n">
        <v>12</v>
      </c>
      <c r="H218" s="10" t="s">
        <v>62</v>
      </c>
    </row>
    <row r="219" customFormat="false" ht="15" hidden="false" customHeight="false" outlineLevel="0" collapsed="false">
      <c r="A219" s="12" t="s">
        <v>496</v>
      </c>
      <c r="B219" s="12" t="s">
        <v>497</v>
      </c>
      <c r="C219" s="12" t="s">
        <v>35</v>
      </c>
      <c r="D219" s="11" t="n">
        <v>44.95</v>
      </c>
      <c r="E219" s="11" t="n">
        <v>90</v>
      </c>
      <c r="F219" s="17" t="n">
        <f aca="false">IFERROR(1-D219/E219,"")</f>
        <v>0.500555555555556</v>
      </c>
      <c r="G219" s="18" t="n">
        <v>15</v>
      </c>
      <c r="H219" s="12" t="s">
        <v>62</v>
      </c>
    </row>
    <row r="220" customFormat="false" ht="15" hidden="false" customHeight="false" outlineLevel="0" collapsed="false">
      <c r="A220" s="10" t="s">
        <v>498</v>
      </c>
      <c r="B220" s="10" t="s">
        <v>499</v>
      </c>
      <c r="C220" s="10" t="s">
        <v>35</v>
      </c>
      <c r="D220" s="9" t="n">
        <v>44.95</v>
      </c>
      <c r="E220" s="9" t="n">
        <v>90</v>
      </c>
      <c r="F220" s="15" t="n">
        <f aca="false">IFERROR(1-D220/E220,"")</f>
        <v>0.500555555555556</v>
      </c>
      <c r="G220" s="16" t="n">
        <v>6</v>
      </c>
      <c r="H220" s="10" t="s">
        <v>62</v>
      </c>
    </row>
    <row r="221" customFormat="false" ht="15" hidden="false" customHeight="false" outlineLevel="0" collapsed="false">
      <c r="A221" s="12" t="s">
        <v>500</v>
      </c>
      <c r="B221" s="12" t="s">
        <v>501</v>
      </c>
      <c r="C221" s="12" t="s">
        <v>35</v>
      </c>
      <c r="D221" s="11" t="n">
        <v>44.95</v>
      </c>
      <c r="E221" s="11" t="n">
        <v>90</v>
      </c>
      <c r="F221" s="17" t="n">
        <f aca="false">IFERROR(1-D221/E221,"")</f>
        <v>0.500555555555556</v>
      </c>
      <c r="G221" s="18" t="n">
        <v>50</v>
      </c>
      <c r="H221" s="12" t="s">
        <v>62</v>
      </c>
    </row>
    <row r="222" customFormat="false" ht="15" hidden="false" customHeight="false" outlineLevel="0" collapsed="false">
      <c r="A222" s="10" t="s">
        <v>502</v>
      </c>
      <c r="B222" s="10" t="s">
        <v>503</v>
      </c>
      <c r="C222" s="10" t="s">
        <v>35</v>
      </c>
      <c r="D222" s="9" t="n">
        <v>44.95</v>
      </c>
      <c r="E222" s="9" t="n">
        <v>90</v>
      </c>
      <c r="F222" s="15" t="n">
        <f aca="false">IFERROR(1-D222/E222,"")</f>
        <v>0.500555555555556</v>
      </c>
      <c r="G222" s="16" t="n">
        <v>24</v>
      </c>
      <c r="H222" s="10" t="s">
        <v>62</v>
      </c>
    </row>
    <row r="223" customFormat="false" ht="15" hidden="false" customHeight="false" outlineLevel="0" collapsed="false">
      <c r="A223" s="12" t="s">
        <v>504</v>
      </c>
      <c r="B223" s="12" t="s">
        <v>505</v>
      </c>
      <c r="C223" s="12" t="s">
        <v>33</v>
      </c>
      <c r="D223" s="11" t="n">
        <v>44.95</v>
      </c>
      <c r="E223" s="11" t="n">
        <v>90</v>
      </c>
      <c r="F223" s="17" t="n">
        <f aca="false">IFERROR(1-D223/E223,"")</f>
        <v>0.500555555555556</v>
      </c>
      <c r="G223" s="18" t="n">
        <v>6</v>
      </c>
      <c r="H223" s="12" t="s">
        <v>62</v>
      </c>
    </row>
    <row r="224" customFormat="false" ht="15" hidden="false" customHeight="false" outlineLevel="0" collapsed="false">
      <c r="A224" s="10" t="s">
        <v>506</v>
      </c>
      <c r="B224" s="10" t="s">
        <v>507</v>
      </c>
      <c r="C224" s="10" t="s">
        <v>33</v>
      </c>
      <c r="D224" s="9" t="n">
        <v>44.95</v>
      </c>
      <c r="E224" s="9" t="n">
        <v>90</v>
      </c>
      <c r="F224" s="15" t="n">
        <f aca="false">IFERROR(1-D224/E224,"")</f>
        <v>0.500555555555556</v>
      </c>
      <c r="G224" s="16" t="n">
        <v>5</v>
      </c>
      <c r="H224" s="10" t="s">
        <v>62</v>
      </c>
    </row>
    <row r="225" customFormat="false" ht="15" hidden="false" customHeight="false" outlineLevel="0" collapsed="false">
      <c r="A225" s="12" t="s">
        <v>508</v>
      </c>
      <c r="B225" s="12" t="s">
        <v>509</v>
      </c>
      <c r="C225" s="12" t="s">
        <v>47</v>
      </c>
      <c r="D225" s="11" t="n">
        <v>44.95</v>
      </c>
      <c r="E225" s="11" t="n">
        <v>90</v>
      </c>
      <c r="F225" s="17" t="n">
        <f aca="false">IFERROR(1-D225/E225,"")</f>
        <v>0.500555555555556</v>
      </c>
      <c r="G225" s="18" t="n">
        <v>12</v>
      </c>
      <c r="H225" s="12" t="s">
        <v>62</v>
      </c>
    </row>
    <row r="226" customFormat="false" ht="15" hidden="false" customHeight="false" outlineLevel="0" collapsed="false">
      <c r="A226" s="10" t="s">
        <v>510</v>
      </c>
      <c r="B226" s="10" t="s">
        <v>511</v>
      </c>
      <c r="C226" s="10" t="s">
        <v>43</v>
      </c>
      <c r="D226" s="9" t="n">
        <v>44.95</v>
      </c>
      <c r="E226" s="9" t="n">
        <v>90</v>
      </c>
      <c r="F226" s="15" t="n">
        <f aca="false">IFERROR(1-D226/E226,"")</f>
        <v>0.500555555555556</v>
      </c>
      <c r="G226" s="16" t="n">
        <v>16</v>
      </c>
      <c r="H226" s="10" t="s">
        <v>62</v>
      </c>
    </row>
    <row r="227" customFormat="false" ht="15" hidden="false" customHeight="false" outlineLevel="0" collapsed="false">
      <c r="A227" s="12" t="s">
        <v>512</v>
      </c>
      <c r="B227" s="12" t="s">
        <v>513</v>
      </c>
      <c r="C227" s="12" t="s">
        <v>32</v>
      </c>
      <c r="D227" s="11" t="n">
        <v>44.95</v>
      </c>
      <c r="E227" s="11" t="n">
        <v>90</v>
      </c>
      <c r="F227" s="17" t="n">
        <f aca="false">IFERROR(1-D227/E227,"")</f>
        <v>0.500555555555556</v>
      </c>
      <c r="G227" s="18" t="n">
        <v>5</v>
      </c>
      <c r="H227" s="12" t="s">
        <v>62</v>
      </c>
    </row>
  </sheetData>
  <autoFilter ref="A1:H2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2026-09-17T17:01:38Z</dcterms:created>
  <dc:creator>openpyxl</dc:creator>
  <dc:description/>
  <dc:language>en-US</dc:language>
  <cp:lastModifiedBy/>
  <dcterms:modified xsi:type="dcterms:W3CDTF">2026-09-17T17:01:38Z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