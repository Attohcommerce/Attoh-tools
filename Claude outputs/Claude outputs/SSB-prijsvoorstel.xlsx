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ers" sheetId="1" state="visible" r:id="rId3"/>
    <sheet name="Voorstel" sheetId="2" state="visible" r:id="rId4"/>
    <sheet name="Samenvatt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<sst xmlns="http://schemas.openxmlformats.org/spreadsheetml/2006/main" count="742" uniqueCount="509">
  <si>
    <t xml:space="preserve">SSB — prijsarchitectuur</t>
  </si>
  <si>
    <t xml:space="preserve">Blauwe cellen zijn de enige die je hier aanpast. Alles in Voorstel en Samenvatting rekent hierop door.</t>
  </si>
  <si>
    <t xml:space="preserve">Groep</t>
  </si>
  <si>
    <t xml:space="preserve">Nieuwe prijs</t>
  </si>
  <si>
    <t xml:space="preserve">Nu in de store</t>
  </si>
  <si>
    <t xml:space="preserve">Tops &amp; blouses</t>
  </si>
  <si>
    <t xml:space="preserve">35 producten, $29.95 – $49.95</t>
  </si>
  <si>
    <t xml:space="preserve">Knitwear &amp; hoodies</t>
  </si>
  <si>
    <t xml:space="preserve">42 producten, $44.95 – $69.95</t>
  </si>
  <si>
    <t xml:space="preserve">Broeken &amp; jeans</t>
  </si>
  <si>
    <t xml:space="preserve">34 producten, $44.95 – $64.95</t>
  </si>
  <si>
    <t xml:space="preserve">Jurken &amp; sets</t>
  </si>
  <si>
    <t xml:space="preserve">18 producten, $49.95 – $69.95</t>
  </si>
  <si>
    <t xml:space="preserve">Outerwear</t>
  </si>
  <si>
    <t xml:space="preserve">27 producten, $69.95 – $99.95</t>
  </si>
  <si>
    <t xml:space="preserve">Platte schoenen &amp; loafers</t>
  </si>
  <si>
    <t xml:space="preserve">21 producten, $44.95 – $64.95</t>
  </si>
  <si>
    <t xml:space="preserve">Sneakers</t>
  </si>
  <si>
    <t xml:space="preserve">4 producten, $54.95 – $69.95</t>
  </si>
  <si>
    <t xml:space="preserve">Hakken &amp; nette schoenen</t>
  </si>
  <si>
    <t xml:space="preserve">4 producten, $59.95 – $64.95</t>
  </si>
  <si>
    <t xml:space="preserve">Boots</t>
  </si>
  <si>
    <t xml:space="preserve">34 producten, $59.95 – $79.95</t>
  </si>
  <si>
    <t xml:space="preserve">Kortingsinstelling (compare-at)</t>
  </si>
  <si>
    <t xml:space="preserve">Uniforme korting gebruiken? (ja/nee)</t>
  </si>
  <si>
    <t xml:space="preserve">nee</t>
  </si>
  <si>
    <t xml:space="preserve">Uniforme korting</t>
  </si>
  <si>
    <t xml:space="preserve">Bij "nee" houdt elk product zijn eigen huidige kortingspercentage (nu 40%, 45% of 50% per product).</t>
  </si>
  <si>
    <t xml:space="preserve">Aannames</t>
  </si>
  <si>
    <t xml:space="preserve">Bron: products_export_1.csv, door Justin geleverd op 20-09-2026 — 219 producten, 6.125 varianten, alle varianten van een product hebben dezelfde prijs.</t>
  </si>
  <si>
    <t xml:space="preserve">Elke prijs eindigt op ,95. Compare-at wordt afgerond naar boven op een heel dollarbedrag min $0,05, zodat die ook altijd op ,95 eindigt.</t>
  </si>
  <si>
    <t xml:space="preserve">Geen verkoopdata in de export, dus dit voorstel zegt niets over omzet-effect — het is puur een prijsarchitectuur.</t>
  </si>
  <si>
    <t xml:space="preserve">De huidige compare-at is per product een vaste 40/45/50% korting met cent-bedragen als $74,92. Storewide vaste korting is een GMC-risico; zie de opmerking in Samenvatting.</t>
  </si>
  <si>
    <t xml:space="preserve">SSB — prijsvoorstel per product</t>
  </si>
  <si>
    <t xml:space="preserve">Geel = door jou aan te passen. Vul in "Handmatig" alleen iets in als je van de tierprijs wilt afwijken.</t>
  </si>
  <si>
    <t xml:space="preserve">Handle</t>
  </si>
  <si>
    <t xml:space="preserve">Titel</t>
  </si>
  <si>
    <t xml:space="preserve">Huidige prijs</t>
  </si>
  <si>
    <t xml:space="preserve">Tierprijs</t>
  </si>
  <si>
    <t xml:space="preserve">Handmatig</t>
  </si>
  <si>
    <t xml:space="preserve">Verschil</t>
  </si>
  <si>
    <t xml:space="preserve">Verschil %</t>
  </si>
  <si>
    <t xml:space="preserve">Actie</t>
  </si>
  <si>
    <t xml:space="preserve">Let op</t>
  </si>
  <si>
    <t xml:space="preserve">Huidige compare-at</t>
  </si>
  <si>
    <t xml:space="preserve">Huidige korting</t>
  </si>
  <si>
    <t xml:space="preserve">Doelkorting</t>
  </si>
  <si>
    <t xml:space="preserve">Nieuwe compare-at</t>
  </si>
  <si>
    <t xml:space="preserve">Nieuwe korting</t>
  </si>
  <si>
    <t xml:space="preserve">Varianten</t>
  </si>
  <si>
    <t xml:space="preserve">mens-flannel-shirt-plaid-pattern-button-front-relaxed-fit</t>
  </si>
  <si>
    <t xml:space="preserve">Men's Flannel Shirt | Plaid Pattern Button-Front Relaxed Fit</t>
  </si>
  <si>
    <t xml:space="preserve">mens-long-sleeve-shirt-polo-collar-button-placket-knit</t>
  </si>
  <si>
    <t xml:space="preserve">Men's Long Sleeve Shirt | Polo Collar Button Placket Knit</t>
  </si>
  <si>
    <t xml:space="preserve">mens-polo-shirt-chevron-knit-collar-v-neck-short-sleeve</t>
  </si>
  <si>
    <t xml:space="preserve">Men's Polo Shirt | Chevron Knit Collar V-Neck Short Sleeve</t>
  </si>
  <si>
    <t xml:space="preserve">mens-polo-shirt-herringbone-knit-short-sleeve-button-down</t>
  </si>
  <si>
    <t xml:space="preserve">Men's Polo Shirt | Herringbone Knit Short Sleeve Button Down</t>
  </si>
  <si>
    <t xml:space="preserve">mens-polo-shirt-ribbed-knit-collar-short-sleeve</t>
  </si>
  <si>
    <t xml:space="preserve">Men's Polo Shirt | Ribbed Knit Collar Short Sleeve</t>
  </si>
  <si>
    <t xml:space="preserve">mens-polo-shirt-textured-collar-short-sleeve-button-closure</t>
  </si>
  <si>
    <t xml:space="preserve">Men's Polo Shirt | Textured Collar Short Sleeve Button Closure</t>
  </si>
  <si>
    <t xml:space="preserve">mens-polo-shirt-textured-knit-collar-long-sleeve</t>
  </si>
  <si>
    <t xml:space="preserve">Men's Polo Shirt | Textured Knit Collar Long Sleeve</t>
  </si>
  <si>
    <t xml:space="preserve">mens-shirt-henley-neckline-long-sleeve-button-closure</t>
  </si>
  <si>
    <t xml:space="preserve">Men's Shirt | Henley Neckline Long Sleeve Button Closure</t>
  </si>
  <si>
    <t xml:space="preserve">mens-shirt-quarter-zip-collar-short-sleeve</t>
  </si>
  <si>
    <t xml:space="preserve">Men's Shirt | Quarter Zip Collar Short Sleeve</t>
  </si>
  <si>
    <t xml:space="preserve">mens-shirt-short-sleeve-camp-collar-button-front</t>
  </si>
  <si>
    <t xml:space="preserve">Men's Shirt | Short Sleeve Camp Collar Button Front</t>
  </si>
  <si>
    <t xml:space="preserve">mens-shirt-slim-fit-long-sleeve-button-closure-spread-collar</t>
  </si>
  <si>
    <t xml:space="preserve">Men's Shirt | Slim Fit Long Sleeve Button Closure Spread Collar</t>
  </si>
  <si>
    <t xml:space="preserve">mens-tank-top-notch-neckline-sleeveless-knit</t>
  </si>
  <si>
    <t xml:space="preserve">Men's Tank Top | Notch Neckline Sleeveless Knit</t>
  </si>
  <si>
    <t xml:space="preserve">mens-textured-shirt-polo-collar-button-placket-short-sleeve-knit</t>
  </si>
  <si>
    <t xml:space="preserve">Men's Textured Shirt | Polo Collar Button Placket Short Sleeve Knit</t>
  </si>
  <si>
    <t xml:space="preserve">womens-down-blouse-collar-lace-embroidered-three-quarter-sleeve</t>
  </si>
  <si>
    <t xml:space="preserve">Women's Down Blouse | Collar Lace Embroidered Three-Quarter Sleeve</t>
  </si>
  <si>
    <t xml:space="preserve">womens-flannel-shirt-long-sleeve-button-up-plaid-relaxed-fit</t>
  </si>
  <si>
    <t xml:space="preserve">Women's Flannel Shirt | Long Sleeve Button-Up Plaid Relaxed Fit</t>
  </si>
  <si>
    <t xml:space="preserve">womens-flannel-shirt-oversized-fit-button-down-plaid-cotton</t>
  </si>
  <si>
    <t xml:space="preserve">Women's Flannel Shirt | Oversized Fit Button-Down Plaid Cotton</t>
  </si>
  <si>
    <t xml:space="preserve">womens-flannel-shirt-plaid-oversized-button-down-collar</t>
  </si>
  <si>
    <t xml:space="preserve">Women's Flannel Shirt | Plaid Oversized Button-Down Collar</t>
  </si>
  <si>
    <t xml:space="preserve">womens-polo-shirt-polo-collar-long-sleeve-knit-relaxed</t>
  </si>
  <si>
    <t xml:space="preserve">Women's Polo Shirt | Polo Collar Long Sleeve Knit Relaxed</t>
  </si>
  <si>
    <t xml:space="preserve">womens-tank-top-deep-v-neck-sleeveless-satin</t>
  </si>
  <si>
    <t xml:space="preserve">Women's Tank Top | Deep V-Neck Sleeveless Satin</t>
  </si>
  <si>
    <t xml:space="preserve">womens-tank-top-shirt-collar-long-sleeve-mesh</t>
  </si>
  <si>
    <t xml:space="preserve">Women's Tank Top | Shirt Collar Long Sleeve Mesh</t>
  </si>
  <si>
    <t xml:space="preserve">womens-tank-top-sleeveless-mock-neck-stretch-knit</t>
  </si>
  <si>
    <t xml:space="preserve">Women's Tank Top | Sleeveless Mock Neck Stretch Knit</t>
  </si>
  <si>
    <t xml:space="preserve">womens-tank-top-v-neck-open-knit-relaxed-fit-elbow-sleeve</t>
  </si>
  <si>
    <t xml:space="preserve">Women's Tank Top | V-Neck Open-Knit Relaxed Fit Elbow Sleeve</t>
  </si>
  <si>
    <t xml:space="preserve">womens-tank-top-v-neck-twist-front-sleeveless-knit</t>
  </si>
  <si>
    <t xml:space="preserve">Women's Tank Top | V-Neck Twist-Front Sleeveless Knit</t>
  </si>
  <si>
    <t xml:space="preserve">womens-top-cowl-neck-sleeveless-draped-satin</t>
  </si>
  <si>
    <t xml:space="preserve">Women's Top | Cowl Neck Sleeveless Draped Satin</t>
  </si>
  <si>
    <t xml:space="preserve">womens-top-halter-neck-sleeveless-cropped-cotton-linen</t>
  </si>
  <si>
    <t xml:space="preserve">Women's Top | Halter Neck Sleeveless Cropped Cotton Linen</t>
  </si>
  <si>
    <t xml:space="preserve">womens-top-roll-collar-sleeveless-linen</t>
  </si>
  <si>
    <t xml:space="preserve">Women's Top | Roll Collar Sleeveless Linen</t>
  </si>
  <si>
    <t xml:space="preserve">womens-top-v-neck-short-sleeve-button-front-linen</t>
  </si>
  <si>
    <t xml:space="preserve">Women's Top | V-Neck Short Sleeve Button Front Linen</t>
  </si>
  <si>
    <t xml:space="preserve">womens-top-v-neck-short-sleeve-polyester</t>
  </si>
  <si>
    <t xml:space="preserve">Women's Top | V-Neck Short Sleeve Polyester</t>
  </si>
  <si>
    <t xml:space="preserve">womens-top-v-neck-wrap-front-long-sleeve-knit</t>
  </si>
  <si>
    <t xml:space="preserve">Women's Top | V-Neck Wrap Front Long Sleeve Knit</t>
  </si>
  <si>
    <t xml:space="preserve">womens-tube-top-gingham-print-crew-neckline-sleeveless</t>
  </si>
  <si>
    <t xml:space="preserve">Women's Tube Top | Gingham Print Crew Neckline Sleeveless</t>
  </si>
  <si>
    <t xml:space="preserve">womens-tube-top-strapless-bandeau-backless-flared</t>
  </si>
  <si>
    <t xml:space="preserve">Women's Tube Top | Strapless Bandeau Backless Flared</t>
  </si>
  <si>
    <t xml:space="preserve">womens-tube-top-strapless-bandeau-paisley-print-asymmetrical</t>
  </si>
  <si>
    <t xml:space="preserve">Women's Tube Top | Strapless Bandeau Paisley Print Asymmetrical</t>
  </si>
  <si>
    <t xml:space="preserve">womens-tube-top-strapless-sweetheart-knit-drawstring</t>
  </si>
  <si>
    <t xml:space="preserve">Women's Tube Top | Strapless Sweetheart Knit Drawstring</t>
  </si>
  <si>
    <t xml:space="preserve">womens-tube-top-v-neck-spaghetti-straps-satin-sleeveless</t>
  </si>
  <si>
    <t xml:space="preserve">Women's Tube Top | V-Neck Spaghetti Straps Satin Sleeveless</t>
  </si>
  <si>
    <t xml:space="preserve">womens-tube-top-v-neck-striped-knot-sleeveless</t>
  </si>
  <si>
    <t xml:space="preserve">Women's Tube Top | V-Neck Striped Knot Sleeveless</t>
  </si>
  <si>
    <t xml:space="preserve">mens-cardigan-stand-collar-knit-button-front</t>
  </si>
  <si>
    <t xml:space="preserve">Men's Cardigan | Stand Collar Knit Button Front</t>
  </si>
  <si>
    <t xml:space="preserve">mens-cashmere-sweater-crew-neck-long-sleeve-knit</t>
  </si>
  <si>
    <t xml:space="preserve">Men's Cashmere Sweater | Crew Neck Long Sleeve Knit</t>
  </si>
  <si>
    <t xml:space="preserve">mens-fleece-hoodie-kangaroo-pocket-relaxed-fit</t>
  </si>
  <si>
    <t xml:space="preserve">Men's Fleece Hoodie | Kangaroo Pocket Relaxed Fit</t>
  </si>
  <si>
    <t xml:space="preserve">mens-hoodie-knit-hood-zip-closure-long-sleeve</t>
  </si>
  <si>
    <t xml:space="preserve">Men's Hoodie | Knit Hood Zip Closure Long Sleeve</t>
  </si>
  <si>
    <t xml:space="preserve">mens-hoodie-polo-collar-half-button-colorblock-knit</t>
  </si>
  <si>
    <t xml:space="preserve">Men's Hoodie | Polo Collar Half-Button Colorblock Knit</t>
  </si>
  <si>
    <t xml:space="preserve">mens-hoodie-quarter-zip-knit-hood-cargo-pockets</t>
  </si>
  <si>
    <t xml:space="preserve">Men's Hoodie | Quarter-Zip Knit Hood Cargo Pockets</t>
  </si>
  <si>
    <t xml:space="preserve">mens-hoodie-raglan-sleeves-relaxed-fit-contrast-stitching</t>
  </si>
  <si>
    <t xml:space="preserve">Men's Hoodie | Raglan Sleeves Relaxed Fit Contrast Stitching</t>
  </si>
  <si>
    <t xml:space="preserve">mens-hoodie-relaxed-fit-corduroy-drawstring-hood</t>
  </si>
  <si>
    <t xml:space="preserve">Men's Hoodie | Relaxed Fit Corduroy Drawstring Hood</t>
  </si>
  <si>
    <t xml:space="preserve">mens-quarter-zip-sweater-mock-neck-knit-color-block-long-sleeve</t>
  </si>
  <si>
    <t xml:space="preserve">Men's Quarter Zip Sweater | Mock Neck Knit Color Block Long Sleeve</t>
  </si>
  <si>
    <t xml:space="preserve">mens-quarter-zip-sweater-mock-neck-long-sleeve-knit</t>
  </si>
  <si>
    <t xml:space="preserve">Men's Quarter Zip Sweater | Mock Neck Long Sleeve Knit</t>
  </si>
  <si>
    <t xml:space="preserve">mens-sweater-color-block-knit-cable-crew-neck</t>
  </si>
  <si>
    <t xml:space="preserve">Men's Sweater | Color Block Knit Cable Crew Neck</t>
  </si>
  <si>
    <t xml:space="preserve">mens-sweater-crew-neck-long-sleeve-knit-plaid</t>
  </si>
  <si>
    <t xml:space="preserve">Men's Sweater | Crew Neck Long Sleeve Knit Plaid</t>
  </si>
  <si>
    <t xml:space="preserve">mens-sweater-half-zip-knit-collar-long-sleeve</t>
  </si>
  <si>
    <t xml:space="preserve">Men's Sweater | Half Zip Knit Collar Long Sleeve</t>
  </si>
  <si>
    <t xml:space="preserve">mens-sweater-knit-crew-neck-long-sleeve-textured</t>
  </si>
  <si>
    <t xml:space="preserve">Men's Sweater | Knit Crew Neck Long Sleeve Textured</t>
  </si>
  <si>
    <t xml:space="preserve">mens-sweater-quarter-zip-knit-striped</t>
  </si>
  <si>
    <t xml:space="preserve">Men's Sweater | Quarter-Zip Knit Striped</t>
  </si>
  <si>
    <t xml:space="preserve">mens-sweater-turtleneck-knit-relaxed-fit</t>
  </si>
  <si>
    <t xml:space="preserve">Men's Sweater | Turtleneck Knit Relaxed Fit</t>
  </si>
  <si>
    <t xml:space="preserve">mens-sweater-zip-up-knit-relaxed-fit-set</t>
  </si>
  <si>
    <t xml:space="preserve">Men's Sweater | Zip-Up Knit Relaxed Fit Set</t>
  </si>
  <si>
    <t xml:space="preserve">mens-zip-hoodie-hood-closure-multiple-pockets-knit</t>
  </si>
  <si>
    <t xml:space="preserve">Men's Zip Hoodie | Hood Closure Multiple Pockets Knit</t>
  </si>
  <si>
    <t xml:space="preserve">womens-hoodie-colorblock-crewneck-relaxed-fit</t>
  </si>
  <si>
    <t xml:space="preserve">Men’s Hoodie | Colorblock Crewneck Relaxed Fit</t>
  </si>
  <si>
    <t xml:space="preserve">womens-cardigan-open-knit-short-sleeve-button-closure-cropped</t>
  </si>
  <si>
    <t xml:space="preserve">Women's Cardigan | Open-Knit Short-Sleeve Button Closure Cropped</t>
  </si>
  <si>
    <t xml:space="preserve">womens-cardigan-ribbed-knit-full-zip-relaxed-fit</t>
  </si>
  <si>
    <t xml:space="preserve">Women's Cardigan | Ribbed Knit Full Zip Relaxed Fit</t>
  </si>
  <si>
    <t xml:space="preserve">womens-cardigan-tie-front-half-sleeve-sheer-chiffon</t>
  </si>
  <si>
    <t xml:space="preserve">Women's Cardigan | Tie Front Half Sleeve Sheer Chiffon</t>
  </si>
  <si>
    <t xml:space="preserve">womens-cashmere-sweater-balloon-sleeve-ribbed-knit-crew-neck</t>
  </si>
  <si>
    <t xml:space="preserve">Women's Cashmere Sweater | Balloon Sleeve Ribbed Knit Crew Neck</t>
  </si>
  <si>
    <t xml:space="preserve">womens-cashmere-sweater-crew-neck-cable-knit-ribbed-cuffs</t>
  </si>
  <si>
    <t xml:space="preserve">Women's Cashmere Sweater | Crew Neck Cable Knit Ribbed Cuffs</t>
  </si>
  <si>
    <t xml:space="preserve">womens-cashmere-sweater-crew-neck-long-sleeve-knit-1</t>
  </si>
  <si>
    <t xml:space="preserve">Women's Cashmere Sweater | Crew Neck Long Sleeve Knit</t>
  </si>
  <si>
    <t xml:space="preserve">womens-cashmere-sweater-crew-neck-long-sleeve-knit</t>
  </si>
  <si>
    <t xml:space="preserve">womens-cashmere-sweater-mock-neck-long-sleeve-knit</t>
  </si>
  <si>
    <t xml:space="preserve">Women's Cashmere Sweater | Mock Neck Long Sleeve Knit</t>
  </si>
  <si>
    <t xml:space="preserve">womens-hoodie-half-button-collar-knit-geometric</t>
  </si>
  <si>
    <t xml:space="preserve">Women's Hoodie | Half Button Collar Knit Geometric</t>
  </si>
  <si>
    <t xml:space="preserve">womens-hoodie-rainbow-stripe-half-zip-collared-knit</t>
  </si>
  <si>
    <t xml:space="preserve">Women's Hoodie | Rainbow Stripe Half Zip Collared Knit</t>
  </si>
  <si>
    <t xml:space="preserve">womens-hoodie-turtleneck-drawstring-sleeveless-piping</t>
  </si>
  <si>
    <t xml:space="preserve">Women's Hoodie | Turtleneck Drawstring Sleeveless Piping</t>
  </si>
  <si>
    <t xml:space="preserve">womens-quarter-zip-sweater-stand-collar-textured-knit-long-sleeve</t>
  </si>
  <si>
    <t xml:space="preserve">Women's Quarter Zip Sweater | Stand Collar Textured Knit Long Sleeve</t>
  </si>
  <si>
    <t xml:space="preserve">womens-sweater-dress-cold-shoulder-turtleneck-knit</t>
  </si>
  <si>
    <t xml:space="preserve">Women's Sweater Dress | Cold-Shoulder Turtleneck Knit</t>
  </si>
  <si>
    <t xml:space="preserve">womens-sweater-dress-midi-cable-knit-crew-neck-long-sleeve</t>
  </si>
  <si>
    <t xml:space="preserve">Women's Sweater Dress | Midi Cable-Knit Crew Neck Long Sleeve</t>
  </si>
  <si>
    <t xml:space="preserve">womens-sweater-dress-midi-knit-collared-button-closure</t>
  </si>
  <si>
    <t xml:space="preserve">Women's Sweater Dress | Midi Knit Collared Button Closure</t>
  </si>
  <si>
    <t xml:space="preserve">womens-sweater-dress-mini-length-crew-neck-knit-puffed-sleeves</t>
  </si>
  <si>
    <t xml:space="preserve">Women's Sweater Dress | Mini Length Crew Neck Knit Puffed Sleeves</t>
  </si>
  <si>
    <t xml:space="preserve">womens-sweater-dress-turtleneck-cable-knit-long-sleeve</t>
  </si>
  <si>
    <t xml:space="preserve">Women's Sweater Dress | Turtleneck Cable Knit Long Sleeve</t>
  </si>
  <si>
    <t xml:space="preserve">womens-sweater-dress-turtleneck-cable-knit-relaxed</t>
  </si>
  <si>
    <t xml:space="preserve">Women's Sweater Dress | Turtleneck Cable Knit Relaxed</t>
  </si>
  <si>
    <t xml:space="preserve">womens-sweater-dress-v-neck-leopard-ruffle-knit</t>
  </si>
  <si>
    <t xml:space="preserve">Women's Sweater Dress | V Neck Leopard Ruffle Knit</t>
  </si>
  <si>
    <t xml:space="preserve">womens-sweatshirt-balloon-sleeve-linen-blend-gathered-hem</t>
  </si>
  <si>
    <t xml:space="preserve">Women's Sweatshirt | Balloon Sleeve Linen Blend Gathered Hem</t>
  </si>
  <si>
    <t xml:space="preserve">womens-sweatshirt-hooded-button-front-long-sleeve</t>
  </si>
  <si>
    <t xml:space="preserve">Women's Sweatshirt | Hooded Button Front Long Sleeve</t>
  </si>
  <si>
    <t xml:space="preserve">womens-sweatshirt-hooded-button-front-pockets-long-sleeves</t>
  </si>
  <si>
    <t xml:space="preserve">Women's Sweatshirt | Hooded Button-Front Pockets Long Sleeves</t>
  </si>
  <si>
    <t xml:space="preserve">womens-sweatshirt-hooded-zipper-relaxed-fit</t>
  </si>
  <si>
    <t xml:space="preserve">Women's Sweatshirt | Hooded Zipper Relaxed Fit</t>
  </si>
  <si>
    <t xml:space="preserve">mens-cargo-pants-relaxed-fit-drawstring-elastic-cuffs</t>
  </si>
  <si>
    <t xml:space="preserve">Men's Cargo Pants | Relaxed Fit Drawstring Elastic Cuffs</t>
  </si>
  <si>
    <t xml:space="preserve">mens-cargo-pants-relaxed-fit-drawstring-waist-cargo-pockets</t>
  </si>
  <si>
    <t xml:space="preserve">Men's Cargo Pants | Relaxed Fit Drawstring Waist Cargo Pockets</t>
  </si>
  <si>
    <t xml:space="preserve">womens-baggy-jeans-high-rise-relaxed-fit-denim</t>
  </si>
  <si>
    <t xml:space="preserve">Women's Baggy Jeans | High Rise Relaxed Fit Denim</t>
  </si>
  <si>
    <t xml:space="preserve">womens-baggy-jeans-high-rise-wide-leg-denim-five-pocket</t>
  </si>
  <si>
    <t xml:space="preserve">Women's Baggy Jeans | High-Rise Wide-Leg Denim Five-Pocket</t>
  </si>
  <si>
    <t xml:space="preserve">womens-baggy-jeans-high-waist-wide-leg-pleated-denim</t>
  </si>
  <si>
    <t xml:space="preserve">Women's Baggy Jeans | High-Waist Wide-Leg Pleated Denim</t>
  </si>
  <si>
    <t xml:space="preserve">womens-baggy-jeans-wide-leg-adjustable-cuff-denim</t>
  </si>
  <si>
    <t xml:space="preserve">Women's Baggy Jeans | Wide Leg Adjustable Cuff Denim</t>
  </si>
  <si>
    <t xml:space="preserve">womens-baggy-jeans-wide-leg-denim-curved-seams-oversized</t>
  </si>
  <si>
    <t xml:space="preserve">Women's Baggy Jeans | Wide Leg Denim Curved Seams Oversized</t>
  </si>
  <si>
    <t xml:space="preserve">womens-baggy-jeans-wide-leg-denim-relaxed-fit</t>
  </si>
  <si>
    <t xml:space="preserve">Women's Baggy Jeans | Wide Leg Denim Relaxed Fit</t>
  </si>
  <si>
    <t xml:space="preserve">womens-baggy-jeans-wide-leg-raw-hem-high-waist</t>
  </si>
  <si>
    <t xml:space="preserve">Women's Baggy Jeans | Wide Leg Raw Hem High Waist</t>
  </si>
  <si>
    <t xml:space="preserve">womens-barrel-jeans-asymmetrical-wrap-waist-wide-leg-cuffed</t>
  </si>
  <si>
    <t xml:space="preserve">Women's Barrel Jeans | Asymmetrical Wrap Waist Wide Leg Cuffed</t>
  </si>
  <si>
    <t xml:space="preserve">womens-barrel-jeans-high-waist-denim-barrel-leg-knee-seam</t>
  </si>
  <si>
    <t xml:space="preserve">Women's Barrel Jeans | High Waist Denim Barrel Leg Knee Seam</t>
  </si>
  <si>
    <t xml:space="preserve">womens-barrel-jeans-high-waist-denim-cropped-leg</t>
  </si>
  <si>
    <t xml:space="preserve">Women's Barrel Jeans | High Waist Denim Cropped Leg</t>
  </si>
  <si>
    <t xml:space="preserve">womens-barrel-jeans-leopard-print-mid-rise-denim-ankle</t>
  </si>
  <si>
    <t xml:space="preserve">Women's Barrel Jeans | Leopard Print Mid-Rise Denim Ankle</t>
  </si>
  <si>
    <t xml:space="preserve">womens-barrel-jeans-mid-rise-wide-leg-stretch-denim</t>
  </si>
  <si>
    <t xml:space="preserve">Women's Barrel Jeans | Mid-Rise Wide Leg Stretch Denim</t>
  </si>
  <si>
    <t xml:space="preserve">womens-cargo-pants-capri-length-drawcord-cargo-pockets</t>
  </si>
  <si>
    <t xml:space="preserve">Women's Cargo Pants | Capri Length Drawcord Cargo Pockets</t>
  </si>
  <si>
    <t xml:space="preserve">womens-cargo-pants-high-waisted-wide-leg-relaxed-fit</t>
  </si>
  <si>
    <t xml:space="preserve">Women's Cargo Pants | High-Waisted Wide-Leg Relaxed Fit</t>
  </si>
  <si>
    <t xml:space="preserve">womens-cargo-pants-wide-leg-denim-relaxed-fit-pockets</t>
  </si>
  <si>
    <t xml:space="preserve">Women's Cargo Pants | Wide Leg Denim Relaxed Fit Pockets</t>
  </si>
  <si>
    <t xml:space="preserve">womens-cargo-pants-wide-leg-drawstring-elastic-waist-cotton</t>
  </si>
  <si>
    <t xml:space="preserve">Women's Cargo Pants | Wide Leg Drawstring Elastic Waist Cotton</t>
  </si>
  <si>
    <t xml:space="preserve">womens-cargo-pants-wide-leg-loose-fit-cotton-linen</t>
  </si>
  <si>
    <t xml:space="preserve">Women's Cargo Pants | Wide Leg Loose Fit Cotton Linen</t>
  </si>
  <si>
    <t xml:space="preserve">womens-jeans-high-waist-straight-leg-cropped-denim</t>
  </si>
  <si>
    <t xml:space="preserve">Women's Jeans | High Waist Straight Leg Cropped Denim</t>
  </si>
  <si>
    <t xml:space="preserve">womens-jeans-high-rise-wide-leg-denim-five-pocket</t>
  </si>
  <si>
    <t xml:space="preserve">Women's Jeans | High-Rise Wide Leg Denim Five-Pocket</t>
  </si>
  <si>
    <t xml:space="preserve">womens-jeans-patchwork-design-drawstring-waist-wide-leg</t>
  </si>
  <si>
    <t xml:space="preserve">Women's Jeans | Patchwork Design Drawstring Waist Wide Leg</t>
  </si>
  <si>
    <t xml:space="preserve">womens-jeans-straight-leg-cropped-denim-faded-wash</t>
  </si>
  <si>
    <t xml:space="preserve">Women's Jeans | Straight Leg Cropped Denim Faded Wash</t>
  </si>
  <si>
    <t xml:space="preserve">womens-jeans-wide-leg-denim-fit-seam-details</t>
  </si>
  <si>
    <t xml:space="preserve">Women's Jeans | Wide Leg Denim Fit Seam Details</t>
  </si>
  <si>
    <t xml:space="preserve">womens-pj-pants-button-up-shirt-relaxed-fit-plaid-long-sleeve</t>
  </si>
  <si>
    <t xml:space="preserve">Women's PJ Pants | Button-Up Shirt Relaxed Fit Plaid Long Sleeve</t>
  </si>
  <si>
    <t xml:space="preserve">womens-pj-pants-relaxed-fit-wide-leg-elastic-waist</t>
  </si>
  <si>
    <t xml:space="preserve">Women's PJ Pants | Relaxed Fit Wide Leg Elastic Waist</t>
  </si>
  <si>
    <t xml:space="preserve">womens-pj-pants-ribbed-knit-wide-leg-adjustable-waist</t>
  </si>
  <si>
    <t xml:space="preserve">Women's PJ Pants | Ribbed Knit Wide-Leg Adjustable Waist</t>
  </si>
  <si>
    <t xml:space="preserve">womens-pants-asymmetric-wrap-front-high-rise-wide-leg</t>
  </si>
  <si>
    <t xml:space="preserve">Women's Pants | Asymmetric Wrap Front High Rise Wide Leg</t>
  </si>
  <si>
    <t xml:space="preserve">womens-pants-cropped-length-elastic-waist-botanical-print</t>
  </si>
  <si>
    <t xml:space="preserve">Women's Pants | Cropped Length Elastic Waist Botanical Print</t>
  </si>
  <si>
    <t xml:space="preserve">womens-pants-elastic-waist-relaxed-fit-lightweight</t>
  </si>
  <si>
    <t xml:space="preserve">Women's Pants | Elastic Waist Relaxed Fit Lightweight</t>
  </si>
  <si>
    <t xml:space="preserve">womens-pants-high-waist-wide-leg-circle-applique</t>
  </si>
  <si>
    <t xml:space="preserve">Women's Pants | High Waist Wide Leg Circle Applique</t>
  </si>
  <si>
    <t xml:space="preserve">womens-pants-vertical-stripe-drawstring-cropped</t>
  </si>
  <si>
    <t xml:space="preserve">Women's Pants | Vertical Stripe Drawstring Cropped</t>
  </si>
  <si>
    <t xml:space="preserve">womens-pj-pants-wide-leg-elastic-waist-ribbed-knit</t>
  </si>
  <si>
    <t xml:space="preserve">Women's Pj Pants | Wide Leg Elastic Waist Ribbed Knit</t>
  </si>
  <si>
    <t xml:space="preserve">womens-pj-pants-wide-leg-knit-drawstring</t>
  </si>
  <si>
    <t xml:space="preserve">Women's pj pants | Wide Leg Knit Drawstring</t>
  </si>
  <si>
    <t xml:space="preserve">womens-christmas-dress-midi-corset-bustier-sweetheart</t>
  </si>
  <si>
    <t xml:space="preserve">Women's Christmas Dress | Midi Corset Bustier Sweetheart</t>
  </si>
  <si>
    <t xml:space="preserve">womens-christmas-dress-midi-length-ornate-print-long-sleeve</t>
  </si>
  <si>
    <t xml:space="preserve">Women's Christmas Dress | Midi Length Ornate Print Long Sleeve</t>
  </si>
  <si>
    <t xml:space="preserve">womens-christmas-dress-midi-length-rounded-neckline-sleeveless</t>
  </si>
  <si>
    <t xml:space="preserve">Women's Christmas Dress | Midi Length Rounded Neckline Sleeveless</t>
  </si>
  <si>
    <t xml:space="preserve">womens-christmas-dress-midi-sleeveless-bow-asymmetric</t>
  </si>
  <si>
    <t xml:space="preserve">Women's Christmas Dress | Midi Sleeveless Bow Asymmetric</t>
  </si>
  <si>
    <t xml:space="preserve">womens-christmas-dress-velvet-lapel-collar-long-sleeves-ruffled-hem</t>
  </si>
  <si>
    <t xml:space="preserve">Women's Christmas Dress | Velvet Lapel Collar Long Sleeves Ruffled Hem</t>
  </si>
  <si>
    <t xml:space="preserve">womens-cocktail-dress-cowl-neckline-mini-satin-rosette</t>
  </si>
  <si>
    <t xml:space="preserve">Women's Cocktail Dress | Cowl Neckline Mini Satin Rosette</t>
  </si>
  <si>
    <t xml:space="preserve">womens-cocktail-dress-midi-crossover-v-neck-half-sleeve</t>
  </si>
  <si>
    <t xml:space="preserve">Women's Cocktail Dress | Midi Crossover V-Neck Half Sleeve</t>
  </si>
  <si>
    <t xml:space="preserve">womens-cocktail-dress-midi-keyhole-sleeveless-wrap</t>
  </si>
  <si>
    <t xml:space="preserve">Women's Cocktail Dress | Midi Keyhole Sleeveless Wrap</t>
  </si>
  <si>
    <t xml:space="preserve">womens-cocktail-dress-off-shoulder-midi-side-slit</t>
  </si>
  <si>
    <t xml:space="preserve">Women's Cocktail Dress | Off Shoulder Midi Side Slit</t>
  </si>
  <si>
    <t xml:space="preserve">womens-cocktail-dress-v-neck-midi-wrap-tie</t>
  </si>
  <si>
    <t xml:space="preserve">Women's Cocktail Dress | V-Neck Midi Wrap Tie</t>
  </si>
  <si>
    <t xml:space="preserve">womens-formal-dress-halter-neck-maxi-satin-sleeveless</t>
  </si>
  <si>
    <t xml:space="preserve">Women's Formal Dress | Halter Neck Maxi Satin Sleeveless</t>
  </si>
  <si>
    <t xml:space="preserve">womens-formal-dress-maxi-length-collared-wrap-front</t>
  </si>
  <si>
    <t xml:space="preserve">Women's Formal Dress | Maxi Length Collared Wrap Front</t>
  </si>
  <si>
    <t xml:space="preserve">womens-formal-dress-midi-length-wrap-neckline-pleated-skirt</t>
  </si>
  <si>
    <t xml:space="preserve">Women's Formal Dress | Midi Length Wrap Neckline Pleated Skirt</t>
  </si>
  <si>
    <t xml:space="preserve">womens-formal-dress-strapless-corset-maxi-draped</t>
  </si>
  <si>
    <t xml:space="preserve">Women's Formal Dress | Strapless Corset Maxi Draped</t>
  </si>
  <si>
    <t xml:space="preserve">womens-wedding-guest-dress-maxi-floral-v-neck-long-sleeve-tiered</t>
  </si>
  <si>
    <t xml:space="preserve">Women's Wedding Guest Dress | Maxi Floral V-Neck Long Sleeve Tiered</t>
  </si>
  <si>
    <t xml:space="preserve">womens-wedding-guest-dress-maxi-halter-floral-tiered</t>
  </si>
  <si>
    <t xml:space="preserve">Women's Wedding Guest Dress | Maxi Halter Floral Tiered</t>
  </si>
  <si>
    <t xml:space="preserve">womens-wedding-guest-dress-midi-v-neck-long-sleeve-printed</t>
  </si>
  <si>
    <t xml:space="preserve">Women's Wedding Guest Dress | Midi V-Neck Long Sleeve Printed</t>
  </si>
  <si>
    <t xml:space="preserve">womens-wedding-guest-dress-one-shoulder-maxi-satin</t>
  </si>
  <si>
    <t xml:space="preserve">Women's Wedding Guest Dress | One-Shoulder Maxi Satin</t>
  </si>
  <si>
    <t xml:space="preserve">mens-full-zip-hooded-jacket-hood-zip-pockets-drawstring</t>
  </si>
  <si>
    <t xml:space="preserve">Men's Full-Zip Hooded Jacket | Hood Zip Pockets Drawstring</t>
  </si>
  <si>
    <t xml:space="preserve">mens-hooded-jacket-full-zip-hood-pockets-fleece-lined</t>
  </si>
  <si>
    <t xml:space="preserve">Men's Hooded Jacket | Full-Zip Hood Pockets Fleece Lined</t>
  </si>
  <si>
    <t xml:space="preserve">mens-hooded-jacket-geometric-print-hood-full-zip-pockets</t>
  </si>
  <si>
    <t xml:space="preserve">Men's Hooded Jacket | Geometric Print Hood Full Zip Pockets</t>
  </si>
  <si>
    <t xml:space="preserve">mens-jacket-stand-collar-cotton-blend-zip-utility</t>
  </si>
  <si>
    <t xml:space="preserve">Men's Jacket | Stand Collar Cotton-Blend Zip Utility</t>
  </si>
  <si>
    <t xml:space="preserve">mens-linen-jacket-regular-fit-notched-lapel-two-button</t>
  </si>
  <si>
    <t xml:space="preserve">Men's Linen Jacket | Regular Fit Notched Lapel Two Button</t>
  </si>
  <si>
    <t xml:space="preserve">mens-puffer-jacket-hooded-quilted-zip-pockets</t>
  </si>
  <si>
    <t xml:space="preserve">Men's Puffer Jacket | Hooded Quilted Zip Pockets</t>
  </si>
  <si>
    <t xml:space="preserve">mens-quilted-jacket-diamond-stitching-zip-closure-ribbed-cuffs</t>
  </si>
  <si>
    <t xml:space="preserve">Men's Quilted Jacket | Diamond Stitching Zip Closure Ribbed Cuffs</t>
  </si>
  <si>
    <t xml:space="preserve">mens-suede-jacket-bomber-style-zip-closure-tailored-fit</t>
  </si>
  <si>
    <t xml:space="preserve">Men's Suede Jacket | Bomber Style Zip Closure Tailored Fit</t>
  </si>
  <si>
    <t xml:space="preserve">mens-trench-coat-hooded-long-padded-waterproof</t>
  </si>
  <si>
    <t xml:space="preserve">Men's Trench Coat | Hooded Long Padded Waterproof</t>
  </si>
  <si>
    <t xml:space="preserve">mens-trench-coat-long-cut-button-closure-notch-collar</t>
  </si>
  <si>
    <t xml:space="preserve">Men's Trench Coat | Long Cut Button Closure Notch Collar</t>
  </si>
  <si>
    <t xml:space="preserve">womens-boho-jacket-velvet-patchwork-open-front-long-sleeves</t>
  </si>
  <si>
    <t xml:space="preserve">Women's Boho Jacket | Velvet Patchwork Open Front Long Sleeves</t>
  </si>
  <si>
    <t xml:space="preserve">womens-coat-hooded-longline-puffer-quilted</t>
  </si>
  <si>
    <t xml:space="preserve">Women's Coat | Hooded Longline Puffer Quilted</t>
  </si>
  <si>
    <t xml:space="preserve">womens-coat-hooded-zip-closure-adjustable-waist</t>
  </si>
  <si>
    <t xml:space="preserve">Women's Coat | Hooded Zip Closure Adjustable Waist</t>
  </si>
  <si>
    <t xml:space="preserve">womens-coat-reversible-padded-long-hood</t>
  </si>
  <si>
    <t xml:space="preserve">Women's Coat | Reversible Padded Long Hood</t>
  </si>
  <si>
    <t xml:space="preserve">womens-jacket-denim-collar-knit-blend-open-front</t>
  </si>
  <si>
    <t xml:space="preserve">Women's Jacket | Denim Collar Knit Blend Open Front</t>
  </si>
  <si>
    <t xml:space="preserve">womens-jacket-textured-knit-full-zip-relaxed-fit</t>
  </si>
  <si>
    <t xml:space="preserve">Women's Jacket | Textured Knit Full Zip Relaxed Fit</t>
  </si>
  <si>
    <t xml:space="preserve">womens-puffer-jacket-cropped-oversized-quilted-hooded</t>
  </si>
  <si>
    <t xml:space="preserve">Women's Puffer Jacket | Cropped Oversized Quilted Hooded</t>
  </si>
  <si>
    <t xml:space="preserve">womens-puffer-jacket-diamond-quilted-collar-pockets</t>
  </si>
  <si>
    <t xml:space="preserve">Women's Puffer Jacket | Diamond Quilted Collar Pockets</t>
  </si>
  <si>
    <t xml:space="preserve">womens-puffer-jacket-hooded-down-blend-water-resistant-maxi</t>
  </si>
  <si>
    <t xml:space="preserve">Women's Puffer Jacket | Hooded Down Blend Water Resistant Maxi</t>
  </si>
  <si>
    <t xml:space="preserve">womens-quilted-coat-reversible-mid-length-puffer-closure</t>
  </si>
  <si>
    <t xml:space="preserve">Women's Quilted Coat | Reversible Mid-Length Puffer Closure</t>
  </si>
  <si>
    <t xml:space="preserve">womens-quilted-jacket-floral-print-stand-collar-snap-closure</t>
  </si>
  <si>
    <t xml:space="preserve">Women's Quilted Jacket | Floral Print Stand Collar Snap Closure</t>
  </si>
  <si>
    <t xml:space="preserve">womens-shimmer-jacket-cropped-cut-open-front-three-quarter-sleeve</t>
  </si>
  <si>
    <t xml:space="preserve">Women's Shimmer Jacket | Cropped Cut Open Front Three Quarter Sleeve</t>
  </si>
  <si>
    <t xml:space="preserve">womens-trench-coat-double-breasted-lapel-denim-midi</t>
  </si>
  <si>
    <t xml:space="preserve">Women's Trench Coat | Double Breasted Lapel Denim Midi</t>
  </si>
  <si>
    <t xml:space="preserve">womens-trench-coat-double-breasted-notched-lapel-wool</t>
  </si>
  <si>
    <t xml:space="preserve">Women's Trench Coat | Double Breasted Notched Lapel Wool</t>
  </si>
  <si>
    <t xml:space="preserve">womens-trench-coat-leopard-print-lapel-belted-long-sleeve</t>
  </si>
  <si>
    <t xml:space="preserve">Women's Trench Coat | Leopard Print Lapel Belted Long Sleeve</t>
  </si>
  <si>
    <t xml:space="preserve">womens-trench-coat-notch-lapel-adjustable-waist-wool</t>
  </si>
  <si>
    <t xml:space="preserve">Women's Trench Coat | Notch Lapel Adjustable Waist Wool</t>
  </si>
  <si>
    <t xml:space="preserve">womens-trench-coat-notched-lapel-double-breasted-belted</t>
  </si>
  <si>
    <t xml:space="preserve">Women's Trench Coat | Notched Lapel Double-Breasted Belted</t>
  </si>
  <si>
    <t xml:space="preserve">leather-shoe-for-men-lace-up-low-top-rubber-sole</t>
  </si>
  <si>
    <t xml:space="preserve">Leather Shoe For Men | Lace Up Low Top Rubber Sole</t>
  </si>
  <si>
    <t xml:space="preserve">loafer-shoe-for-men-tassel-slip-on-leather-polished</t>
  </si>
  <si>
    <t xml:space="preserve">Loafer Shoe For Men | Tassel Slip-On Leather Polished</t>
  </si>
  <si>
    <t xml:space="preserve">mens-lace-up-shoe-suede-upper-rounded-toe-flat-heel</t>
  </si>
  <si>
    <t xml:space="preserve">Men's Lace-Up Shoe | Suede Upper Rounded Toe Flat Heel</t>
  </si>
  <si>
    <t xml:space="preserve">mens-shoe-two-tone-leather-lace-up-court-sole</t>
  </si>
  <si>
    <t xml:space="preserve">Men's Shoe | Two-Tone Leather Lace-Up Court Sole</t>
  </si>
  <si>
    <t xml:space="preserve">mens-slip-on-shoe-woven-upper-elastic-gusset-padded-collar</t>
  </si>
  <si>
    <t xml:space="preserve">Men's Slip-On Shoe | Woven Upper Elastic Gusset Padded Collar</t>
  </si>
  <si>
    <t xml:space="preserve">womens-clogs-closed-toe-wedge-arch-support-leather</t>
  </si>
  <si>
    <t xml:space="preserve">Women's Clogs | Closed Toe Wedge Arch Support Leather</t>
  </si>
  <si>
    <t xml:space="preserve">womens-clogs-perforated-wedge-sole-slip-on-adjustable-strap</t>
  </si>
  <si>
    <t xml:space="preserve">Women's Clogs | Perforated Wedge Sole Slip-On Adjustable Strap</t>
  </si>
  <si>
    <t xml:space="preserve">womens-clogs-suede-buckle-strap-open-back-slip-on</t>
  </si>
  <si>
    <t xml:space="preserve">Women's Clogs | Suede Buckle Strap Open Back Slip-On</t>
  </si>
  <si>
    <t xml:space="preserve">womens-clogs-suede-cushioned-footbed-adjustable-strap</t>
  </si>
  <si>
    <t xml:space="preserve">Women's Clogs | Suede Cushioned Footbed Adjustable Strap</t>
  </si>
  <si>
    <t xml:space="preserve">womens-clogs-wedge-sole-slip-on-cushioned-suede</t>
  </si>
  <si>
    <t xml:space="preserve">Women's Clogs | Wedge Sole Slip-On Cushioned Suede</t>
  </si>
  <si>
    <t xml:space="preserve">womens-flats-square-toe-jeweled-buckle-knit</t>
  </si>
  <si>
    <t xml:space="preserve">Women's Flats | Square Toe Jeweled Buckle Knit</t>
  </si>
  <si>
    <t xml:space="preserve">womens-flats-woven-slip-on-flat-sole-cushioned</t>
  </si>
  <si>
    <t xml:space="preserve">Women's Flats | Woven Slip-On Flat Sole Cushioned</t>
  </si>
  <si>
    <t xml:space="preserve">womens-pointed-knit-flats-pointed-toe-slip-on-knit</t>
  </si>
  <si>
    <t xml:space="preserve">Women's Pointed Knit Flats | Pointed Toe Slip-On Knit</t>
  </si>
  <si>
    <t xml:space="preserve">womens-shoe-lace-closure-quick-dry-mesh-barefoot</t>
  </si>
  <si>
    <t xml:space="preserve">Women's Shoe | Lace Closure Quick-Dry Mesh Barefoot</t>
  </si>
  <si>
    <t xml:space="preserve">womens-shoe-mesh-knit-lace-up-lightweight-cushioned</t>
  </si>
  <si>
    <t xml:space="preserve">Women's Shoe | Mesh Knit Lace-Up Lightweight Cushioned</t>
  </si>
  <si>
    <t xml:space="preserve">womens-shoe-mesh-upper-lace-up-breathable-lightweight</t>
  </si>
  <si>
    <t xml:space="preserve">Women's Shoe | Mesh Upper Lace-Up Breathable Lightweight</t>
  </si>
  <si>
    <t xml:space="preserve">womens-shoe-pointed-toe-flat-knot-detail</t>
  </si>
  <si>
    <t xml:space="preserve">Women's Shoe | Pointed Toe Flat Knot Detail</t>
  </si>
  <si>
    <t xml:space="preserve">womens-shoe-rounded-toe-zip-closure-leather</t>
  </si>
  <si>
    <t xml:space="preserve">Women's Shoe | Rounded Toe Zip Closure Leather</t>
  </si>
  <si>
    <t xml:space="preserve">womens-shoe-slip-on-loafer-cushioned-supportive-breathable</t>
  </si>
  <si>
    <t xml:space="preserve">Women's Shoe | Slip-On Loafer Cushioned Supportive Breathable</t>
  </si>
  <si>
    <t xml:space="preserve">womens-t-bar-shoe-platform-heel-t-strap-buckle-closed-toe</t>
  </si>
  <si>
    <t xml:space="preserve">Women's T-Bar Shoe | Platform Heel T-Strap Buckle Closed Toe</t>
  </si>
  <si>
    <t xml:space="preserve">womens-woven-flats-pointed-toe-slingback-slip-on</t>
  </si>
  <si>
    <t xml:space="preserve">Women's Woven Flats | Pointed Toe Slingback Slip On</t>
  </si>
  <si>
    <t xml:space="preserve">womens-sneakers-lace-up-closure-cushioned-sole-leather-upper</t>
  </si>
  <si>
    <t xml:space="preserve">Women's Sneakers | Lace-Up Closure Cushioned Sole Leather Upper</t>
  </si>
  <si>
    <t xml:space="preserve">womens-sneakers-mesh-upper-adjustable-strap-cushioned-sole</t>
  </si>
  <si>
    <t xml:space="preserve">Women's Sneakers | Mesh Upper Adjustable Strap Cushioned Sole</t>
  </si>
  <si>
    <t xml:space="preserve">womens-sneakers-patterned-high-top-lace-up-canvas</t>
  </si>
  <si>
    <t xml:space="preserve">Women's Sneakers | Patterned High-Top Lace-Up Canvas</t>
  </si>
  <si>
    <t xml:space="preserve">womens-sneakers-wedge-heel-glitter-slip-on</t>
  </si>
  <si>
    <t xml:space="preserve">Women's Sneakers | Wedge Heel Glitter Slip On</t>
  </si>
  <si>
    <t xml:space="preserve">womens-heels-pointed-toe-block-heel-slip-on</t>
  </si>
  <si>
    <t xml:space="preserve">Women's Heels | Pointed Toe Block Heel Slip On</t>
  </si>
  <si>
    <t xml:space="preserve">womens-heels-strap-closure-block-heel-rounded-toe</t>
  </si>
  <si>
    <t xml:space="preserve">Women's Heels | Strap Closure Block Heel Rounded Toe</t>
  </si>
  <si>
    <t xml:space="preserve">womens-heels-t-strap-ankle-buckle-block-heel</t>
  </si>
  <si>
    <t xml:space="preserve">Women's Heels | T-Strap Ankle Buckle Block Heel</t>
  </si>
  <si>
    <t xml:space="preserve">womens-mary-jane-buckle-strap-leather-platform</t>
  </si>
  <si>
    <t xml:space="preserve">Women's Mary Jane | Buckle Strap Leather Platform</t>
  </si>
  <si>
    <t xml:space="preserve">mens-boots-crocodile-leather-buckle-zip-closure</t>
  </si>
  <si>
    <t xml:space="preserve">Men's Boots | Crocodile Leather Buckle Zip Closure</t>
  </si>
  <si>
    <t xml:space="preserve">mens-boots-lace-up-leather-cap-toe</t>
  </si>
  <si>
    <t xml:space="preserve">Men's Boots | Lace-Up Leather Cap Toe</t>
  </si>
  <si>
    <t xml:space="preserve">mens-boots-leather-zipper-closure-block-heel</t>
  </si>
  <si>
    <t xml:space="preserve">Men's Boots | Leather Zipper Closure Block Heel</t>
  </si>
  <si>
    <t xml:space="preserve">mens-boots-mid-calf-leather-buckle-strap</t>
  </si>
  <si>
    <t xml:space="preserve">Men's Boots | Mid-Calf Leather Buckle Strap</t>
  </si>
  <si>
    <t xml:space="preserve">mens-boots-wingtip-brogue-lace-up-leather</t>
  </si>
  <si>
    <t xml:space="preserve">Men's Boots | Wingtip Brogue Lace-Up Leather</t>
  </si>
  <si>
    <t xml:space="preserve">womens-chelsea-boots-round-toe-slip-on-ankle-leather</t>
  </si>
  <si>
    <t xml:space="preserve">Men's Chelsea Boots | Round Toe Slip-On Ankle Leather</t>
  </si>
  <si>
    <t xml:space="preserve">mens-chelsea-boots-slip-on-elastic-panels-leather</t>
  </si>
  <si>
    <t xml:space="preserve">Men's Chelsea Boots | Slip-On Elastic Panels Leather</t>
  </si>
  <si>
    <t xml:space="preserve">mens-cowboy-boots-square-toe-embroidered-western-leather</t>
  </si>
  <si>
    <t xml:space="preserve">Men's Cowboy Boots | Square Toe Embroidered Western Leather</t>
  </si>
  <si>
    <t xml:space="preserve">mens-work-boots-cap-toe-brogue-lace-up-leather</t>
  </si>
  <si>
    <t xml:space="preserve">Men's Work Boots | Cap Toe Brogue Lace Up Leather</t>
  </si>
  <si>
    <t xml:space="preserve">womens-boots-knee-high-leather-buckle-lug-sole</t>
  </si>
  <si>
    <t xml:space="preserve">Women's Boots | Knee-High Leather Buckle Lug Sole</t>
  </si>
  <si>
    <t xml:space="preserve">womens-boots-knee-high-suede-round-toe-block-heel</t>
  </si>
  <si>
    <t xml:space="preserve">Women's Boots | Knee-High Suede Round Toe Block Heel</t>
  </si>
  <si>
    <t xml:space="preserve">womens-boots-leather-fold-over-cuff-zip-closure-crepe-sole</t>
  </si>
  <si>
    <t xml:space="preserve">Women's Boots | Leather Fold-Over Cuff Zip Closure Crepe Sole</t>
  </si>
  <si>
    <t xml:space="preserve">womens-boots-mid-calf-faux-fur-cuff-braided-trim-pom-pom</t>
  </si>
  <si>
    <t xml:space="preserve">Women's Boots | Mid-Calf Faux Fur Cuff Braided Trim Pom-Pom</t>
  </si>
  <si>
    <t xml:space="preserve">womens-boots-mid-calf-lace-up-fur-trimmed-block-heel</t>
  </si>
  <si>
    <t xml:space="preserve">Women's Boots | Mid-Calf Lace-Up Fur-Trimmed Block Heel</t>
  </si>
  <si>
    <t xml:space="preserve">womens-boots-open-toe-wedge-peep-buckle</t>
  </si>
  <si>
    <t xml:space="preserve">Women's Boots | Open Toe Wedge Peep Buckle</t>
  </si>
  <si>
    <t xml:space="preserve">womens-boots-pointed-toe-western-suede-block-heel</t>
  </si>
  <si>
    <t xml:space="preserve">Women's Boots | Pointed Toe Western Suede Block Heel</t>
  </si>
  <si>
    <t xml:space="preserve">womens-boots-slim-heel-mid-calf-leather-lace-up</t>
  </si>
  <si>
    <t xml:space="preserve">Women's Boots | Slim Heel Mid-Calf Leather Lace-Up</t>
  </si>
  <si>
    <t xml:space="preserve">womens-chelsea-boots-geometric-chunky-platform-lug-sole</t>
  </si>
  <si>
    <t xml:space="preserve">Women's Chelsea Boots | Geometric Chunky Platform Lug Sole</t>
  </si>
  <si>
    <t xml:space="preserve">womens-chelsea-boots-platform-sole-elastic-side-panels-leather</t>
  </si>
  <si>
    <t xml:space="preserve">Women's Chelsea Boots | Platform Sole Elastic Side Panels Leather</t>
  </si>
  <si>
    <t xml:space="preserve">womens-chelsea-boots-pull-on-waterproof-leather</t>
  </si>
  <si>
    <t xml:space="preserve">Women's Chelsea Boots | Pull-On Waterproof Leather</t>
  </si>
  <si>
    <t xml:space="preserve">womens-chelsea-boots-wedge-sole-zip-closure-tapered</t>
  </si>
  <si>
    <t xml:space="preserve">Women's Chelsea Boots | Wedge Sole Zip Closure Tapered</t>
  </si>
  <si>
    <t xml:space="preserve">womens-cowboy-boots-ankle-height-suede-western-stitching</t>
  </si>
  <si>
    <t xml:space="preserve">Women's Cowboy Boots | Ankle Height Suede Western Stitching</t>
  </si>
  <si>
    <t xml:space="preserve">womens-cowboy-boots-embroidered-shaft-western-pull-on-leather</t>
  </si>
  <si>
    <t xml:space="preserve">Women's Cowboy Boots | Embroidered Shaft Western Pull-On Leather</t>
  </si>
  <si>
    <t xml:space="preserve">womens-cowboy-boots-pointed-toe-chunky-heel-leopard-print</t>
  </si>
  <si>
    <t xml:space="preserve">Women's Cowboy Boots | Pointed Toe Chunky Heel Leopard Print</t>
  </si>
  <si>
    <t xml:space="preserve">womens-cowboy-boots-studded-suede-stacked-heel-western</t>
  </si>
  <si>
    <t xml:space="preserve">Women's Cowboy Boots | Studded Suede Stacked Heel Western</t>
  </si>
  <si>
    <t xml:space="preserve">womens-cowboy-boots-suede-western-ankle-pull-on</t>
  </si>
  <si>
    <t xml:space="preserve">Women's Cowboy Boots | Suede Western Ankle Pull-On</t>
  </si>
  <si>
    <t xml:space="preserve">womens-waterproof-boots-ankle-height-round-toe-slip-on-leather</t>
  </si>
  <si>
    <t xml:space="preserve">Women's Waterproof Boots | Ankle Height Round Toe Slip-On Leather</t>
  </si>
  <si>
    <t xml:space="preserve">womens-waterproof-boots-chelsea-slip-on-lug-sole-knit</t>
  </si>
  <si>
    <t xml:space="preserve">Women's Waterproof Boots | Chelsea Slip-On Lug Sole Knit</t>
  </si>
  <si>
    <t xml:space="preserve">womens-waterproof-boots-knee-high-suede-buckle-strap</t>
  </si>
  <si>
    <t xml:space="preserve">Women's Waterproof Boots | Knee-High Suede Buckle Strap</t>
  </si>
  <si>
    <t xml:space="preserve">womens-waterproof-boots-lace-up-ankle-faux-fur-lined</t>
  </si>
  <si>
    <t xml:space="preserve">Women's Waterproof Boots | Lace-Up Ankle Faux Fur Lined</t>
  </si>
  <si>
    <t xml:space="preserve">womens-work-boots-ankle-cutout-block-heel-zip-closure</t>
  </si>
  <si>
    <t xml:space="preserve">Women's Work Boots | Ankle Cutout Block Heel Zip Closure</t>
  </si>
  <si>
    <t xml:space="preserve">womens-work-boots-mesh-ankle-block-heel-side-zip</t>
  </si>
  <si>
    <t xml:space="preserve">Women's Work Boots | Mesh Ankle Block Heel Side Zip</t>
  </si>
  <si>
    <t xml:space="preserve">womens-work-boots-square-toe-block-heel-suede</t>
  </si>
  <si>
    <t xml:space="preserve">Women's Work Boots | Square Toe Block Heel Suede</t>
  </si>
  <si>
    <t xml:space="preserve">womens-work-boots-vintage-button-detail-round-toe-kitten-heel</t>
  </si>
  <si>
    <t xml:space="preserve">Women's Work Boots | Vintage Button Detail Round Toe Kitten Heel</t>
  </si>
  <si>
    <t xml:space="preserve">SSB — samenvatting prijsvoorstel</t>
  </si>
  <si>
    <t xml:space="preserve">Producten</t>
  </si>
  <si>
    <t xml:space="preserve">Gem. nu</t>
  </si>
  <si>
    <t xml:space="preserve">Gem. nieuw</t>
  </si>
  <si>
    <t xml:space="preserve">Omhoog</t>
  </si>
  <si>
    <t xml:space="preserve">Omlaag</t>
  </si>
  <si>
    <t xml:space="preserve">Gelijk</t>
  </si>
  <si>
    <t xml:space="preserve">Te controleren</t>
  </si>
  <si>
    <t xml:space="preserve">Totaal</t>
  </si>
  <si>
    <t xml:space="preserve">Laagste prijs nu</t>
  </si>
  <si>
    <t xml:space="preserve">Hoogste prijs nu</t>
  </si>
  <si>
    <t xml:space="preserve">Laagste prijs nieuw</t>
  </si>
  <si>
    <t xml:space="preserve">Hoogste prijs nieuw</t>
  </si>
  <si>
    <t xml:space="preserve">Gem. korting nu</t>
  </si>
  <si>
    <t xml:space="preserve">Gem. korting nieuw</t>
  </si>
  <si>
    <t xml:space="preserve">Opmerkingen</t>
  </si>
  <si>
    <t xml:space="preserve">Uitgangspunt: prijs volgt de productgroep, niet het losse product. Alles onder $44,95 gaat omhoog, alles boven de groepsprijs komt omlaag.</t>
  </si>
  <si>
    <t xml:space="preserve">De onderkant ($29,95–$39,95) verdwijnt: met gratis verzending en betaalde advertenties houd je daar te weinig marge over.</t>
  </si>
  <si>
    <t xml:space="preserve">De bovenkant ($89,95–$99,95) komt naar $84,95. Boven de $85 zakt de conversie in deze categorie hard en stijgt het retourpercentage.</t>
  </si>
  <si>
    <t xml:space="preserve">Compare-at houdt per product hetzelfde kortingspercentage als nu, tenzij je in Tiers de uniforme korting aanzet.</t>
  </si>
  <si>
    <t xml:space="preserve">GMC-risico: elk product staat nu op een vaste 40/45/50% korting. Een doorstreepprijs die nooit de echte verkoopprijs was, is in Google Shopping een overtreding. Overweeg de korting te beperken tot 40% en per collectie te variëren.</t>
  </si>
  <si>
    <t xml:space="preserve">Deze sheet raakt de store niet. Zodra je hem goedkeurt, voer ik de prijzen via de Shopify API door in batches van maximaal 250 varianten.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</si>
</sst>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%"/>
    <numFmt numFmtId="167" formatCode="\$#,##0.00;&quot;($&quot;#,##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C2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A3743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2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A37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</row>
    <row r="4" customFormat="false" ht="15" hidden="false" customHeight="false" outlineLevel="0" collapsed="false">
      <c r="A4" s="4" t="s">
        <v>5</v>
      </c>
      <c r="B4" s="5" t="n">
        <v>44.95</v>
      </c>
      <c r="C4" s="6" t="s">
        <v>6</v>
      </c>
    </row>
    <row r="5" customFormat="false" ht="15" hidden="false" customHeight="false" outlineLevel="0" collapsed="false">
      <c r="A5" s="4" t="s">
        <v>7</v>
      </c>
      <c r="B5" s="5" t="n">
        <v>59.95</v>
      </c>
      <c r="C5" s="6" t="s">
        <v>8</v>
      </c>
    </row>
    <row r="6" customFormat="false" ht="15" hidden="false" customHeight="false" outlineLevel="0" collapsed="false">
      <c r="A6" s="4" t="s">
        <v>9</v>
      </c>
      <c r="B6" s="5" t="n">
        <v>59.95</v>
      </c>
      <c r="C6" s="6" t="s">
        <v>10</v>
      </c>
    </row>
    <row r="7" customFormat="false" ht="15" hidden="false" customHeight="false" outlineLevel="0" collapsed="false">
      <c r="A7" s="4" t="s">
        <v>11</v>
      </c>
      <c r="B7" s="5" t="n">
        <v>64.95</v>
      </c>
      <c r="C7" s="6" t="s">
        <v>12</v>
      </c>
    </row>
    <row r="8" customFormat="false" ht="15" hidden="false" customHeight="false" outlineLevel="0" collapsed="false">
      <c r="A8" s="4" t="s">
        <v>13</v>
      </c>
      <c r="B8" s="5" t="n">
        <v>84.95</v>
      </c>
      <c r="C8" s="6" t="s">
        <v>14</v>
      </c>
    </row>
    <row r="9" customFormat="false" ht="15" hidden="false" customHeight="false" outlineLevel="0" collapsed="false">
      <c r="A9" s="4" t="s">
        <v>15</v>
      </c>
      <c r="B9" s="5" t="n">
        <v>59.95</v>
      </c>
      <c r="C9" s="6" t="s">
        <v>16</v>
      </c>
    </row>
    <row r="10" customFormat="false" ht="15" hidden="false" customHeight="false" outlineLevel="0" collapsed="false">
      <c r="A10" s="4" t="s">
        <v>17</v>
      </c>
      <c r="B10" s="5" t="n">
        <v>64.95</v>
      </c>
      <c r="C10" s="6" t="s">
        <v>18</v>
      </c>
    </row>
    <row r="11" customFormat="false" ht="15" hidden="false" customHeight="false" outlineLevel="0" collapsed="false">
      <c r="A11" s="4" t="s">
        <v>19</v>
      </c>
      <c r="B11" s="5" t="n">
        <v>64.95</v>
      </c>
      <c r="C11" s="6" t="s">
        <v>20</v>
      </c>
    </row>
    <row r="12" customFormat="false" ht="15" hidden="false" customHeight="false" outlineLevel="0" collapsed="false">
      <c r="A12" s="4" t="s">
        <v>21</v>
      </c>
      <c r="B12" s="5" t="n">
        <v>79.95</v>
      </c>
      <c r="C12" s="6" t="s">
        <v>22</v>
      </c>
    </row>
    <row r="14" customFormat="false" ht="15" hidden="false" customHeight="false" outlineLevel="0" collapsed="false">
      <c r="A14" s="7" t="s">
        <v>23</v>
      </c>
    </row>
    <row r="15" customFormat="false" ht="15" hidden="false" customHeight="false" outlineLevel="0" collapsed="false">
      <c r="A15" s="4" t="s">
        <v>24</v>
      </c>
      <c r="B15" s="8" t="s">
        <v>25</v>
      </c>
    </row>
    <row r="16" customFormat="false" ht="15" hidden="false" customHeight="false" outlineLevel="0" collapsed="false">
      <c r="A16" s="4" t="s">
        <v>26</v>
      </c>
      <c r="B16" s="9" t="n">
        <v>0.45</v>
      </c>
    </row>
    <row r="17" customFormat="false" ht="15" hidden="false" customHeight="false" outlineLevel="0" collapsed="false">
      <c r="A17" s="2" t="s">
        <v>27</v>
      </c>
    </row>
    <row r="19" customFormat="false" ht="15" hidden="false" customHeight="false" outlineLevel="0" collapsed="false">
      <c r="A19" s="7" t="s">
        <v>28</v>
      </c>
    </row>
    <row r="20" customFormat="false" ht="15" hidden="false" customHeight="false" outlineLevel="0" collapsed="false">
      <c r="A20" s="10" t="s">
        <v>29</v>
      </c>
    </row>
    <row r="21" customFormat="false" ht="15" hidden="false" customHeight="false" outlineLevel="0" collapsed="false">
      <c r="A21" s="10" t="s">
        <v>30</v>
      </c>
    </row>
    <row r="22" customFormat="false" ht="15" hidden="false" customHeight="false" outlineLevel="0" collapsed="false">
      <c r="A22" s="10" t="s">
        <v>31</v>
      </c>
    </row>
    <row r="23" customFormat="false" ht="15" hidden="false" customHeight="false" outlineLevel="0" collapsed="false">
      <c r="A23" s="1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11" min="8" style="0" width="10"/>
    <col collapsed="false" customWidth="true" hidden="false" outlineLevel="0" max="12" min="12" style="0" width="15"/>
    <col collapsed="false" customWidth="true" hidden="false" outlineLevel="0" max="14" min="13" style="0" width="11"/>
    <col collapsed="false" customWidth="true" hidden="false" outlineLevel="0" max="15" min="15" style="0" width="15"/>
    <col collapsed="false" customWidth="true" hidden="false" outlineLevel="0" max="16" min="16" style="0" width="12"/>
    <col collapsed="false" customWidth="true" hidden="false" outlineLevel="0" max="17" min="17" style="0" width="10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3" customFormat="false" ht="26.85" hidden="false" customHeight="false" outlineLevel="0" collapsed="false">
      <c r="A3" s="11" t="s">
        <v>35</v>
      </c>
      <c r="B3" s="11" t="s">
        <v>36</v>
      </c>
      <c r="C3" s="11" t="s">
        <v>2</v>
      </c>
      <c r="D3" s="11" t="s">
        <v>37</v>
      </c>
      <c r="E3" s="11" t="s">
        <v>38</v>
      </c>
      <c r="F3" s="11" t="s">
        <v>39</v>
      </c>
      <c r="G3" s="11" t="s">
        <v>3</v>
      </c>
      <c r="H3" s="11" t="s">
        <v>40</v>
      </c>
      <c r="I3" s="11" t="s">
        <v>41</v>
      </c>
      <c r="J3" s="11" t="s">
        <v>42</v>
      </c>
      <c r="K3" s="11" t="s">
        <v>43</v>
      </c>
      <c r="L3" s="11" t="s">
        <v>44</v>
      </c>
      <c r="M3" s="11" t="s">
        <v>45</v>
      </c>
      <c r="N3" s="11" t="s">
        <v>46</v>
      </c>
      <c r="O3" s="11" t="s">
        <v>47</v>
      </c>
      <c r="P3" s="11" t="s">
        <v>48</v>
      </c>
      <c r="Q3" s="11" t="s">
        <v>49</v>
      </c>
    </row>
    <row r="4" customFormat="false" ht="15" hidden="false" customHeight="false" outlineLevel="0" collapsed="false">
      <c r="A4" s="12" t="s">
        <v>50</v>
      </c>
      <c r="B4" s="12" t="s">
        <v>51</v>
      </c>
      <c r="C4" s="12" t="s">
        <v>5</v>
      </c>
      <c r="D4" s="13" t="n">
        <v>49.95</v>
      </c>
      <c r="E4" s="13" t="n">
        <f aca="false">IFERROR(INDEX(Tiers!$B$4:$B$12,MATCH(C4,Tiers!$A$4:$A$12,0)),D4)</f>
        <v>44.95</v>
      </c>
      <c r="F4" s="14"/>
      <c r="G4" s="15" t="n">
        <f aca="false">IF(F4="",E4,F4)</f>
        <v>44.95</v>
      </c>
      <c r="H4" s="16" t="n">
        <f aca="false">G4-D4</f>
        <v>-5</v>
      </c>
      <c r="I4" s="17" t="n">
        <f aca="false">IFERROR((G4-D4)/D4,0)</f>
        <v>-0.1001001001001</v>
      </c>
      <c r="J4" s="12" t="str">
        <f aca="false">IF(G4&gt;D4,"Omhoog",IF(G4&lt;D4,"Omlaag","Gelijk"))</f>
        <v>Omlaag</v>
      </c>
      <c r="K4" s="18" t="str">
        <f aca="false">IF(ABS(I4)&gt;=0.2,"controleren","")</f>
        <v/>
      </c>
      <c r="L4" s="13" t="n">
        <v>99.9</v>
      </c>
      <c r="M4" s="17" t="n">
        <f aca="false">IFERROR(1-D4/L4,0)</f>
        <v>0.5</v>
      </c>
      <c r="N4" s="17" t="n">
        <f aca="false">IF(Tiers!$B$15="ja",Tiers!$B$16,M4)</f>
        <v>0.5</v>
      </c>
      <c r="O4" s="13" t="n">
        <f aca="false">ROUNDUP(G4/(1-N4),0)-0.05</f>
        <v>89.95</v>
      </c>
      <c r="P4" s="17" t="n">
        <f aca="false">IFERROR(1-G4/O4,0)</f>
        <v>0.500277932184547</v>
      </c>
      <c r="Q4" s="12" t="n">
        <v>14</v>
      </c>
    </row>
    <row r="5" customFormat="false" ht="15" hidden="false" customHeight="false" outlineLevel="0" collapsed="false">
      <c r="A5" s="12" t="s">
        <v>52</v>
      </c>
      <c r="B5" s="12" t="s">
        <v>53</v>
      </c>
      <c r="C5" s="12" t="s">
        <v>5</v>
      </c>
      <c r="D5" s="13" t="n">
        <v>39.95</v>
      </c>
      <c r="E5" s="13" t="n">
        <f aca="false">IFERROR(INDEX(Tiers!$B$4:$B$12,MATCH(C5,Tiers!$A$4:$A$12,0)),D5)</f>
        <v>44.95</v>
      </c>
      <c r="F5" s="14"/>
      <c r="G5" s="15" t="n">
        <f aca="false">IF(F5="",E5,F5)</f>
        <v>44.95</v>
      </c>
      <c r="H5" s="16" t="n">
        <f aca="false">G5-D5</f>
        <v>5</v>
      </c>
      <c r="I5" s="17" t="n">
        <f aca="false">IFERROR((G5-D5)/D5,0)</f>
        <v>0.125156445556946</v>
      </c>
      <c r="J5" s="12" t="str">
        <f aca="false">IF(G5&gt;D5,"Omhoog",IF(G5&lt;D5,"Omlaag","Gelijk"))</f>
        <v>Omhoog</v>
      </c>
      <c r="K5" s="18" t="str">
        <f aca="false">IF(ABS(I5)&gt;=0.2,"controleren","")</f>
        <v/>
      </c>
      <c r="L5" s="13" t="n">
        <v>72.64</v>
      </c>
      <c r="M5" s="17" t="n">
        <f aca="false">IFERROR(1-D5/L5,0)</f>
        <v>0.450027533039648</v>
      </c>
      <c r="N5" s="17" t="n">
        <f aca="false">IF(Tiers!$B$15="ja",Tiers!$B$16,M5)</f>
        <v>0.450027533039648</v>
      </c>
      <c r="O5" s="13" t="n">
        <f aca="false">ROUNDUP(G5/(1-N5),0)-0.05</f>
        <v>81.95</v>
      </c>
      <c r="P5" s="17" t="n">
        <f aca="false">IFERROR(1-G5/O5,0)</f>
        <v>0.451494813910921</v>
      </c>
      <c r="Q5" s="12" t="n">
        <v>20</v>
      </c>
    </row>
    <row r="6" customFormat="false" ht="15" hidden="false" customHeight="false" outlineLevel="0" collapsed="false">
      <c r="A6" s="12" t="s">
        <v>54</v>
      </c>
      <c r="B6" s="12" t="s">
        <v>55</v>
      </c>
      <c r="C6" s="12" t="s">
        <v>5</v>
      </c>
      <c r="D6" s="13" t="n">
        <v>44.95</v>
      </c>
      <c r="E6" s="13" t="n">
        <f aca="false">IFERROR(INDEX(Tiers!$B$4:$B$12,MATCH(C6,Tiers!$A$4:$A$12,0)),D6)</f>
        <v>44.95</v>
      </c>
      <c r="F6" s="14"/>
      <c r="G6" s="15" t="n">
        <f aca="false">IF(F6="",E6,F6)</f>
        <v>44.95</v>
      </c>
      <c r="H6" s="16" t="n">
        <f aca="false">G6-D6</f>
        <v>0</v>
      </c>
      <c r="I6" s="17" t="n">
        <f aca="false">IFERROR((G6-D6)/D6,0)</f>
        <v>0</v>
      </c>
      <c r="J6" s="12" t="str">
        <f aca="false">IF(G6&gt;D6,"Omhoog",IF(G6&lt;D6,"Omlaag","Gelijk"))</f>
        <v>Gelijk</v>
      </c>
      <c r="K6" s="18" t="str">
        <f aca="false">IF(ABS(I6)&gt;=0.2,"controleren","")</f>
        <v/>
      </c>
      <c r="L6" s="13" t="n">
        <v>81.73</v>
      </c>
      <c r="M6" s="17" t="n">
        <f aca="false">IFERROR(1-D6/L6,0)</f>
        <v>0.450018353113912</v>
      </c>
      <c r="N6" s="17" t="n">
        <f aca="false">IF(Tiers!$B$15="ja",Tiers!$B$16,M6)</f>
        <v>0.450018353113912</v>
      </c>
      <c r="O6" s="13" t="n">
        <f aca="false">ROUNDUP(G6/(1-N6),0)-0.05</f>
        <v>81.95</v>
      </c>
      <c r="P6" s="17" t="n">
        <f aca="false">IFERROR(1-G6/O6,0)</f>
        <v>0.451494813910921</v>
      </c>
      <c r="Q6" s="12" t="n">
        <v>20</v>
      </c>
    </row>
    <row r="7" customFormat="false" ht="15" hidden="false" customHeight="false" outlineLevel="0" collapsed="false">
      <c r="A7" s="12" t="s">
        <v>56</v>
      </c>
      <c r="B7" s="12" t="s">
        <v>57</v>
      </c>
      <c r="C7" s="12" t="s">
        <v>5</v>
      </c>
      <c r="D7" s="13" t="n">
        <v>44.95</v>
      </c>
      <c r="E7" s="13" t="n">
        <f aca="false">IFERROR(INDEX(Tiers!$B$4:$B$12,MATCH(C7,Tiers!$A$4:$A$12,0)),D7)</f>
        <v>44.95</v>
      </c>
      <c r="F7" s="14"/>
      <c r="G7" s="15" t="n">
        <f aca="false">IF(F7="",E7,F7)</f>
        <v>44.95</v>
      </c>
      <c r="H7" s="16" t="n">
        <f aca="false">G7-D7</f>
        <v>0</v>
      </c>
      <c r="I7" s="17" t="n">
        <f aca="false">IFERROR((G7-D7)/D7,0)</f>
        <v>0</v>
      </c>
      <c r="J7" s="12" t="str">
        <f aca="false">IF(G7&gt;D7,"Omhoog",IF(G7&lt;D7,"Omlaag","Gelijk"))</f>
        <v>Gelijk</v>
      </c>
      <c r="K7" s="18" t="str">
        <f aca="false">IF(ABS(I7)&gt;=0.2,"controleren","")</f>
        <v/>
      </c>
      <c r="L7" s="13" t="n">
        <v>89.9</v>
      </c>
      <c r="M7" s="17" t="n">
        <f aca="false">IFERROR(1-D7/L7,0)</f>
        <v>0.5</v>
      </c>
      <c r="N7" s="17" t="n">
        <f aca="false">IF(Tiers!$B$15="ja",Tiers!$B$16,M7)</f>
        <v>0.5</v>
      </c>
      <c r="O7" s="13" t="n">
        <f aca="false">ROUNDUP(G7/(1-N7),0)-0.05</f>
        <v>89.95</v>
      </c>
      <c r="P7" s="17" t="n">
        <f aca="false">IFERROR(1-G7/O7,0)</f>
        <v>0.500277932184547</v>
      </c>
      <c r="Q7" s="12" t="n">
        <v>21</v>
      </c>
    </row>
    <row r="8" customFormat="false" ht="15" hidden="false" customHeight="false" outlineLevel="0" collapsed="false">
      <c r="A8" s="12" t="s">
        <v>58</v>
      </c>
      <c r="B8" s="12" t="s">
        <v>59</v>
      </c>
      <c r="C8" s="12" t="s">
        <v>5</v>
      </c>
      <c r="D8" s="13" t="n">
        <v>44.95</v>
      </c>
      <c r="E8" s="13" t="n">
        <f aca="false">IFERROR(INDEX(Tiers!$B$4:$B$12,MATCH(C8,Tiers!$A$4:$A$12,0)),D8)</f>
        <v>44.95</v>
      </c>
      <c r="F8" s="14"/>
      <c r="G8" s="15" t="n">
        <f aca="false">IF(F8="",E8,F8)</f>
        <v>44.95</v>
      </c>
      <c r="H8" s="16" t="n">
        <f aca="false">G8-D8</f>
        <v>0</v>
      </c>
      <c r="I8" s="17" t="n">
        <f aca="false">IFERROR((G8-D8)/D8,0)</f>
        <v>0</v>
      </c>
      <c r="J8" s="12" t="str">
        <f aca="false">IF(G8&gt;D8,"Omhoog",IF(G8&lt;D8,"Omlaag","Gelijk"))</f>
        <v>Gelijk</v>
      </c>
      <c r="K8" s="18" t="str">
        <f aca="false">IF(ABS(I8)&gt;=0.2,"controleren","")</f>
        <v/>
      </c>
      <c r="L8" s="13" t="n">
        <v>89.9</v>
      </c>
      <c r="M8" s="17" t="n">
        <f aca="false">IFERROR(1-D8/L8,0)</f>
        <v>0.5</v>
      </c>
      <c r="N8" s="17" t="n">
        <f aca="false">IF(Tiers!$B$15="ja",Tiers!$B$16,M8)</f>
        <v>0.5</v>
      </c>
      <c r="O8" s="13" t="n">
        <f aca="false">ROUNDUP(G8/(1-N8),0)-0.05</f>
        <v>89.95</v>
      </c>
      <c r="P8" s="17" t="n">
        <f aca="false">IFERROR(1-G8/O8,0)</f>
        <v>0.500277932184547</v>
      </c>
      <c r="Q8" s="12" t="n">
        <v>18</v>
      </c>
    </row>
    <row r="9" customFormat="false" ht="15" hidden="false" customHeight="false" outlineLevel="0" collapsed="false">
      <c r="A9" s="12" t="s">
        <v>60</v>
      </c>
      <c r="B9" s="12" t="s">
        <v>61</v>
      </c>
      <c r="C9" s="12" t="s">
        <v>5</v>
      </c>
      <c r="D9" s="13" t="n">
        <v>44.95</v>
      </c>
      <c r="E9" s="13" t="n">
        <f aca="false">IFERROR(INDEX(Tiers!$B$4:$B$12,MATCH(C9,Tiers!$A$4:$A$12,0)),D9)</f>
        <v>44.95</v>
      </c>
      <c r="F9" s="14"/>
      <c r="G9" s="15" t="n">
        <f aca="false">IF(F9="",E9,F9)</f>
        <v>44.95</v>
      </c>
      <c r="H9" s="16" t="n">
        <f aca="false">G9-D9</f>
        <v>0</v>
      </c>
      <c r="I9" s="17" t="n">
        <f aca="false">IFERROR((G9-D9)/D9,0)</f>
        <v>0</v>
      </c>
      <c r="J9" s="12" t="str">
        <f aca="false">IF(G9&gt;D9,"Omhoog",IF(G9&lt;D9,"Omlaag","Gelijk"))</f>
        <v>Gelijk</v>
      </c>
      <c r="K9" s="18" t="str">
        <f aca="false">IF(ABS(I9)&gt;=0.2,"controleren","")</f>
        <v/>
      </c>
      <c r="L9" s="13" t="n">
        <v>81.73</v>
      </c>
      <c r="M9" s="17" t="n">
        <f aca="false">IFERROR(1-D9/L9,0)</f>
        <v>0.450018353113912</v>
      </c>
      <c r="N9" s="17" t="n">
        <f aca="false">IF(Tiers!$B$15="ja",Tiers!$B$16,M9)</f>
        <v>0.450018353113912</v>
      </c>
      <c r="O9" s="13" t="n">
        <f aca="false">ROUNDUP(G9/(1-N9),0)-0.05</f>
        <v>81.95</v>
      </c>
      <c r="P9" s="17" t="n">
        <f aca="false">IFERROR(1-G9/O9,0)</f>
        <v>0.451494813910921</v>
      </c>
      <c r="Q9" s="12" t="n">
        <v>12</v>
      </c>
    </row>
    <row r="10" customFormat="false" ht="15" hidden="false" customHeight="false" outlineLevel="0" collapsed="false">
      <c r="A10" s="12" t="s">
        <v>62</v>
      </c>
      <c r="B10" s="12" t="s">
        <v>63</v>
      </c>
      <c r="C10" s="12" t="s">
        <v>5</v>
      </c>
      <c r="D10" s="13" t="n">
        <v>44.95</v>
      </c>
      <c r="E10" s="13" t="n">
        <f aca="false">IFERROR(INDEX(Tiers!$B$4:$B$12,MATCH(C10,Tiers!$A$4:$A$12,0)),D10)</f>
        <v>44.95</v>
      </c>
      <c r="F10" s="14"/>
      <c r="G10" s="15" t="n">
        <f aca="false">IF(F10="",E10,F10)</f>
        <v>44.95</v>
      </c>
      <c r="H10" s="16" t="n">
        <f aca="false">G10-D10</f>
        <v>0</v>
      </c>
      <c r="I10" s="17" t="n">
        <f aca="false">IFERROR((G10-D10)/D10,0)</f>
        <v>0</v>
      </c>
      <c r="J10" s="12" t="str">
        <f aca="false">IF(G10&gt;D10,"Omhoog",IF(G10&lt;D10,"Omlaag","Gelijk"))</f>
        <v>Gelijk</v>
      </c>
      <c r="K10" s="18" t="str">
        <f aca="false">IF(ABS(I10)&gt;=0.2,"controleren","")</f>
        <v/>
      </c>
      <c r="L10" s="13" t="n">
        <v>81.73</v>
      </c>
      <c r="M10" s="17" t="n">
        <f aca="false">IFERROR(1-D10/L10,0)</f>
        <v>0.450018353113912</v>
      </c>
      <c r="N10" s="17" t="n">
        <f aca="false">IF(Tiers!$B$15="ja",Tiers!$B$16,M10)</f>
        <v>0.450018353113912</v>
      </c>
      <c r="O10" s="13" t="n">
        <f aca="false">ROUNDUP(G10/(1-N10),0)-0.05</f>
        <v>81.95</v>
      </c>
      <c r="P10" s="17" t="n">
        <f aca="false">IFERROR(1-G10/O10,0)</f>
        <v>0.451494813910921</v>
      </c>
      <c r="Q10" s="12" t="n">
        <v>28</v>
      </c>
    </row>
    <row r="11" customFormat="false" ht="15" hidden="false" customHeight="false" outlineLevel="0" collapsed="false">
      <c r="A11" s="12" t="s">
        <v>64</v>
      </c>
      <c r="B11" s="12" t="s">
        <v>65</v>
      </c>
      <c r="C11" s="12" t="s">
        <v>5</v>
      </c>
      <c r="D11" s="13" t="n">
        <v>44.95</v>
      </c>
      <c r="E11" s="13" t="n">
        <f aca="false">IFERROR(INDEX(Tiers!$B$4:$B$12,MATCH(C11,Tiers!$A$4:$A$12,0)),D11)</f>
        <v>44.95</v>
      </c>
      <c r="F11" s="14"/>
      <c r="G11" s="15" t="n">
        <f aca="false">IF(F11="",E11,F11)</f>
        <v>44.95</v>
      </c>
      <c r="H11" s="16" t="n">
        <f aca="false">G11-D11</f>
        <v>0</v>
      </c>
      <c r="I11" s="17" t="n">
        <f aca="false">IFERROR((G11-D11)/D11,0)</f>
        <v>0</v>
      </c>
      <c r="J11" s="12" t="str">
        <f aca="false">IF(G11&gt;D11,"Omhoog",IF(G11&lt;D11,"Omlaag","Gelijk"))</f>
        <v>Gelijk</v>
      </c>
      <c r="K11" s="18" t="str">
        <f aca="false">IF(ABS(I11)&gt;=0.2,"controleren","")</f>
        <v/>
      </c>
      <c r="L11" s="13" t="n">
        <v>81.73</v>
      </c>
      <c r="M11" s="17" t="n">
        <f aca="false">IFERROR(1-D11/L11,0)</f>
        <v>0.450018353113912</v>
      </c>
      <c r="N11" s="17" t="n">
        <f aca="false">IF(Tiers!$B$15="ja",Tiers!$B$16,M11)</f>
        <v>0.450018353113912</v>
      </c>
      <c r="O11" s="13" t="n">
        <f aca="false">ROUNDUP(G11/(1-N11),0)-0.05</f>
        <v>81.95</v>
      </c>
      <c r="P11" s="17" t="n">
        <f aca="false">IFERROR(1-G11/O11,0)</f>
        <v>0.451494813910921</v>
      </c>
      <c r="Q11" s="12" t="n">
        <v>24</v>
      </c>
    </row>
    <row r="12" customFormat="false" ht="15" hidden="false" customHeight="false" outlineLevel="0" collapsed="false">
      <c r="A12" s="12" t="s">
        <v>66</v>
      </c>
      <c r="B12" s="12" t="s">
        <v>67</v>
      </c>
      <c r="C12" s="12" t="s">
        <v>5</v>
      </c>
      <c r="D12" s="13" t="n">
        <v>49.95</v>
      </c>
      <c r="E12" s="13" t="n">
        <f aca="false">IFERROR(INDEX(Tiers!$B$4:$B$12,MATCH(C12,Tiers!$A$4:$A$12,0)),D12)</f>
        <v>44.95</v>
      </c>
      <c r="F12" s="14"/>
      <c r="G12" s="15" t="n">
        <f aca="false">IF(F12="",E12,F12)</f>
        <v>44.95</v>
      </c>
      <c r="H12" s="16" t="n">
        <f aca="false">G12-D12</f>
        <v>-5</v>
      </c>
      <c r="I12" s="17" t="n">
        <f aca="false">IFERROR((G12-D12)/D12,0)</f>
        <v>-0.1001001001001</v>
      </c>
      <c r="J12" s="12" t="str">
        <f aca="false">IF(G12&gt;D12,"Omhoog",IF(G12&lt;D12,"Omlaag","Gelijk"))</f>
        <v>Omlaag</v>
      </c>
      <c r="K12" s="18" t="str">
        <f aca="false">IF(ABS(I12)&gt;=0.2,"controleren","")</f>
        <v/>
      </c>
      <c r="L12" s="13" t="n">
        <v>83.25</v>
      </c>
      <c r="M12" s="17" t="n">
        <f aca="false">IFERROR(1-D12/L12,0)</f>
        <v>0.4</v>
      </c>
      <c r="N12" s="17" t="n">
        <f aca="false">IF(Tiers!$B$15="ja",Tiers!$B$16,M12)</f>
        <v>0.4</v>
      </c>
      <c r="O12" s="13" t="n">
        <f aca="false">ROUNDUP(G12/(1-N12),0)-0.05</f>
        <v>74.95</v>
      </c>
      <c r="P12" s="17" t="n">
        <f aca="false">IFERROR(1-G12/O12,0)</f>
        <v>0.400266844563042</v>
      </c>
      <c r="Q12" s="12" t="n">
        <v>72</v>
      </c>
    </row>
    <row r="13" customFormat="false" ht="15" hidden="false" customHeight="false" outlineLevel="0" collapsed="false">
      <c r="A13" s="12" t="s">
        <v>68</v>
      </c>
      <c r="B13" s="12" t="s">
        <v>69</v>
      </c>
      <c r="C13" s="12" t="s">
        <v>5</v>
      </c>
      <c r="D13" s="13" t="n">
        <v>44.95</v>
      </c>
      <c r="E13" s="13" t="n">
        <f aca="false">IFERROR(INDEX(Tiers!$B$4:$B$12,MATCH(C13,Tiers!$A$4:$A$12,0)),D13)</f>
        <v>44.95</v>
      </c>
      <c r="F13" s="14"/>
      <c r="G13" s="15" t="n">
        <f aca="false">IF(F13="",E13,F13)</f>
        <v>44.95</v>
      </c>
      <c r="H13" s="16" t="n">
        <f aca="false">G13-D13</f>
        <v>0</v>
      </c>
      <c r="I13" s="17" t="n">
        <f aca="false">IFERROR((G13-D13)/D13,0)</f>
        <v>0</v>
      </c>
      <c r="J13" s="12" t="str">
        <f aca="false">IF(G13&gt;D13,"Omhoog",IF(G13&lt;D13,"Omlaag","Gelijk"))</f>
        <v>Gelijk</v>
      </c>
      <c r="K13" s="18" t="str">
        <f aca="false">IF(ABS(I13)&gt;=0.2,"controleren","")</f>
        <v/>
      </c>
      <c r="L13" s="13" t="n">
        <v>81.73</v>
      </c>
      <c r="M13" s="17" t="n">
        <f aca="false">IFERROR(1-D13/L13,0)</f>
        <v>0.450018353113912</v>
      </c>
      <c r="N13" s="17" t="n">
        <f aca="false">IF(Tiers!$B$15="ja",Tiers!$B$16,M13)</f>
        <v>0.450018353113912</v>
      </c>
      <c r="O13" s="13" t="n">
        <f aca="false">ROUNDUP(G13/(1-N13),0)-0.05</f>
        <v>81.95</v>
      </c>
      <c r="P13" s="17" t="n">
        <f aca="false">IFERROR(1-G13/O13,0)</f>
        <v>0.451494813910921</v>
      </c>
      <c r="Q13" s="12" t="n">
        <v>12</v>
      </c>
    </row>
    <row r="14" customFormat="false" ht="15" hidden="false" customHeight="false" outlineLevel="0" collapsed="false">
      <c r="A14" s="12" t="s">
        <v>70</v>
      </c>
      <c r="B14" s="12" t="s">
        <v>71</v>
      </c>
      <c r="C14" s="12" t="s">
        <v>5</v>
      </c>
      <c r="D14" s="13" t="n">
        <v>34.95</v>
      </c>
      <c r="E14" s="13" t="n">
        <f aca="false">IFERROR(INDEX(Tiers!$B$4:$B$12,MATCH(C14,Tiers!$A$4:$A$12,0)),D14)</f>
        <v>44.95</v>
      </c>
      <c r="F14" s="14"/>
      <c r="G14" s="15" t="n">
        <f aca="false">IF(F14="",E14,F14)</f>
        <v>44.95</v>
      </c>
      <c r="H14" s="16" t="n">
        <f aca="false">G14-D14</f>
        <v>10</v>
      </c>
      <c r="I14" s="17" t="n">
        <f aca="false">IFERROR((G14-D14)/D14,0)</f>
        <v>0.286123032904149</v>
      </c>
      <c r="J14" s="12" t="str">
        <f aca="false">IF(G14&gt;D14,"Omhoog",IF(G14&lt;D14,"Omlaag","Gelijk"))</f>
        <v>Omhoog</v>
      </c>
      <c r="K14" s="18" t="str">
        <f aca="false">IF(ABS(I14)&gt;=0.2,"controleren","")</f>
        <v>controleren</v>
      </c>
      <c r="L14" s="13" t="n">
        <v>69.9</v>
      </c>
      <c r="M14" s="17" t="n">
        <f aca="false">IFERROR(1-D14/L14,0)</f>
        <v>0.5</v>
      </c>
      <c r="N14" s="17" t="n">
        <f aca="false">IF(Tiers!$B$15="ja",Tiers!$B$16,M14)</f>
        <v>0.5</v>
      </c>
      <c r="O14" s="13" t="n">
        <f aca="false">ROUNDUP(G14/(1-N14),0)-0.05</f>
        <v>89.95</v>
      </c>
      <c r="P14" s="17" t="n">
        <f aca="false">IFERROR(1-G14/O14,0)</f>
        <v>0.500277932184547</v>
      </c>
      <c r="Q14" s="12" t="n">
        <v>42</v>
      </c>
    </row>
    <row r="15" customFormat="false" ht="15" hidden="false" customHeight="false" outlineLevel="0" collapsed="false">
      <c r="A15" s="12" t="s">
        <v>72</v>
      </c>
      <c r="B15" s="12" t="s">
        <v>73</v>
      </c>
      <c r="C15" s="12" t="s">
        <v>5</v>
      </c>
      <c r="D15" s="13" t="n">
        <v>44.95</v>
      </c>
      <c r="E15" s="13" t="n">
        <f aca="false">IFERROR(INDEX(Tiers!$B$4:$B$12,MATCH(C15,Tiers!$A$4:$A$12,0)),D15)</f>
        <v>44.95</v>
      </c>
      <c r="F15" s="14"/>
      <c r="G15" s="15" t="n">
        <f aca="false">IF(F15="",E15,F15)</f>
        <v>44.95</v>
      </c>
      <c r="H15" s="16" t="n">
        <f aca="false">G15-D15</f>
        <v>0</v>
      </c>
      <c r="I15" s="17" t="n">
        <f aca="false">IFERROR((G15-D15)/D15,0)</f>
        <v>0</v>
      </c>
      <c r="J15" s="12" t="str">
        <f aca="false">IF(G15&gt;D15,"Omhoog",IF(G15&lt;D15,"Omlaag","Gelijk"))</f>
        <v>Gelijk</v>
      </c>
      <c r="K15" s="18" t="str">
        <f aca="false">IF(ABS(I15)&gt;=0.2,"controleren","")</f>
        <v/>
      </c>
      <c r="L15" s="13" t="n">
        <v>74.92</v>
      </c>
      <c r="M15" s="17" t="n">
        <f aca="false">IFERROR(1-D15/L15,0)</f>
        <v>0.400026695141484</v>
      </c>
      <c r="N15" s="17" t="n">
        <f aca="false">IF(Tiers!$B$15="ja",Tiers!$B$16,M15)</f>
        <v>0.400026695141484</v>
      </c>
      <c r="O15" s="13" t="n">
        <f aca="false">ROUNDUP(G15/(1-N15),0)-0.05</f>
        <v>74.95</v>
      </c>
      <c r="P15" s="17" t="n">
        <f aca="false">IFERROR(1-G15/O15,0)</f>
        <v>0.400266844563042</v>
      </c>
      <c r="Q15" s="12" t="n">
        <v>15</v>
      </c>
    </row>
    <row r="16" customFormat="false" ht="15" hidden="false" customHeight="false" outlineLevel="0" collapsed="false">
      <c r="A16" s="12" t="s">
        <v>74</v>
      </c>
      <c r="B16" s="12" t="s">
        <v>75</v>
      </c>
      <c r="C16" s="12" t="s">
        <v>5</v>
      </c>
      <c r="D16" s="13" t="n">
        <v>34.95</v>
      </c>
      <c r="E16" s="13" t="n">
        <f aca="false">IFERROR(INDEX(Tiers!$B$4:$B$12,MATCH(C16,Tiers!$A$4:$A$12,0)),D16)</f>
        <v>44.95</v>
      </c>
      <c r="F16" s="14"/>
      <c r="G16" s="15" t="n">
        <f aca="false">IF(F16="",E16,F16)</f>
        <v>44.95</v>
      </c>
      <c r="H16" s="16" t="n">
        <f aca="false">G16-D16</f>
        <v>10</v>
      </c>
      <c r="I16" s="17" t="n">
        <f aca="false">IFERROR((G16-D16)/D16,0)</f>
        <v>0.286123032904149</v>
      </c>
      <c r="J16" s="12" t="str">
        <f aca="false">IF(G16&gt;D16,"Omhoog",IF(G16&lt;D16,"Omlaag","Gelijk"))</f>
        <v>Omhoog</v>
      </c>
      <c r="K16" s="18" t="str">
        <f aca="false">IF(ABS(I16)&gt;=0.2,"controleren","")</f>
        <v>controleren</v>
      </c>
      <c r="L16" s="13" t="n">
        <v>69.9</v>
      </c>
      <c r="M16" s="17" t="n">
        <f aca="false">IFERROR(1-D16/L16,0)</f>
        <v>0.5</v>
      </c>
      <c r="N16" s="17" t="n">
        <f aca="false">IF(Tiers!$B$15="ja",Tiers!$B$16,M16)</f>
        <v>0.5</v>
      </c>
      <c r="O16" s="13" t="n">
        <f aca="false">ROUNDUP(G16/(1-N16),0)-0.05</f>
        <v>89.95</v>
      </c>
      <c r="P16" s="17" t="n">
        <f aca="false">IFERROR(1-G16/O16,0)</f>
        <v>0.500277932184547</v>
      </c>
      <c r="Q16" s="12" t="n">
        <v>25</v>
      </c>
    </row>
    <row r="17" customFormat="false" ht="15" hidden="false" customHeight="false" outlineLevel="0" collapsed="false">
      <c r="A17" s="12" t="s">
        <v>76</v>
      </c>
      <c r="B17" s="12" t="s">
        <v>77</v>
      </c>
      <c r="C17" s="12" t="s">
        <v>5</v>
      </c>
      <c r="D17" s="13" t="n">
        <v>39.95</v>
      </c>
      <c r="E17" s="13" t="n">
        <f aca="false">IFERROR(INDEX(Tiers!$B$4:$B$12,MATCH(C17,Tiers!$A$4:$A$12,0)),D17)</f>
        <v>44.95</v>
      </c>
      <c r="F17" s="14"/>
      <c r="G17" s="15" t="n">
        <f aca="false">IF(F17="",E17,F17)</f>
        <v>44.95</v>
      </c>
      <c r="H17" s="16" t="n">
        <f aca="false">G17-D17</f>
        <v>5</v>
      </c>
      <c r="I17" s="17" t="n">
        <f aca="false">IFERROR((G17-D17)/D17,0)</f>
        <v>0.125156445556946</v>
      </c>
      <c r="J17" s="12" t="str">
        <f aca="false">IF(G17&gt;D17,"Omhoog",IF(G17&lt;D17,"Omlaag","Gelijk"))</f>
        <v>Omhoog</v>
      </c>
      <c r="K17" s="18" t="str">
        <f aca="false">IF(ABS(I17)&gt;=0.2,"controleren","")</f>
        <v/>
      </c>
      <c r="L17" s="13" t="n">
        <v>66.58</v>
      </c>
      <c r="M17" s="17" t="n">
        <f aca="false">IFERROR(1-D17/L17,0)</f>
        <v>0.399969960949234</v>
      </c>
      <c r="N17" s="17" t="n">
        <f aca="false">IF(Tiers!$B$15="ja",Tiers!$B$16,M17)</f>
        <v>0.399969960949234</v>
      </c>
      <c r="O17" s="13" t="n">
        <f aca="false">ROUNDUP(G17/(1-N17),0)-0.05</f>
        <v>74.95</v>
      </c>
      <c r="P17" s="17" t="n">
        <f aca="false">IFERROR(1-G17/O17,0)</f>
        <v>0.400266844563042</v>
      </c>
      <c r="Q17" s="12" t="n">
        <v>6</v>
      </c>
    </row>
    <row r="18" customFormat="false" ht="15" hidden="false" customHeight="false" outlineLevel="0" collapsed="false">
      <c r="A18" s="12" t="s">
        <v>78</v>
      </c>
      <c r="B18" s="12" t="s">
        <v>79</v>
      </c>
      <c r="C18" s="12" t="s">
        <v>5</v>
      </c>
      <c r="D18" s="13" t="n">
        <v>34.95</v>
      </c>
      <c r="E18" s="13" t="n">
        <f aca="false">IFERROR(INDEX(Tiers!$B$4:$B$12,MATCH(C18,Tiers!$A$4:$A$12,0)),D18)</f>
        <v>44.95</v>
      </c>
      <c r="F18" s="14"/>
      <c r="G18" s="15" t="n">
        <f aca="false">IF(F18="",E18,F18)</f>
        <v>44.95</v>
      </c>
      <c r="H18" s="16" t="n">
        <f aca="false">G18-D18</f>
        <v>10</v>
      </c>
      <c r="I18" s="17" t="n">
        <f aca="false">IFERROR((G18-D18)/D18,0)</f>
        <v>0.286123032904149</v>
      </c>
      <c r="J18" s="12" t="str">
        <f aca="false">IF(G18&gt;D18,"Omhoog",IF(G18&lt;D18,"Omlaag","Gelijk"))</f>
        <v>Omhoog</v>
      </c>
      <c r="K18" s="18" t="str">
        <f aca="false">IF(ABS(I18)&gt;=0.2,"controleren","")</f>
        <v>controleren</v>
      </c>
      <c r="L18" s="13" t="n">
        <v>69.9</v>
      </c>
      <c r="M18" s="17" t="n">
        <f aca="false">IFERROR(1-D18/L18,0)</f>
        <v>0.5</v>
      </c>
      <c r="N18" s="17" t="n">
        <f aca="false">IF(Tiers!$B$15="ja",Tiers!$B$16,M18)</f>
        <v>0.5</v>
      </c>
      <c r="O18" s="13" t="n">
        <f aca="false">ROUNDUP(G18/(1-N18),0)-0.05</f>
        <v>89.95</v>
      </c>
      <c r="P18" s="17" t="n">
        <f aca="false">IFERROR(1-G18/O18,0)</f>
        <v>0.500277932184547</v>
      </c>
      <c r="Q18" s="12" t="n">
        <v>15</v>
      </c>
    </row>
    <row r="19" customFormat="false" ht="15" hidden="false" customHeight="false" outlineLevel="0" collapsed="false">
      <c r="A19" s="12" t="s">
        <v>80</v>
      </c>
      <c r="B19" s="12" t="s">
        <v>81</v>
      </c>
      <c r="C19" s="12" t="s">
        <v>5</v>
      </c>
      <c r="D19" s="13" t="n">
        <v>44.95</v>
      </c>
      <c r="E19" s="13" t="n">
        <f aca="false">IFERROR(INDEX(Tiers!$B$4:$B$12,MATCH(C19,Tiers!$A$4:$A$12,0)),D19)</f>
        <v>44.95</v>
      </c>
      <c r="F19" s="14"/>
      <c r="G19" s="15" t="n">
        <f aca="false">IF(F19="",E19,F19)</f>
        <v>44.95</v>
      </c>
      <c r="H19" s="16" t="n">
        <f aca="false">G19-D19</f>
        <v>0</v>
      </c>
      <c r="I19" s="17" t="n">
        <f aca="false">IFERROR((G19-D19)/D19,0)</f>
        <v>0</v>
      </c>
      <c r="J19" s="12" t="str">
        <f aca="false">IF(G19&gt;D19,"Omhoog",IF(G19&lt;D19,"Omlaag","Gelijk"))</f>
        <v>Gelijk</v>
      </c>
      <c r="K19" s="18" t="str">
        <f aca="false">IF(ABS(I19)&gt;=0.2,"controleren","")</f>
        <v/>
      </c>
      <c r="L19" s="13" t="n">
        <v>74.92</v>
      </c>
      <c r="M19" s="17" t="n">
        <f aca="false">IFERROR(1-D19/L19,0)</f>
        <v>0.400026695141484</v>
      </c>
      <c r="N19" s="17" t="n">
        <f aca="false">IF(Tiers!$B$15="ja",Tiers!$B$16,M19)</f>
        <v>0.400026695141484</v>
      </c>
      <c r="O19" s="13" t="n">
        <f aca="false">ROUNDUP(G19/(1-N19),0)-0.05</f>
        <v>74.95</v>
      </c>
      <c r="P19" s="17" t="n">
        <f aca="false">IFERROR(1-G19/O19,0)</f>
        <v>0.400266844563042</v>
      </c>
      <c r="Q19" s="12" t="n">
        <v>35</v>
      </c>
    </row>
    <row r="20" customFormat="false" ht="15" hidden="false" customHeight="false" outlineLevel="0" collapsed="false">
      <c r="A20" s="12" t="s">
        <v>82</v>
      </c>
      <c r="B20" s="12" t="s">
        <v>83</v>
      </c>
      <c r="C20" s="12" t="s">
        <v>5</v>
      </c>
      <c r="D20" s="13" t="n">
        <v>49.95</v>
      </c>
      <c r="E20" s="13" t="n">
        <f aca="false">IFERROR(INDEX(Tiers!$B$4:$B$12,MATCH(C20,Tiers!$A$4:$A$12,0)),D20)</f>
        <v>44.95</v>
      </c>
      <c r="F20" s="14"/>
      <c r="G20" s="15" t="n">
        <f aca="false">IF(F20="",E20,F20)</f>
        <v>44.95</v>
      </c>
      <c r="H20" s="16" t="n">
        <f aca="false">G20-D20</f>
        <v>-5</v>
      </c>
      <c r="I20" s="17" t="n">
        <f aca="false">IFERROR((G20-D20)/D20,0)</f>
        <v>-0.1001001001001</v>
      </c>
      <c r="J20" s="12" t="str">
        <f aca="false">IF(G20&gt;D20,"Omhoog",IF(G20&lt;D20,"Omlaag","Gelijk"))</f>
        <v>Omlaag</v>
      </c>
      <c r="K20" s="18" t="str">
        <f aca="false">IF(ABS(I20)&gt;=0.2,"controleren","")</f>
        <v/>
      </c>
      <c r="L20" s="13" t="n">
        <v>99.9</v>
      </c>
      <c r="M20" s="17" t="n">
        <f aca="false">IFERROR(1-D20/L20,0)</f>
        <v>0.5</v>
      </c>
      <c r="N20" s="17" t="n">
        <f aca="false">IF(Tiers!$B$15="ja",Tiers!$B$16,M20)</f>
        <v>0.5</v>
      </c>
      <c r="O20" s="13" t="n">
        <f aca="false">ROUNDUP(G20/(1-N20),0)-0.05</f>
        <v>89.95</v>
      </c>
      <c r="P20" s="17" t="n">
        <f aca="false">IFERROR(1-G20/O20,0)</f>
        <v>0.500277932184547</v>
      </c>
      <c r="Q20" s="12" t="n">
        <v>50</v>
      </c>
    </row>
    <row r="21" customFormat="false" ht="15" hidden="false" customHeight="false" outlineLevel="0" collapsed="false">
      <c r="A21" s="12" t="s">
        <v>84</v>
      </c>
      <c r="B21" s="12" t="s">
        <v>85</v>
      </c>
      <c r="C21" s="12" t="s">
        <v>5</v>
      </c>
      <c r="D21" s="13" t="n">
        <v>44.95</v>
      </c>
      <c r="E21" s="13" t="n">
        <f aca="false">IFERROR(INDEX(Tiers!$B$4:$B$12,MATCH(C21,Tiers!$A$4:$A$12,0)),D21)</f>
        <v>44.95</v>
      </c>
      <c r="F21" s="14"/>
      <c r="G21" s="15" t="n">
        <f aca="false">IF(F21="",E21,F21)</f>
        <v>44.95</v>
      </c>
      <c r="H21" s="16" t="n">
        <f aca="false">G21-D21</f>
        <v>0</v>
      </c>
      <c r="I21" s="17" t="n">
        <f aca="false">IFERROR((G21-D21)/D21,0)</f>
        <v>0</v>
      </c>
      <c r="J21" s="12" t="str">
        <f aca="false">IF(G21&gt;D21,"Omhoog",IF(G21&lt;D21,"Omlaag","Gelijk"))</f>
        <v>Gelijk</v>
      </c>
      <c r="K21" s="18" t="str">
        <f aca="false">IF(ABS(I21)&gt;=0.2,"controleren","")</f>
        <v/>
      </c>
      <c r="L21" s="13" t="n">
        <v>81.73</v>
      </c>
      <c r="M21" s="17" t="n">
        <f aca="false">IFERROR(1-D21/L21,0)</f>
        <v>0.450018353113912</v>
      </c>
      <c r="N21" s="17" t="n">
        <f aca="false">IF(Tiers!$B$15="ja",Tiers!$B$16,M21)</f>
        <v>0.450018353113912</v>
      </c>
      <c r="O21" s="13" t="n">
        <f aca="false">ROUNDUP(G21/(1-N21),0)-0.05</f>
        <v>81.95</v>
      </c>
      <c r="P21" s="17" t="n">
        <f aca="false">IFERROR(1-G21/O21,0)</f>
        <v>0.451494813910921</v>
      </c>
      <c r="Q21" s="12" t="n">
        <v>40</v>
      </c>
    </row>
    <row r="22" customFormat="false" ht="15" hidden="false" customHeight="false" outlineLevel="0" collapsed="false">
      <c r="A22" s="12" t="s">
        <v>86</v>
      </c>
      <c r="B22" s="12" t="s">
        <v>87</v>
      </c>
      <c r="C22" s="12" t="s">
        <v>5</v>
      </c>
      <c r="D22" s="13" t="n">
        <v>39.95</v>
      </c>
      <c r="E22" s="13" t="n">
        <f aca="false">IFERROR(INDEX(Tiers!$B$4:$B$12,MATCH(C22,Tiers!$A$4:$A$12,0)),D22)</f>
        <v>44.95</v>
      </c>
      <c r="F22" s="14"/>
      <c r="G22" s="15" t="n">
        <f aca="false">IF(F22="",E22,F22)</f>
        <v>44.95</v>
      </c>
      <c r="H22" s="16" t="n">
        <f aca="false">G22-D22</f>
        <v>5</v>
      </c>
      <c r="I22" s="17" t="n">
        <f aca="false">IFERROR((G22-D22)/D22,0)</f>
        <v>0.125156445556946</v>
      </c>
      <c r="J22" s="12" t="str">
        <f aca="false">IF(G22&gt;D22,"Omhoog",IF(G22&lt;D22,"Omlaag","Gelijk"))</f>
        <v>Omhoog</v>
      </c>
      <c r="K22" s="18" t="str">
        <f aca="false">IF(ABS(I22)&gt;=0.2,"controleren","")</f>
        <v/>
      </c>
      <c r="L22" s="13" t="n">
        <v>79.9</v>
      </c>
      <c r="M22" s="17" t="n">
        <f aca="false">IFERROR(1-D22/L22,0)</f>
        <v>0.5</v>
      </c>
      <c r="N22" s="17" t="n">
        <f aca="false">IF(Tiers!$B$15="ja",Tiers!$B$16,M22)</f>
        <v>0.5</v>
      </c>
      <c r="O22" s="13" t="n">
        <f aca="false">ROUNDUP(G22/(1-N22),0)-0.05</f>
        <v>89.95</v>
      </c>
      <c r="P22" s="17" t="n">
        <f aca="false">IFERROR(1-G22/O22,0)</f>
        <v>0.500277932184547</v>
      </c>
      <c r="Q22" s="12" t="n">
        <v>14</v>
      </c>
    </row>
    <row r="23" customFormat="false" ht="15" hidden="false" customHeight="false" outlineLevel="0" collapsed="false">
      <c r="A23" s="12" t="s">
        <v>88</v>
      </c>
      <c r="B23" s="12" t="s">
        <v>89</v>
      </c>
      <c r="C23" s="12" t="s">
        <v>5</v>
      </c>
      <c r="D23" s="13" t="n">
        <v>39.95</v>
      </c>
      <c r="E23" s="13" t="n">
        <f aca="false">IFERROR(INDEX(Tiers!$B$4:$B$12,MATCH(C23,Tiers!$A$4:$A$12,0)),D23)</f>
        <v>44.95</v>
      </c>
      <c r="F23" s="14"/>
      <c r="G23" s="15" t="n">
        <f aca="false">IF(F23="",E23,F23)</f>
        <v>44.95</v>
      </c>
      <c r="H23" s="16" t="n">
        <f aca="false">G23-D23</f>
        <v>5</v>
      </c>
      <c r="I23" s="17" t="n">
        <f aca="false">IFERROR((G23-D23)/D23,0)</f>
        <v>0.125156445556946</v>
      </c>
      <c r="J23" s="12" t="str">
        <f aca="false">IF(G23&gt;D23,"Omhoog",IF(G23&lt;D23,"Omlaag","Gelijk"))</f>
        <v>Omhoog</v>
      </c>
      <c r="K23" s="18" t="str">
        <f aca="false">IF(ABS(I23)&gt;=0.2,"controleren","")</f>
        <v/>
      </c>
      <c r="L23" s="13" t="n">
        <v>66.58</v>
      </c>
      <c r="M23" s="17" t="n">
        <f aca="false">IFERROR(1-D23/L23,0)</f>
        <v>0.399969960949234</v>
      </c>
      <c r="N23" s="17" t="n">
        <f aca="false">IF(Tiers!$B$15="ja",Tiers!$B$16,M23)</f>
        <v>0.399969960949234</v>
      </c>
      <c r="O23" s="13" t="n">
        <f aca="false">ROUNDUP(G23/(1-N23),0)-0.05</f>
        <v>74.95</v>
      </c>
      <c r="P23" s="17" t="n">
        <f aca="false">IFERROR(1-G23/O23,0)</f>
        <v>0.400266844563042</v>
      </c>
      <c r="Q23" s="12" t="n">
        <v>18</v>
      </c>
    </row>
    <row r="24" customFormat="false" ht="15" hidden="false" customHeight="false" outlineLevel="0" collapsed="false">
      <c r="A24" s="12" t="s">
        <v>90</v>
      </c>
      <c r="B24" s="12" t="s">
        <v>91</v>
      </c>
      <c r="C24" s="12" t="s">
        <v>5</v>
      </c>
      <c r="D24" s="13" t="n">
        <v>44.95</v>
      </c>
      <c r="E24" s="13" t="n">
        <f aca="false">IFERROR(INDEX(Tiers!$B$4:$B$12,MATCH(C24,Tiers!$A$4:$A$12,0)),D24)</f>
        <v>44.95</v>
      </c>
      <c r="F24" s="14"/>
      <c r="G24" s="15" t="n">
        <f aca="false">IF(F24="",E24,F24)</f>
        <v>44.95</v>
      </c>
      <c r="H24" s="16" t="n">
        <f aca="false">G24-D24</f>
        <v>0</v>
      </c>
      <c r="I24" s="17" t="n">
        <f aca="false">IFERROR((G24-D24)/D24,0)</f>
        <v>0</v>
      </c>
      <c r="J24" s="12" t="str">
        <f aca="false">IF(G24&gt;D24,"Omhoog",IF(G24&lt;D24,"Omlaag","Gelijk"))</f>
        <v>Gelijk</v>
      </c>
      <c r="K24" s="18" t="str">
        <f aca="false">IF(ABS(I24)&gt;=0.2,"controleren","")</f>
        <v/>
      </c>
      <c r="L24" s="13" t="n">
        <v>74.92</v>
      </c>
      <c r="M24" s="17" t="n">
        <f aca="false">IFERROR(1-D24/L24,0)</f>
        <v>0.400026695141484</v>
      </c>
      <c r="N24" s="17" t="n">
        <f aca="false">IF(Tiers!$B$15="ja",Tiers!$B$16,M24)</f>
        <v>0.400026695141484</v>
      </c>
      <c r="O24" s="13" t="n">
        <f aca="false">ROUNDUP(G24/(1-N24),0)-0.05</f>
        <v>74.95</v>
      </c>
      <c r="P24" s="17" t="n">
        <f aca="false">IFERROR(1-G24/O24,0)</f>
        <v>0.400266844563042</v>
      </c>
      <c r="Q24" s="12" t="n">
        <v>18</v>
      </c>
    </row>
    <row r="25" customFormat="false" ht="15" hidden="false" customHeight="false" outlineLevel="0" collapsed="false">
      <c r="A25" s="12" t="s">
        <v>92</v>
      </c>
      <c r="B25" s="12" t="s">
        <v>93</v>
      </c>
      <c r="C25" s="12" t="s">
        <v>5</v>
      </c>
      <c r="D25" s="13" t="n">
        <v>39.95</v>
      </c>
      <c r="E25" s="13" t="n">
        <f aca="false">IFERROR(INDEX(Tiers!$B$4:$B$12,MATCH(C25,Tiers!$A$4:$A$12,0)),D25)</f>
        <v>44.95</v>
      </c>
      <c r="F25" s="14"/>
      <c r="G25" s="15" t="n">
        <f aca="false">IF(F25="",E25,F25)</f>
        <v>44.95</v>
      </c>
      <c r="H25" s="16" t="n">
        <f aca="false">G25-D25</f>
        <v>5</v>
      </c>
      <c r="I25" s="17" t="n">
        <f aca="false">IFERROR((G25-D25)/D25,0)</f>
        <v>0.125156445556946</v>
      </c>
      <c r="J25" s="12" t="str">
        <f aca="false">IF(G25&gt;D25,"Omhoog",IF(G25&lt;D25,"Omlaag","Gelijk"))</f>
        <v>Omhoog</v>
      </c>
      <c r="K25" s="18" t="str">
        <f aca="false">IF(ABS(I25)&gt;=0.2,"controleren","")</f>
        <v/>
      </c>
      <c r="L25" s="13" t="n">
        <v>72.64</v>
      </c>
      <c r="M25" s="17" t="n">
        <f aca="false">IFERROR(1-D25/L25,0)</f>
        <v>0.450027533039648</v>
      </c>
      <c r="N25" s="17" t="n">
        <f aca="false">IF(Tiers!$B$15="ja",Tiers!$B$16,M25)</f>
        <v>0.450027533039648</v>
      </c>
      <c r="O25" s="13" t="n">
        <f aca="false">ROUNDUP(G25/(1-N25),0)-0.05</f>
        <v>81.95</v>
      </c>
      <c r="P25" s="17" t="n">
        <f aca="false">IFERROR(1-G25/O25,0)</f>
        <v>0.451494813910921</v>
      </c>
      <c r="Q25" s="12" t="n">
        <v>42</v>
      </c>
    </row>
    <row r="26" customFormat="false" ht="15" hidden="false" customHeight="false" outlineLevel="0" collapsed="false">
      <c r="A26" s="12" t="s">
        <v>94</v>
      </c>
      <c r="B26" s="12" t="s">
        <v>95</v>
      </c>
      <c r="C26" s="12" t="s">
        <v>5</v>
      </c>
      <c r="D26" s="13" t="n">
        <v>44.95</v>
      </c>
      <c r="E26" s="13" t="n">
        <f aca="false">IFERROR(INDEX(Tiers!$B$4:$B$12,MATCH(C26,Tiers!$A$4:$A$12,0)),D26)</f>
        <v>44.95</v>
      </c>
      <c r="F26" s="14"/>
      <c r="G26" s="15" t="n">
        <f aca="false">IF(F26="",E26,F26)</f>
        <v>44.95</v>
      </c>
      <c r="H26" s="16" t="n">
        <f aca="false">G26-D26</f>
        <v>0</v>
      </c>
      <c r="I26" s="17" t="n">
        <f aca="false">IFERROR((G26-D26)/D26,0)</f>
        <v>0</v>
      </c>
      <c r="J26" s="12" t="str">
        <f aca="false">IF(G26&gt;D26,"Omhoog",IF(G26&lt;D26,"Omlaag","Gelijk"))</f>
        <v>Gelijk</v>
      </c>
      <c r="K26" s="18" t="str">
        <f aca="false">IF(ABS(I26)&gt;=0.2,"controleren","")</f>
        <v/>
      </c>
      <c r="L26" s="13" t="n">
        <v>74.92</v>
      </c>
      <c r="M26" s="17" t="n">
        <f aca="false">IFERROR(1-D26/L26,0)</f>
        <v>0.400026695141484</v>
      </c>
      <c r="N26" s="17" t="n">
        <f aca="false">IF(Tiers!$B$15="ja",Tiers!$B$16,M26)</f>
        <v>0.400026695141484</v>
      </c>
      <c r="O26" s="13" t="n">
        <f aca="false">ROUNDUP(G26/(1-N26),0)-0.05</f>
        <v>74.95</v>
      </c>
      <c r="P26" s="17" t="n">
        <f aca="false">IFERROR(1-G26/O26,0)</f>
        <v>0.400266844563042</v>
      </c>
      <c r="Q26" s="12" t="n">
        <v>25</v>
      </c>
    </row>
    <row r="27" customFormat="false" ht="15" hidden="false" customHeight="false" outlineLevel="0" collapsed="false">
      <c r="A27" s="12" t="s">
        <v>96</v>
      </c>
      <c r="B27" s="12" t="s">
        <v>97</v>
      </c>
      <c r="C27" s="12" t="s">
        <v>5</v>
      </c>
      <c r="D27" s="13" t="n">
        <v>34.95</v>
      </c>
      <c r="E27" s="13" t="n">
        <f aca="false">IFERROR(INDEX(Tiers!$B$4:$B$12,MATCH(C27,Tiers!$A$4:$A$12,0)),D27)</f>
        <v>44.95</v>
      </c>
      <c r="F27" s="14"/>
      <c r="G27" s="15" t="n">
        <f aca="false">IF(F27="",E27,F27)</f>
        <v>44.95</v>
      </c>
      <c r="H27" s="16" t="n">
        <f aca="false">G27-D27</f>
        <v>10</v>
      </c>
      <c r="I27" s="17" t="n">
        <f aca="false">IFERROR((G27-D27)/D27,0)</f>
        <v>0.286123032904149</v>
      </c>
      <c r="J27" s="12" t="str">
        <f aca="false">IF(G27&gt;D27,"Omhoog",IF(G27&lt;D27,"Omlaag","Gelijk"))</f>
        <v>Omhoog</v>
      </c>
      <c r="K27" s="18" t="str">
        <f aca="false">IF(ABS(I27)&gt;=0.2,"controleren","")</f>
        <v>controleren</v>
      </c>
      <c r="L27" s="13" t="n">
        <v>69.9</v>
      </c>
      <c r="M27" s="17" t="n">
        <f aca="false">IFERROR(1-D27/L27,0)</f>
        <v>0.5</v>
      </c>
      <c r="N27" s="17" t="n">
        <f aca="false">IF(Tiers!$B$15="ja",Tiers!$B$16,M27)</f>
        <v>0.5</v>
      </c>
      <c r="O27" s="13" t="n">
        <f aca="false">ROUNDUP(G27/(1-N27),0)-0.05</f>
        <v>89.95</v>
      </c>
      <c r="P27" s="17" t="n">
        <f aca="false">IFERROR(1-G27/O27,0)</f>
        <v>0.500277932184547</v>
      </c>
      <c r="Q27" s="12" t="n">
        <v>30</v>
      </c>
    </row>
    <row r="28" customFormat="false" ht="15" hidden="false" customHeight="false" outlineLevel="0" collapsed="false">
      <c r="A28" s="12" t="s">
        <v>98</v>
      </c>
      <c r="B28" s="12" t="s">
        <v>99</v>
      </c>
      <c r="C28" s="12" t="s">
        <v>5</v>
      </c>
      <c r="D28" s="13" t="n">
        <v>44.95</v>
      </c>
      <c r="E28" s="13" t="n">
        <f aca="false">IFERROR(INDEX(Tiers!$B$4:$B$12,MATCH(C28,Tiers!$A$4:$A$12,0)),D28)</f>
        <v>44.95</v>
      </c>
      <c r="F28" s="14"/>
      <c r="G28" s="15" t="n">
        <f aca="false">IF(F28="",E28,F28)</f>
        <v>44.95</v>
      </c>
      <c r="H28" s="16" t="n">
        <f aca="false">G28-D28</f>
        <v>0</v>
      </c>
      <c r="I28" s="17" t="n">
        <f aca="false">IFERROR((G28-D28)/D28,0)</f>
        <v>0</v>
      </c>
      <c r="J28" s="12" t="str">
        <f aca="false">IF(G28&gt;D28,"Omhoog",IF(G28&lt;D28,"Omlaag","Gelijk"))</f>
        <v>Gelijk</v>
      </c>
      <c r="K28" s="18" t="str">
        <f aca="false">IF(ABS(I28)&gt;=0.2,"controleren","")</f>
        <v/>
      </c>
      <c r="L28" s="13" t="n">
        <v>81.73</v>
      </c>
      <c r="M28" s="17" t="n">
        <f aca="false">IFERROR(1-D28/L28,0)</f>
        <v>0.450018353113912</v>
      </c>
      <c r="N28" s="17" t="n">
        <f aca="false">IF(Tiers!$B$15="ja",Tiers!$B$16,M28)</f>
        <v>0.450018353113912</v>
      </c>
      <c r="O28" s="13" t="n">
        <f aca="false">ROUNDUP(G28/(1-N28),0)-0.05</f>
        <v>81.95</v>
      </c>
      <c r="P28" s="17" t="n">
        <f aca="false">IFERROR(1-G28/O28,0)</f>
        <v>0.451494813910921</v>
      </c>
      <c r="Q28" s="12" t="n">
        <v>6</v>
      </c>
    </row>
    <row r="29" customFormat="false" ht="15" hidden="false" customHeight="false" outlineLevel="0" collapsed="false">
      <c r="A29" s="12" t="s">
        <v>100</v>
      </c>
      <c r="B29" s="12" t="s">
        <v>101</v>
      </c>
      <c r="C29" s="12" t="s">
        <v>5</v>
      </c>
      <c r="D29" s="13" t="n">
        <v>39.95</v>
      </c>
      <c r="E29" s="13" t="n">
        <f aca="false">IFERROR(INDEX(Tiers!$B$4:$B$12,MATCH(C29,Tiers!$A$4:$A$12,0)),D29)</f>
        <v>44.95</v>
      </c>
      <c r="F29" s="14"/>
      <c r="G29" s="15" t="n">
        <f aca="false">IF(F29="",E29,F29)</f>
        <v>44.95</v>
      </c>
      <c r="H29" s="16" t="n">
        <f aca="false">G29-D29</f>
        <v>5</v>
      </c>
      <c r="I29" s="17" t="n">
        <f aca="false">IFERROR((G29-D29)/D29,0)</f>
        <v>0.125156445556946</v>
      </c>
      <c r="J29" s="12" t="str">
        <f aca="false">IF(G29&gt;D29,"Omhoog",IF(G29&lt;D29,"Omlaag","Gelijk"))</f>
        <v>Omhoog</v>
      </c>
      <c r="K29" s="18" t="str">
        <f aca="false">IF(ABS(I29)&gt;=0.2,"controleren","")</f>
        <v/>
      </c>
      <c r="L29" s="13" t="n">
        <v>66.58</v>
      </c>
      <c r="M29" s="17" t="n">
        <f aca="false">IFERROR(1-D29/L29,0)</f>
        <v>0.399969960949234</v>
      </c>
      <c r="N29" s="17" t="n">
        <f aca="false">IF(Tiers!$B$15="ja",Tiers!$B$16,M29)</f>
        <v>0.399969960949234</v>
      </c>
      <c r="O29" s="13" t="n">
        <f aca="false">ROUNDUP(G29/(1-N29),0)-0.05</f>
        <v>74.95</v>
      </c>
      <c r="P29" s="17" t="n">
        <f aca="false">IFERROR(1-G29/O29,0)</f>
        <v>0.400266844563042</v>
      </c>
      <c r="Q29" s="12" t="n">
        <v>36</v>
      </c>
    </row>
    <row r="30" customFormat="false" ht="15" hidden="false" customHeight="false" outlineLevel="0" collapsed="false">
      <c r="A30" s="12" t="s">
        <v>102</v>
      </c>
      <c r="B30" s="12" t="s">
        <v>103</v>
      </c>
      <c r="C30" s="12" t="s">
        <v>5</v>
      </c>
      <c r="D30" s="13" t="n">
        <v>44.95</v>
      </c>
      <c r="E30" s="13" t="n">
        <f aca="false">IFERROR(INDEX(Tiers!$B$4:$B$12,MATCH(C30,Tiers!$A$4:$A$12,0)),D30)</f>
        <v>44.95</v>
      </c>
      <c r="F30" s="14"/>
      <c r="G30" s="15" t="n">
        <f aca="false">IF(F30="",E30,F30)</f>
        <v>44.95</v>
      </c>
      <c r="H30" s="16" t="n">
        <f aca="false">G30-D30</f>
        <v>0</v>
      </c>
      <c r="I30" s="17" t="n">
        <f aca="false">IFERROR((G30-D30)/D30,0)</f>
        <v>0</v>
      </c>
      <c r="J30" s="12" t="str">
        <f aca="false">IF(G30&gt;D30,"Omhoog",IF(G30&lt;D30,"Omlaag","Gelijk"))</f>
        <v>Gelijk</v>
      </c>
      <c r="K30" s="18" t="str">
        <f aca="false">IF(ABS(I30)&gt;=0.2,"controleren","")</f>
        <v/>
      </c>
      <c r="L30" s="13" t="n">
        <v>89.9</v>
      </c>
      <c r="M30" s="17" t="n">
        <f aca="false">IFERROR(1-D30/L30,0)</f>
        <v>0.5</v>
      </c>
      <c r="N30" s="17" t="n">
        <f aca="false">IF(Tiers!$B$15="ja",Tiers!$B$16,M30)</f>
        <v>0.5</v>
      </c>
      <c r="O30" s="13" t="n">
        <f aca="false">ROUNDUP(G30/(1-N30),0)-0.05</f>
        <v>89.95</v>
      </c>
      <c r="P30" s="17" t="n">
        <f aca="false">IFERROR(1-G30/O30,0)</f>
        <v>0.500277932184547</v>
      </c>
      <c r="Q30" s="12" t="n">
        <v>18</v>
      </c>
    </row>
    <row r="31" customFormat="false" ht="15" hidden="false" customHeight="false" outlineLevel="0" collapsed="false">
      <c r="A31" s="12" t="s">
        <v>104</v>
      </c>
      <c r="B31" s="12" t="s">
        <v>105</v>
      </c>
      <c r="C31" s="12" t="s">
        <v>5</v>
      </c>
      <c r="D31" s="13" t="n">
        <v>34.95</v>
      </c>
      <c r="E31" s="13" t="n">
        <f aca="false">IFERROR(INDEX(Tiers!$B$4:$B$12,MATCH(C31,Tiers!$A$4:$A$12,0)),D31)</f>
        <v>44.95</v>
      </c>
      <c r="F31" s="14"/>
      <c r="G31" s="15" t="n">
        <f aca="false">IF(F31="",E31,F31)</f>
        <v>44.95</v>
      </c>
      <c r="H31" s="16" t="n">
        <f aca="false">G31-D31</f>
        <v>10</v>
      </c>
      <c r="I31" s="17" t="n">
        <f aca="false">IFERROR((G31-D31)/D31,0)</f>
        <v>0.286123032904149</v>
      </c>
      <c r="J31" s="12" t="str">
        <f aca="false">IF(G31&gt;D31,"Omhoog",IF(G31&lt;D31,"Omlaag","Gelijk"))</f>
        <v>Omhoog</v>
      </c>
      <c r="K31" s="18" t="str">
        <f aca="false">IF(ABS(I31)&gt;=0.2,"controleren","")</f>
        <v>controleren</v>
      </c>
      <c r="L31" s="13" t="n">
        <v>58.25</v>
      </c>
      <c r="M31" s="17" t="n">
        <f aca="false">IFERROR(1-D31/L31,0)</f>
        <v>0.4</v>
      </c>
      <c r="N31" s="17" t="n">
        <f aca="false">IF(Tiers!$B$15="ja",Tiers!$B$16,M31)</f>
        <v>0.4</v>
      </c>
      <c r="O31" s="13" t="n">
        <f aca="false">ROUNDUP(G31/(1-N31),0)-0.05</f>
        <v>74.95</v>
      </c>
      <c r="P31" s="17" t="n">
        <f aca="false">IFERROR(1-G31/O31,0)</f>
        <v>0.400266844563042</v>
      </c>
      <c r="Q31" s="12" t="n">
        <v>40</v>
      </c>
    </row>
    <row r="32" customFormat="false" ht="15" hidden="false" customHeight="false" outlineLevel="0" collapsed="false">
      <c r="A32" s="12" t="s">
        <v>106</v>
      </c>
      <c r="B32" s="12" t="s">
        <v>107</v>
      </c>
      <c r="C32" s="12" t="s">
        <v>5</v>
      </c>
      <c r="D32" s="13" t="n">
        <v>44.95</v>
      </c>
      <c r="E32" s="13" t="n">
        <f aca="false">IFERROR(INDEX(Tiers!$B$4:$B$12,MATCH(C32,Tiers!$A$4:$A$12,0)),D32)</f>
        <v>44.95</v>
      </c>
      <c r="F32" s="14"/>
      <c r="G32" s="15" t="n">
        <f aca="false">IF(F32="",E32,F32)</f>
        <v>44.95</v>
      </c>
      <c r="H32" s="16" t="n">
        <f aca="false">G32-D32</f>
        <v>0</v>
      </c>
      <c r="I32" s="17" t="n">
        <f aca="false">IFERROR((G32-D32)/D32,0)</f>
        <v>0</v>
      </c>
      <c r="J32" s="12" t="str">
        <f aca="false">IF(G32&gt;D32,"Omhoog",IF(G32&lt;D32,"Omlaag","Gelijk"))</f>
        <v>Gelijk</v>
      </c>
      <c r="K32" s="18" t="str">
        <f aca="false">IF(ABS(I32)&gt;=0.2,"controleren","")</f>
        <v/>
      </c>
      <c r="L32" s="13" t="n">
        <v>81.73</v>
      </c>
      <c r="M32" s="17" t="n">
        <f aca="false">IFERROR(1-D32/L32,0)</f>
        <v>0.450018353113912</v>
      </c>
      <c r="N32" s="17" t="n">
        <f aca="false">IF(Tiers!$B$15="ja",Tiers!$B$16,M32)</f>
        <v>0.450018353113912</v>
      </c>
      <c r="O32" s="13" t="n">
        <f aca="false">ROUNDUP(G32/(1-N32),0)-0.05</f>
        <v>81.95</v>
      </c>
      <c r="P32" s="17" t="n">
        <f aca="false">IFERROR(1-G32/O32,0)</f>
        <v>0.451494813910921</v>
      </c>
      <c r="Q32" s="12" t="n">
        <v>20</v>
      </c>
    </row>
    <row r="33" customFormat="false" ht="15" hidden="false" customHeight="false" outlineLevel="0" collapsed="false">
      <c r="A33" s="12" t="s">
        <v>108</v>
      </c>
      <c r="B33" s="12" t="s">
        <v>109</v>
      </c>
      <c r="C33" s="12" t="s">
        <v>5</v>
      </c>
      <c r="D33" s="13" t="n">
        <v>34.95</v>
      </c>
      <c r="E33" s="13" t="n">
        <f aca="false">IFERROR(INDEX(Tiers!$B$4:$B$12,MATCH(C33,Tiers!$A$4:$A$12,0)),D33)</f>
        <v>44.95</v>
      </c>
      <c r="F33" s="14"/>
      <c r="G33" s="15" t="n">
        <f aca="false">IF(F33="",E33,F33)</f>
        <v>44.95</v>
      </c>
      <c r="H33" s="16" t="n">
        <f aca="false">G33-D33</f>
        <v>10</v>
      </c>
      <c r="I33" s="17" t="n">
        <f aca="false">IFERROR((G33-D33)/D33,0)</f>
        <v>0.286123032904149</v>
      </c>
      <c r="J33" s="12" t="str">
        <f aca="false">IF(G33&gt;D33,"Omhoog",IF(G33&lt;D33,"Omlaag","Gelijk"))</f>
        <v>Omhoog</v>
      </c>
      <c r="K33" s="18" t="str">
        <f aca="false">IF(ABS(I33)&gt;=0.2,"controleren","")</f>
        <v>controleren</v>
      </c>
      <c r="L33" s="13" t="n">
        <v>58.25</v>
      </c>
      <c r="M33" s="17" t="n">
        <f aca="false">IFERROR(1-D33/L33,0)</f>
        <v>0.4</v>
      </c>
      <c r="N33" s="17" t="n">
        <f aca="false">IF(Tiers!$B$15="ja",Tiers!$B$16,M33)</f>
        <v>0.4</v>
      </c>
      <c r="O33" s="13" t="n">
        <f aca="false">ROUNDUP(G33/(1-N33),0)-0.05</f>
        <v>74.95</v>
      </c>
      <c r="P33" s="17" t="n">
        <f aca="false">IFERROR(1-G33/O33,0)</f>
        <v>0.400266844563042</v>
      </c>
      <c r="Q33" s="12" t="n">
        <v>20</v>
      </c>
    </row>
    <row r="34" customFormat="false" ht="15" hidden="false" customHeight="false" outlineLevel="0" collapsed="false">
      <c r="A34" s="12" t="s">
        <v>110</v>
      </c>
      <c r="B34" s="12" t="s">
        <v>111</v>
      </c>
      <c r="C34" s="12" t="s">
        <v>5</v>
      </c>
      <c r="D34" s="13" t="n">
        <v>29.95</v>
      </c>
      <c r="E34" s="13" t="n">
        <f aca="false">IFERROR(INDEX(Tiers!$B$4:$B$12,MATCH(C34,Tiers!$A$4:$A$12,0)),D34)</f>
        <v>44.95</v>
      </c>
      <c r="F34" s="14"/>
      <c r="G34" s="15" t="n">
        <f aca="false">IF(F34="",E34,F34)</f>
        <v>44.95</v>
      </c>
      <c r="H34" s="16" t="n">
        <f aca="false">G34-D34</f>
        <v>15</v>
      </c>
      <c r="I34" s="17" t="n">
        <f aca="false">IFERROR((G34-D34)/D34,0)</f>
        <v>0.500834724540902</v>
      </c>
      <c r="J34" s="12" t="str">
        <f aca="false">IF(G34&gt;D34,"Omhoog",IF(G34&lt;D34,"Omlaag","Gelijk"))</f>
        <v>Omhoog</v>
      </c>
      <c r="K34" s="18" t="str">
        <f aca="false">IF(ABS(I34)&gt;=0.2,"controleren","")</f>
        <v>controleren</v>
      </c>
      <c r="L34" s="13" t="n">
        <v>49.92</v>
      </c>
      <c r="M34" s="17" t="n">
        <f aca="false">IFERROR(1-D34/L34,0)</f>
        <v>0.400040064102564</v>
      </c>
      <c r="N34" s="17" t="n">
        <f aca="false">IF(Tiers!$B$15="ja",Tiers!$B$16,M34)</f>
        <v>0.400040064102564</v>
      </c>
      <c r="O34" s="13" t="n">
        <f aca="false">ROUNDUP(G34/(1-N34),0)-0.05</f>
        <v>74.95</v>
      </c>
      <c r="P34" s="17" t="n">
        <f aca="false">IFERROR(1-G34/O34,0)</f>
        <v>0.400266844563042</v>
      </c>
      <c r="Q34" s="12" t="n">
        <v>12</v>
      </c>
    </row>
    <row r="35" customFormat="false" ht="15" hidden="false" customHeight="false" outlineLevel="0" collapsed="false">
      <c r="A35" s="12" t="s">
        <v>112</v>
      </c>
      <c r="B35" s="12" t="s">
        <v>113</v>
      </c>
      <c r="C35" s="12" t="s">
        <v>5</v>
      </c>
      <c r="D35" s="13" t="n">
        <v>29.95</v>
      </c>
      <c r="E35" s="13" t="n">
        <f aca="false">IFERROR(INDEX(Tiers!$B$4:$B$12,MATCH(C35,Tiers!$A$4:$A$12,0)),D35)</f>
        <v>44.95</v>
      </c>
      <c r="F35" s="14"/>
      <c r="G35" s="15" t="n">
        <f aca="false">IF(F35="",E35,F35)</f>
        <v>44.95</v>
      </c>
      <c r="H35" s="16" t="n">
        <f aca="false">G35-D35</f>
        <v>15</v>
      </c>
      <c r="I35" s="17" t="n">
        <f aca="false">IFERROR((G35-D35)/D35,0)</f>
        <v>0.500834724540902</v>
      </c>
      <c r="J35" s="12" t="str">
        <f aca="false">IF(G35&gt;D35,"Omhoog",IF(G35&lt;D35,"Omlaag","Gelijk"))</f>
        <v>Omhoog</v>
      </c>
      <c r="K35" s="18" t="str">
        <f aca="false">IF(ABS(I35)&gt;=0.2,"controleren","")</f>
        <v>controleren</v>
      </c>
      <c r="L35" s="13" t="n">
        <v>54.45</v>
      </c>
      <c r="M35" s="17" t="n">
        <f aca="false">IFERROR(1-D35/L35,0)</f>
        <v>0.449954086317723</v>
      </c>
      <c r="N35" s="17" t="n">
        <f aca="false">IF(Tiers!$B$15="ja",Tiers!$B$16,M35)</f>
        <v>0.449954086317723</v>
      </c>
      <c r="O35" s="13" t="n">
        <f aca="false">ROUNDUP(G35/(1-N35),0)-0.05</f>
        <v>81.95</v>
      </c>
      <c r="P35" s="17" t="n">
        <f aca="false">IFERROR(1-G35/O35,0)</f>
        <v>0.451494813910921</v>
      </c>
      <c r="Q35" s="12" t="n">
        <v>5</v>
      </c>
    </row>
    <row r="36" customFormat="false" ht="15" hidden="false" customHeight="false" outlineLevel="0" collapsed="false">
      <c r="A36" s="12" t="s">
        <v>114</v>
      </c>
      <c r="B36" s="12" t="s">
        <v>115</v>
      </c>
      <c r="C36" s="12" t="s">
        <v>5</v>
      </c>
      <c r="D36" s="13" t="n">
        <v>34.95</v>
      </c>
      <c r="E36" s="13" t="n">
        <f aca="false">IFERROR(INDEX(Tiers!$B$4:$B$12,MATCH(C36,Tiers!$A$4:$A$12,0)),D36)</f>
        <v>44.95</v>
      </c>
      <c r="F36" s="14"/>
      <c r="G36" s="15" t="n">
        <f aca="false">IF(F36="",E36,F36)</f>
        <v>44.95</v>
      </c>
      <c r="H36" s="16" t="n">
        <f aca="false">G36-D36</f>
        <v>10</v>
      </c>
      <c r="I36" s="17" t="n">
        <f aca="false">IFERROR((G36-D36)/D36,0)</f>
        <v>0.286123032904149</v>
      </c>
      <c r="J36" s="12" t="str">
        <f aca="false">IF(G36&gt;D36,"Omhoog",IF(G36&lt;D36,"Omlaag","Gelijk"))</f>
        <v>Omhoog</v>
      </c>
      <c r="K36" s="18" t="str">
        <f aca="false">IF(ABS(I36)&gt;=0.2,"controleren","")</f>
        <v>controleren</v>
      </c>
      <c r="L36" s="13" t="n">
        <v>63.55</v>
      </c>
      <c r="M36" s="17" t="n">
        <f aca="false">IFERROR(1-D36/L36,0)</f>
        <v>0.450039339103068</v>
      </c>
      <c r="N36" s="17" t="n">
        <f aca="false">IF(Tiers!$B$15="ja",Tiers!$B$16,M36)</f>
        <v>0.450039339103068</v>
      </c>
      <c r="O36" s="13" t="n">
        <f aca="false">ROUNDUP(G36/(1-N36),0)-0.05</f>
        <v>81.95</v>
      </c>
      <c r="P36" s="17" t="n">
        <f aca="false">IFERROR(1-G36/O36,0)</f>
        <v>0.451494813910921</v>
      </c>
      <c r="Q36" s="12" t="n">
        <v>6</v>
      </c>
    </row>
    <row r="37" customFormat="false" ht="15" hidden="false" customHeight="false" outlineLevel="0" collapsed="false">
      <c r="A37" s="12" t="s">
        <v>116</v>
      </c>
      <c r="B37" s="12" t="s">
        <v>117</v>
      </c>
      <c r="C37" s="12" t="s">
        <v>5</v>
      </c>
      <c r="D37" s="13" t="n">
        <v>29.95</v>
      </c>
      <c r="E37" s="13" t="n">
        <f aca="false">IFERROR(INDEX(Tiers!$B$4:$B$12,MATCH(C37,Tiers!$A$4:$A$12,0)),D37)</f>
        <v>44.95</v>
      </c>
      <c r="F37" s="14"/>
      <c r="G37" s="15" t="n">
        <f aca="false">IF(F37="",E37,F37)</f>
        <v>44.95</v>
      </c>
      <c r="H37" s="16" t="n">
        <f aca="false">G37-D37</f>
        <v>15</v>
      </c>
      <c r="I37" s="17" t="n">
        <f aca="false">IFERROR((G37-D37)/D37,0)</f>
        <v>0.500834724540902</v>
      </c>
      <c r="J37" s="12" t="str">
        <f aca="false">IF(G37&gt;D37,"Omhoog",IF(G37&lt;D37,"Omlaag","Gelijk"))</f>
        <v>Omhoog</v>
      </c>
      <c r="K37" s="18" t="str">
        <f aca="false">IF(ABS(I37)&gt;=0.2,"controleren","")</f>
        <v>controleren</v>
      </c>
      <c r="L37" s="13" t="n">
        <v>54.45</v>
      </c>
      <c r="M37" s="17" t="n">
        <f aca="false">IFERROR(1-D37/L37,0)</f>
        <v>0.449954086317723</v>
      </c>
      <c r="N37" s="17" t="n">
        <f aca="false">IF(Tiers!$B$15="ja",Tiers!$B$16,M37)</f>
        <v>0.449954086317723</v>
      </c>
      <c r="O37" s="13" t="n">
        <f aca="false">ROUNDUP(G37/(1-N37),0)-0.05</f>
        <v>81.95</v>
      </c>
      <c r="P37" s="17" t="n">
        <f aca="false">IFERROR(1-G37/O37,0)</f>
        <v>0.451494813910921</v>
      </c>
      <c r="Q37" s="12" t="n">
        <v>14</v>
      </c>
    </row>
    <row r="38" customFormat="false" ht="15" hidden="false" customHeight="false" outlineLevel="0" collapsed="false">
      <c r="A38" s="12" t="s">
        <v>118</v>
      </c>
      <c r="B38" s="12" t="s">
        <v>119</v>
      </c>
      <c r="C38" s="12" t="s">
        <v>5</v>
      </c>
      <c r="D38" s="13" t="n">
        <v>29.95</v>
      </c>
      <c r="E38" s="13" t="n">
        <f aca="false">IFERROR(INDEX(Tiers!$B$4:$B$12,MATCH(C38,Tiers!$A$4:$A$12,0)),D38)</f>
        <v>44.95</v>
      </c>
      <c r="F38" s="14"/>
      <c r="G38" s="15" t="n">
        <f aca="false">IF(F38="",E38,F38)</f>
        <v>44.95</v>
      </c>
      <c r="H38" s="16" t="n">
        <f aca="false">G38-D38</f>
        <v>15</v>
      </c>
      <c r="I38" s="17" t="n">
        <f aca="false">IFERROR((G38-D38)/D38,0)</f>
        <v>0.500834724540902</v>
      </c>
      <c r="J38" s="12" t="str">
        <f aca="false">IF(G38&gt;D38,"Omhoog",IF(G38&lt;D38,"Omlaag","Gelijk"))</f>
        <v>Omhoog</v>
      </c>
      <c r="K38" s="18" t="str">
        <f aca="false">IF(ABS(I38)&gt;=0.2,"controleren","")</f>
        <v>controleren</v>
      </c>
      <c r="L38" s="13" t="n">
        <v>59.9</v>
      </c>
      <c r="M38" s="17" t="n">
        <f aca="false">IFERROR(1-D38/L38,0)</f>
        <v>0.5</v>
      </c>
      <c r="N38" s="17" t="n">
        <f aca="false">IF(Tiers!$B$15="ja",Tiers!$B$16,M38)</f>
        <v>0.5</v>
      </c>
      <c r="O38" s="13" t="n">
        <f aca="false">ROUNDUP(G38/(1-N38),0)-0.05</f>
        <v>89.95</v>
      </c>
      <c r="P38" s="17" t="n">
        <f aca="false">IFERROR(1-G38/O38,0)</f>
        <v>0.500277932184547</v>
      </c>
      <c r="Q38" s="12" t="n">
        <v>8</v>
      </c>
    </row>
    <row r="39" customFormat="false" ht="15" hidden="false" customHeight="false" outlineLevel="0" collapsed="false">
      <c r="A39" s="12" t="s">
        <v>120</v>
      </c>
      <c r="B39" s="12" t="s">
        <v>121</v>
      </c>
      <c r="C39" s="12" t="s">
        <v>7</v>
      </c>
      <c r="D39" s="13" t="n">
        <v>59.95</v>
      </c>
      <c r="E39" s="13" t="n">
        <f aca="false">IFERROR(INDEX(Tiers!$B$4:$B$12,MATCH(C39,Tiers!$A$4:$A$12,0)),D39)</f>
        <v>59.95</v>
      </c>
      <c r="F39" s="14"/>
      <c r="G39" s="15" t="n">
        <f aca="false">IF(F39="",E39,F39)</f>
        <v>59.95</v>
      </c>
      <c r="H39" s="16" t="n">
        <f aca="false">G39-D39</f>
        <v>0</v>
      </c>
      <c r="I39" s="17" t="n">
        <f aca="false">IFERROR((G39-D39)/D39,0)</f>
        <v>0</v>
      </c>
      <c r="J39" s="12" t="str">
        <f aca="false">IF(G39&gt;D39,"Omhoog",IF(G39&lt;D39,"Omlaag","Gelijk"))</f>
        <v>Gelijk</v>
      </c>
      <c r="K39" s="18" t="str">
        <f aca="false">IF(ABS(I39)&gt;=0.2,"controleren","")</f>
        <v/>
      </c>
      <c r="L39" s="13" t="n">
        <v>99.92</v>
      </c>
      <c r="M39" s="17" t="n">
        <f aca="false">IFERROR(1-D39/L39,0)</f>
        <v>0.40002001601281</v>
      </c>
      <c r="N39" s="17" t="n">
        <f aca="false">IF(Tiers!$B$15="ja",Tiers!$B$16,M39)</f>
        <v>0.40002001601281</v>
      </c>
      <c r="O39" s="13" t="n">
        <f aca="false">ROUNDUP(G39/(1-N39),0)-0.05</f>
        <v>99.95</v>
      </c>
      <c r="P39" s="17" t="n">
        <f aca="false">IFERROR(1-G39/O39,0)</f>
        <v>0.400200100050025</v>
      </c>
      <c r="Q39" s="12" t="n">
        <v>18</v>
      </c>
    </row>
    <row r="40" customFormat="false" ht="15" hidden="false" customHeight="false" outlineLevel="0" collapsed="false">
      <c r="A40" s="12" t="s">
        <v>122</v>
      </c>
      <c r="B40" s="12" t="s">
        <v>123</v>
      </c>
      <c r="C40" s="12" t="s">
        <v>7</v>
      </c>
      <c r="D40" s="13" t="n">
        <v>44.95</v>
      </c>
      <c r="E40" s="13" t="n">
        <f aca="false">IFERROR(INDEX(Tiers!$B$4:$B$12,MATCH(C40,Tiers!$A$4:$A$12,0)),D40)</f>
        <v>59.95</v>
      </c>
      <c r="F40" s="14"/>
      <c r="G40" s="15" t="n">
        <f aca="false">IF(F40="",E40,F40)</f>
        <v>59.95</v>
      </c>
      <c r="H40" s="16" t="n">
        <f aca="false">G40-D40</f>
        <v>15</v>
      </c>
      <c r="I40" s="17" t="n">
        <f aca="false">IFERROR((G40-D40)/D40,0)</f>
        <v>0.333704115684093</v>
      </c>
      <c r="J40" s="12" t="str">
        <f aca="false">IF(G40&gt;D40,"Omhoog",IF(G40&lt;D40,"Omlaag","Gelijk"))</f>
        <v>Omhoog</v>
      </c>
      <c r="K40" s="18" t="str">
        <f aca="false">IF(ABS(I40)&gt;=0.2,"controleren","")</f>
        <v>controleren</v>
      </c>
      <c r="L40" s="13" t="n">
        <v>74.92</v>
      </c>
      <c r="M40" s="17" t="n">
        <f aca="false">IFERROR(1-D40/L40,0)</f>
        <v>0.400026695141484</v>
      </c>
      <c r="N40" s="17" t="n">
        <f aca="false">IF(Tiers!$B$15="ja",Tiers!$B$16,M40)</f>
        <v>0.400026695141484</v>
      </c>
      <c r="O40" s="13" t="n">
        <f aca="false">ROUNDUP(G40/(1-N40),0)-0.05</f>
        <v>99.95</v>
      </c>
      <c r="P40" s="17" t="n">
        <f aca="false">IFERROR(1-G40/O40,0)</f>
        <v>0.400200100050025</v>
      </c>
      <c r="Q40" s="12" t="n">
        <v>49</v>
      </c>
    </row>
    <row r="41" customFormat="false" ht="15" hidden="false" customHeight="false" outlineLevel="0" collapsed="false">
      <c r="A41" s="12" t="s">
        <v>124</v>
      </c>
      <c r="B41" s="12" t="s">
        <v>125</v>
      </c>
      <c r="C41" s="12" t="s">
        <v>7</v>
      </c>
      <c r="D41" s="13" t="n">
        <v>44.95</v>
      </c>
      <c r="E41" s="13" t="n">
        <f aca="false">IFERROR(INDEX(Tiers!$B$4:$B$12,MATCH(C41,Tiers!$A$4:$A$12,0)),D41)</f>
        <v>59.95</v>
      </c>
      <c r="F41" s="14"/>
      <c r="G41" s="15" t="n">
        <f aca="false">IF(F41="",E41,F41)</f>
        <v>59.95</v>
      </c>
      <c r="H41" s="16" t="n">
        <f aca="false">G41-D41</f>
        <v>15</v>
      </c>
      <c r="I41" s="17" t="n">
        <f aca="false">IFERROR((G41-D41)/D41,0)</f>
        <v>0.333704115684093</v>
      </c>
      <c r="J41" s="12" t="str">
        <f aca="false">IF(G41&gt;D41,"Omhoog",IF(G41&lt;D41,"Omlaag","Gelijk"))</f>
        <v>Omhoog</v>
      </c>
      <c r="K41" s="18" t="str">
        <f aca="false">IF(ABS(I41)&gt;=0.2,"controleren","")</f>
        <v>controleren</v>
      </c>
      <c r="L41" s="13" t="n">
        <v>81.73</v>
      </c>
      <c r="M41" s="17" t="n">
        <f aca="false">IFERROR(1-D41/L41,0)</f>
        <v>0.450018353113912</v>
      </c>
      <c r="N41" s="17" t="n">
        <f aca="false">IF(Tiers!$B$15="ja",Tiers!$B$16,M41)</f>
        <v>0.450018353113912</v>
      </c>
      <c r="O41" s="13" t="n">
        <f aca="false">ROUNDUP(G41/(1-N41),0)-0.05</f>
        <v>109.95</v>
      </c>
      <c r="P41" s="17" t="n">
        <f aca="false">IFERROR(1-G41/O41,0)</f>
        <v>0.45475216007276</v>
      </c>
      <c r="Q41" s="12" t="n">
        <v>20</v>
      </c>
    </row>
    <row r="42" customFormat="false" ht="15" hidden="false" customHeight="false" outlineLevel="0" collapsed="false">
      <c r="A42" s="12" t="s">
        <v>126</v>
      </c>
      <c r="B42" s="12" t="s">
        <v>127</v>
      </c>
      <c r="C42" s="12" t="s">
        <v>7</v>
      </c>
      <c r="D42" s="13" t="n">
        <v>59.95</v>
      </c>
      <c r="E42" s="13" t="n">
        <f aca="false">IFERROR(INDEX(Tiers!$B$4:$B$12,MATCH(C42,Tiers!$A$4:$A$12,0)),D42)</f>
        <v>59.95</v>
      </c>
      <c r="F42" s="14"/>
      <c r="G42" s="15" t="n">
        <f aca="false">IF(F42="",E42,F42)</f>
        <v>59.95</v>
      </c>
      <c r="H42" s="16" t="n">
        <f aca="false">G42-D42</f>
        <v>0</v>
      </c>
      <c r="I42" s="17" t="n">
        <f aca="false">IFERROR((G42-D42)/D42,0)</f>
        <v>0</v>
      </c>
      <c r="J42" s="12" t="str">
        <f aca="false">IF(G42&gt;D42,"Omhoog",IF(G42&lt;D42,"Omlaag","Gelijk"))</f>
        <v>Gelijk</v>
      </c>
      <c r="K42" s="18" t="str">
        <f aca="false">IF(ABS(I42)&gt;=0.2,"controleren","")</f>
        <v/>
      </c>
      <c r="L42" s="13" t="n">
        <v>109</v>
      </c>
      <c r="M42" s="17" t="n">
        <f aca="false">IFERROR(1-D42/L42,0)</f>
        <v>0.45</v>
      </c>
      <c r="N42" s="17" t="n">
        <f aca="false">IF(Tiers!$B$15="ja",Tiers!$B$16,M42)</f>
        <v>0.45</v>
      </c>
      <c r="O42" s="13" t="n">
        <f aca="false">ROUNDUP(G42/(1-N42),0)-0.05</f>
        <v>108.95</v>
      </c>
      <c r="P42" s="17" t="n">
        <f aca="false">IFERROR(1-G42/O42,0)</f>
        <v>0.449747590637907</v>
      </c>
      <c r="Q42" s="12" t="n">
        <v>21</v>
      </c>
    </row>
    <row r="43" customFormat="false" ht="15" hidden="false" customHeight="false" outlineLevel="0" collapsed="false">
      <c r="A43" s="12" t="s">
        <v>128</v>
      </c>
      <c r="B43" s="12" t="s">
        <v>129</v>
      </c>
      <c r="C43" s="12" t="s">
        <v>7</v>
      </c>
      <c r="D43" s="13" t="n">
        <v>49.95</v>
      </c>
      <c r="E43" s="13" t="n">
        <f aca="false">IFERROR(INDEX(Tiers!$B$4:$B$12,MATCH(C43,Tiers!$A$4:$A$12,0)),D43)</f>
        <v>59.95</v>
      </c>
      <c r="F43" s="14"/>
      <c r="G43" s="15" t="n">
        <f aca="false">IF(F43="",E43,F43)</f>
        <v>59.95</v>
      </c>
      <c r="H43" s="16" t="n">
        <f aca="false">G43-D43</f>
        <v>10</v>
      </c>
      <c r="I43" s="17" t="n">
        <f aca="false">IFERROR((G43-D43)/D43,0)</f>
        <v>0.2002002002002</v>
      </c>
      <c r="J43" s="12" t="str">
        <f aca="false">IF(G43&gt;D43,"Omhoog",IF(G43&lt;D43,"Omlaag","Gelijk"))</f>
        <v>Omhoog</v>
      </c>
      <c r="K43" s="18" t="str">
        <f aca="false">IF(ABS(I43)&gt;=0.2,"controleren","")</f>
        <v>controleren</v>
      </c>
      <c r="L43" s="13" t="n">
        <v>83.25</v>
      </c>
      <c r="M43" s="17" t="n">
        <f aca="false">IFERROR(1-D43/L43,0)</f>
        <v>0.4</v>
      </c>
      <c r="N43" s="17" t="n">
        <f aca="false">IF(Tiers!$B$15="ja",Tiers!$B$16,M43)</f>
        <v>0.4</v>
      </c>
      <c r="O43" s="13" t="n">
        <f aca="false">ROUNDUP(G43/(1-N43),0)-0.05</f>
        <v>99.95</v>
      </c>
      <c r="P43" s="17" t="n">
        <f aca="false">IFERROR(1-G43/O43,0)</f>
        <v>0.400200100050025</v>
      </c>
      <c r="Q43" s="12" t="n">
        <v>20</v>
      </c>
    </row>
    <row r="44" customFormat="false" ht="15" hidden="false" customHeight="false" outlineLevel="0" collapsed="false">
      <c r="A44" s="12" t="s">
        <v>130</v>
      </c>
      <c r="B44" s="12" t="s">
        <v>131</v>
      </c>
      <c r="C44" s="12" t="s">
        <v>7</v>
      </c>
      <c r="D44" s="13" t="n">
        <v>59.95</v>
      </c>
      <c r="E44" s="13" t="n">
        <f aca="false">IFERROR(INDEX(Tiers!$B$4:$B$12,MATCH(C44,Tiers!$A$4:$A$12,0)),D44)</f>
        <v>59.95</v>
      </c>
      <c r="F44" s="14"/>
      <c r="G44" s="15" t="n">
        <f aca="false">IF(F44="",E44,F44)</f>
        <v>59.95</v>
      </c>
      <c r="H44" s="16" t="n">
        <f aca="false">G44-D44</f>
        <v>0</v>
      </c>
      <c r="I44" s="17" t="n">
        <f aca="false">IFERROR((G44-D44)/D44,0)</f>
        <v>0</v>
      </c>
      <c r="J44" s="12" t="str">
        <f aca="false">IF(G44&gt;D44,"Omhoog",IF(G44&lt;D44,"Omlaag","Gelijk"))</f>
        <v>Gelijk</v>
      </c>
      <c r="K44" s="18" t="str">
        <f aca="false">IF(ABS(I44)&gt;=0.2,"controleren","")</f>
        <v/>
      </c>
      <c r="L44" s="13" t="n">
        <v>109</v>
      </c>
      <c r="M44" s="17" t="n">
        <f aca="false">IFERROR(1-D44/L44,0)</f>
        <v>0.45</v>
      </c>
      <c r="N44" s="17" t="n">
        <f aca="false">IF(Tiers!$B$15="ja",Tiers!$B$16,M44)</f>
        <v>0.45</v>
      </c>
      <c r="O44" s="13" t="n">
        <f aca="false">ROUNDUP(G44/(1-N44),0)-0.05</f>
        <v>108.95</v>
      </c>
      <c r="P44" s="17" t="n">
        <f aca="false">IFERROR(1-G44/O44,0)</f>
        <v>0.449747590637907</v>
      </c>
      <c r="Q44" s="12" t="n">
        <v>56</v>
      </c>
    </row>
    <row r="45" customFormat="false" ht="15" hidden="false" customHeight="false" outlineLevel="0" collapsed="false">
      <c r="A45" s="12" t="s">
        <v>132</v>
      </c>
      <c r="B45" s="12" t="s">
        <v>133</v>
      </c>
      <c r="C45" s="12" t="s">
        <v>7</v>
      </c>
      <c r="D45" s="13" t="n">
        <v>44.95</v>
      </c>
      <c r="E45" s="13" t="n">
        <f aca="false">IFERROR(INDEX(Tiers!$B$4:$B$12,MATCH(C45,Tiers!$A$4:$A$12,0)),D45)</f>
        <v>59.95</v>
      </c>
      <c r="F45" s="14"/>
      <c r="G45" s="15" t="n">
        <f aca="false">IF(F45="",E45,F45)</f>
        <v>59.95</v>
      </c>
      <c r="H45" s="16" t="n">
        <f aca="false">G45-D45</f>
        <v>15</v>
      </c>
      <c r="I45" s="17" t="n">
        <f aca="false">IFERROR((G45-D45)/D45,0)</f>
        <v>0.333704115684093</v>
      </c>
      <c r="J45" s="12" t="str">
        <f aca="false">IF(G45&gt;D45,"Omhoog",IF(G45&lt;D45,"Omlaag","Gelijk"))</f>
        <v>Omhoog</v>
      </c>
      <c r="K45" s="18" t="str">
        <f aca="false">IF(ABS(I45)&gt;=0.2,"controleren","")</f>
        <v>controleren</v>
      </c>
      <c r="L45" s="13" t="n">
        <v>89.9</v>
      </c>
      <c r="M45" s="17" t="n">
        <f aca="false">IFERROR(1-D45/L45,0)</f>
        <v>0.5</v>
      </c>
      <c r="N45" s="17" t="n">
        <f aca="false">IF(Tiers!$B$15="ja",Tiers!$B$16,M45)</f>
        <v>0.5</v>
      </c>
      <c r="O45" s="13" t="n">
        <f aca="false">ROUNDUP(G45/(1-N45),0)-0.05</f>
        <v>119.95</v>
      </c>
      <c r="P45" s="17" t="n">
        <f aca="false">IFERROR(1-G45/O45,0)</f>
        <v>0.500208420175073</v>
      </c>
      <c r="Q45" s="12" t="n">
        <v>28</v>
      </c>
    </row>
    <row r="46" customFormat="false" ht="15" hidden="false" customHeight="false" outlineLevel="0" collapsed="false">
      <c r="A46" s="12" t="s">
        <v>134</v>
      </c>
      <c r="B46" s="12" t="s">
        <v>135</v>
      </c>
      <c r="C46" s="12" t="s">
        <v>7</v>
      </c>
      <c r="D46" s="13" t="n">
        <v>44.95</v>
      </c>
      <c r="E46" s="13" t="n">
        <f aca="false">IFERROR(INDEX(Tiers!$B$4:$B$12,MATCH(C46,Tiers!$A$4:$A$12,0)),D46)</f>
        <v>59.95</v>
      </c>
      <c r="F46" s="14"/>
      <c r="G46" s="15" t="n">
        <f aca="false">IF(F46="",E46,F46)</f>
        <v>59.95</v>
      </c>
      <c r="H46" s="16" t="n">
        <f aca="false">G46-D46</f>
        <v>15</v>
      </c>
      <c r="I46" s="17" t="n">
        <f aca="false">IFERROR((G46-D46)/D46,0)</f>
        <v>0.333704115684093</v>
      </c>
      <c r="J46" s="12" t="str">
        <f aca="false">IF(G46&gt;D46,"Omhoog",IF(G46&lt;D46,"Omlaag","Gelijk"))</f>
        <v>Omhoog</v>
      </c>
      <c r="K46" s="18" t="str">
        <f aca="false">IF(ABS(I46)&gt;=0.2,"controleren","")</f>
        <v>controleren</v>
      </c>
      <c r="L46" s="13" t="n">
        <v>89.9</v>
      </c>
      <c r="M46" s="17" t="n">
        <f aca="false">IFERROR(1-D46/L46,0)</f>
        <v>0.5</v>
      </c>
      <c r="N46" s="17" t="n">
        <f aca="false">IF(Tiers!$B$15="ja",Tiers!$B$16,M46)</f>
        <v>0.5</v>
      </c>
      <c r="O46" s="13" t="n">
        <f aca="false">ROUNDUP(G46/(1-N46),0)-0.05</f>
        <v>119.95</v>
      </c>
      <c r="P46" s="17" t="n">
        <f aca="false">IFERROR(1-G46/O46,0)</f>
        <v>0.500208420175073</v>
      </c>
      <c r="Q46" s="12" t="n">
        <v>36</v>
      </c>
    </row>
    <row r="47" customFormat="false" ht="15" hidden="false" customHeight="false" outlineLevel="0" collapsed="false">
      <c r="A47" s="12" t="s">
        <v>136</v>
      </c>
      <c r="B47" s="12" t="s">
        <v>137</v>
      </c>
      <c r="C47" s="12" t="s">
        <v>7</v>
      </c>
      <c r="D47" s="13" t="n">
        <v>59.95</v>
      </c>
      <c r="E47" s="13" t="n">
        <f aca="false">IFERROR(INDEX(Tiers!$B$4:$B$12,MATCH(C47,Tiers!$A$4:$A$12,0)),D47)</f>
        <v>59.95</v>
      </c>
      <c r="F47" s="14"/>
      <c r="G47" s="15" t="n">
        <f aca="false">IF(F47="",E47,F47)</f>
        <v>59.95</v>
      </c>
      <c r="H47" s="16" t="n">
        <f aca="false">G47-D47</f>
        <v>0</v>
      </c>
      <c r="I47" s="17" t="n">
        <f aca="false">IFERROR((G47-D47)/D47,0)</f>
        <v>0</v>
      </c>
      <c r="J47" s="12" t="str">
        <f aca="false">IF(G47&gt;D47,"Omhoog",IF(G47&lt;D47,"Omlaag","Gelijk"))</f>
        <v>Gelijk</v>
      </c>
      <c r="K47" s="18" t="str">
        <f aca="false">IF(ABS(I47)&gt;=0.2,"controleren","")</f>
        <v/>
      </c>
      <c r="L47" s="13" t="n">
        <v>119.9</v>
      </c>
      <c r="M47" s="17" t="n">
        <f aca="false">IFERROR(1-D47/L47,0)</f>
        <v>0.5</v>
      </c>
      <c r="N47" s="17" t="n">
        <f aca="false">IF(Tiers!$B$15="ja",Tiers!$B$16,M47)</f>
        <v>0.5</v>
      </c>
      <c r="O47" s="13" t="n">
        <f aca="false">ROUNDUP(G47/(1-N47),0)-0.05</f>
        <v>119.95</v>
      </c>
      <c r="P47" s="17" t="n">
        <f aca="false">IFERROR(1-G47/O47,0)</f>
        <v>0.500208420175073</v>
      </c>
      <c r="Q47" s="12" t="n">
        <v>24</v>
      </c>
    </row>
    <row r="48" customFormat="false" ht="15" hidden="false" customHeight="false" outlineLevel="0" collapsed="false">
      <c r="A48" s="12" t="s">
        <v>138</v>
      </c>
      <c r="B48" s="12" t="s">
        <v>139</v>
      </c>
      <c r="C48" s="12" t="s">
        <v>7</v>
      </c>
      <c r="D48" s="13" t="n">
        <v>44.95</v>
      </c>
      <c r="E48" s="13" t="n">
        <f aca="false">IFERROR(INDEX(Tiers!$B$4:$B$12,MATCH(C48,Tiers!$A$4:$A$12,0)),D48)</f>
        <v>59.95</v>
      </c>
      <c r="F48" s="14"/>
      <c r="G48" s="15" t="n">
        <f aca="false">IF(F48="",E48,F48)</f>
        <v>59.95</v>
      </c>
      <c r="H48" s="16" t="n">
        <f aca="false">G48-D48</f>
        <v>15</v>
      </c>
      <c r="I48" s="17" t="n">
        <f aca="false">IFERROR((G48-D48)/D48,0)</f>
        <v>0.333704115684093</v>
      </c>
      <c r="J48" s="12" t="str">
        <f aca="false">IF(G48&gt;D48,"Omhoog",IF(G48&lt;D48,"Omlaag","Gelijk"))</f>
        <v>Omhoog</v>
      </c>
      <c r="K48" s="18" t="str">
        <f aca="false">IF(ABS(I48)&gt;=0.2,"controleren","")</f>
        <v>controleren</v>
      </c>
      <c r="L48" s="13" t="n">
        <v>74.92</v>
      </c>
      <c r="M48" s="17" t="n">
        <f aca="false">IFERROR(1-D48/L48,0)</f>
        <v>0.400026695141484</v>
      </c>
      <c r="N48" s="17" t="n">
        <f aca="false">IF(Tiers!$B$15="ja",Tiers!$B$16,M48)</f>
        <v>0.400026695141484</v>
      </c>
      <c r="O48" s="13" t="n">
        <f aca="false">ROUNDUP(G48/(1-N48),0)-0.05</f>
        <v>99.95</v>
      </c>
      <c r="P48" s="17" t="n">
        <f aca="false">IFERROR(1-G48/O48,0)</f>
        <v>0.400200100050025</v>
      </c>
      <c r="Q48" s="12" t="n">
        <v>35</v>
      </c>
    </row>
    <row r="49" customFormat="false" ht="15" hidden="false" customHeight="false" outlineLevel="0" collapsed="false">
      <c r="A49" s="12" t="s">
        <v>140</v>
      </c>
      <c r="B49" s="12" t="s">
        <v>141</v>
      </c>
      <c r="C49" s="12" t="s">
        <v>7</v>
      </c>
      <c r="D49" s="13" t="n">
        <v>59.95</v>
      </c>
      <c r="E49" s="13" t="n">
        <f aca="false">IFERROR(INDEX(Tiers!$B$4:$B$12,MATCH(C49,Tiers!$A$4:$A$12,0)),D49)</f>
        <v>59.95</v>
      </c>
      <c r="F49" s="14"/>
      <c r="G49" s="15" t="n">
        <f aca="false">IF(F49="",E49,F49)</f>
        <v>59.95</v>
      </c>
      <c r="H49" s="16" t="n">
        <f aca="false">G49-D49</f>
        <v>0</v>
      </c>
      <c r="I49" s="17" t="n">
        <f aca="false">IFERROR((G49-D49)/D49,0)</f>
        <v>0</v>
      </c>
      <c r="J49" s="12" t="str">
        <f aca="false">IF(G49&gt;D49,"Omhoog",IF(G49&lt;D49,"Omlaag","Gelijk"))</f>
        <v>Gelijk</v>
      </c>
      <c r="K49" s="18" t="str">
        <f aca="false">IF(ABS(I49)&gt;=0.2,"controleren","")</f>
        <v/>
      </c>
      <c r="L49" s="13" t="n">
        <v>109</v>
      </c>
      <c r="M49" s="17" t="n">
        <f aca="false">IFERROR(1-D49/L49,0)</f>
        <v>0.45</v>
      </c>
      <c r="N49" s="17" t="n">
        <f aca="false">IF(Tiers!$B$15="ja",Tiers!$B$16,M49)</f>
        <v>0.45</v>
      </c>
      <c r="O49" s="13" t="n">
        <f aca="false">ROUNDUP(G49/(1-N49),0)-0.05</f>
        <v>108.95</v>
      </c>
      <c r="P49" s="17" t="n">
        <f aca="false">IFERROR(1-G49/O49,0)</f>
        <v>0.449747590637907</v>
      </c>
      <c r="Q49" s="12" t="n">
        <v>4</v>
      </c>
    </row>
    <row r="50" customFormat="false" ht="15" hidden="false" customHeight="false" outlineLevel="0" collapsed="false">
      <c r="A50" s="12" t="s">
        <v>142</v>
      </c>
      <c r="B50" s="12" t="s">
        <v>143</v>
      </c>
      <c r="C50" s="12" t="s">
        <v>7</v>
      </c>
      <c r="D50" s="13" t="n">
        <v>59.95</v>
      </c>
      <c r="E50" s="13" t="n">
        <f aca="false">IFERROR(INDEX(Tiers!$B$4:$B$12,MATCH(C50,Tiers!$A$4:$A$12,0)),D50)</f>
        <v>59.95</v>
      </c>
      <c r="F50" s="14"/>
      <c r="G50" s="15" t="n">
        <f aca="false">IF(F50="",E50,F50)</f>
        <v>59.95</v>
      </c>
      <c r="H50" s="16" t="n">
        <f aca="false">G50-D50</f>
        <v>0</v>
      </c>
      <c r="I50" s="17" t="n">
        <f aca="false">IFERROR((G50-D50)/D50,0)</f>
        <v>0</v>
      </c>
      <c r="J50" s="12" t="str">
        <f aca="false">IF(G50&gt;D50,"Omhoog",IF(G50&lt;D50,"Omlaag","Gelijk"))</f>
        <v>Gelijk</v>
      </c>
      <c r="K50" s="18" t="str">
        <f aca="false">IF(ABS(I50)&gt;=0.2,"controleren","")</f>
        <v/>
      </c>
      <c r="L50" s="13" t="n">
        <v>119.9</v>
      </c>
      <c r="M50" s="17" t="n">
        <f aca="false">IFERROR(1-D50/L50,0)</f>
        <v>0.5</v>
      </c>
      <c r="N50" s="17" t="n">
        <f aca="false">IF(Tiers!$B$15="ja",Tiers!$B$16,M50)</f>
        <v>0.5</v>
      </c>
      <c r="O50" s="13" t="n">
        <f aca="false">ROUNDUP(G50/(1-N50),0)-0.05</f>
        <v>119.95</v>
      </c>
      <c r="P50" s="17" t="n">
        <f aca="false">IFERROR(1-G50/O50,0)</f>
        <v>0.500208420175073</v>
      </c>
      <c r="Q50" s="12" t="n">
        <v>10</v>
      </c>
    </row>
    <row r="51" customFormat="false" ht="15" hidden="false" customHeight="false" outlineLevel="0" collapsed="false">
      <c r="A51" s="12" t="s">
        <v>144</v>
      </c>
      <c r="B51" s="12" t="s">
        <v>145</v>
      </c>
      <c r="C51" s="12" t="s">
        <v>7</v>
      </c>
      <c r="D51" s="13" t="n">
        <v>59.95</v>
      </c>
      <c r="E51" s="13" t="n">
        <f aca="false">IFERROR(INDEX(Tiers!$B$4:$B$12,MATCH(C51,Tiers!$A$4:$A$12,0)),D51)</f>
        <v>59.95</v>
      </c>
      <c r="F51" s="14"/>
      <c r="G51" s="15" t="n">
        <f aca="false">IF(F51="",E51,F51)</f>
        <v>59.95</v>
      </c>
      <c r="H51" s="16" t="n">
        <f aca="false">G51-D51</f>
        <v>0</v>
      </c>
      <c r="I51" s="17" t="n">
        <f aca="false">IFERROR((G51-D51)/D51,0)</f>
        <v>0</v>
      </c>
      <c r="J51" s="12" t="str">
        <f aca="false">IF(G51&gt;D51,"Omhoog",IF(G51&lt;D51,"Omlaag","Gelijk"))</f>
        <v>Gelijk</v>
      </c>
      <c r="K51" s="18" t="str">
        <f aca="false">IF(ABS(I51)&gt;=0.2,"controleren","")</f>
        <v/>
      </c>
      <c r="L51" s="13" t="n">
        <v>109</v>
      </c>
      <c r="M51" s="17" t="n">
        <f aca="false">IFERROR(1-D51/L51,0)</f>
        <v>0.45</v>
      </c>
      <c r="N51" s="17" t="n">
        <f aca="false">IF(Tiers!$B$15="ja",Tiers!$B$16,M51)</f>
        <v>0.45</v>
      </c>
      <c r="O51" s="13" t="n">
        <f aca="false">ROUNDUP(G51/(1-N51),0)-0.05</f>
        <v>108.95</v>
      </c>
      <c r="P51" s="17" t="n">
        <f aca="false">IFERROR(1-G51/O51,0)</f>
        <v>0.449747590637907</v>
      </c>
      <c r="Q51" s="12" t="n">
        <v>25</v>
      </c>
    </row>
    <row r="52" customFormat="false" ht="15" hidden="false" customHeight="false" outlineLevel="0" collapsed="false">
      <c r="A52" s="12" t="s">
        <v>146</v>
      </c>
      <c r="B52" s="12" t="s">
        <v>147</v>
      </c>
      <c r="C52" s="12" t="s">
        <v>7</v>
      </c>
      <c r="D52" s="13" t="n">
        <v>59.95</v>
      </c>
      <c r="E52" s="13" t="n">
        <f aca="false">IFERROR(INDEX(Tiers!$B$4:$B$12,MATCH(C52,Tiers!$A$4:$A$12,0)),D52)</f>
        <v>59.95</v>
      </c>
      <c r="F52" s="14"/>
      <c r="G52" s="15" t="n">
        <f aca="false">IF(F52="",E52,F52)</f>
        <v>59.95</v>
      </c>
      <c r="H52" s="16" t="n">
        <f aca="false">G52-D52</f>
        <v>0</v>
      </c>
      <c r="I52" s="17" t="n">
        <f aca="false">IFERROR((G52-D52)/D52,0)</f>
        <v>0</v>
      </c>
      <c r="J52" s="12" t="str">
        <f aca="false">IF(G52&gt;D52,"Omhoog",IF(G52&lt;D52,"Omlaag","Gelijk"))</f>
        <v>Gelijk</v>
      </c>
      <c r="K52" s="18" t="str">
        <f aca="false">IF(ABS(I52)&gt;=0.2,"controleren","")</f>
        <v/>
      </c>
      <c r="L52" s="13" t="n">
        <v>109</v>
      </c>
      <c r="M52" s="17" t="n">
        <f aca="false">IFERROR(1-D52/L52,0)</f>
        <v>0.45</v>
      </c>
      <c r="N52" s="17" t="n">
        <f aca="false">IF(Tiers!$B$15="ja",Tiers!$B$16,M52)</f>
        <v>0.45</v>
      </c>
      <c r="O52" s="13" t="n">
        <f aca="false">ROUNDUP(G52/(1-N52),0)-0.05</f>
        <v>108.95</v>
      </c>
      <c r="P52" s="17" t="n">
        <f aca="false">IFERROR(1-G52/O52,0)</f>
        <v>0.449747590637907</v>
      </c>
      <c r="Q52" s="12" t="n">
        <v>4</v>
      </c>
    </row>
    <row r="53" customFormat="false" ht="15" hidden="false" customHeight="false" outlineLevel="0" collapsed="false">
      <c r="A53" s="12" t="s">
        <v>148</v>
      </c>
      <c r="B53" s="12" t="s">
        <v>149</v>
      </c>
      <c r="C53" s="12" t="s">
        <v>7</v>
      </c>
      <c r="D53" s="13" t="n">
        <v>59.95</v>
      </c>
      <c r="E53" s="13" t="n">
        <f aca="false">IFERROR(INDEX(Tiers!$B$4:$B$12,MATCH(C53,Tiers!$A$4:$A$12,0)),D53)</f>
        <v>59.95</v>
      </c>
      <c r="F53" s="14"/>
      <c r="G53" s="15" t="n">
        <f aca="false">IF(F53="",E53,F53)</f>
        <v>59.95</v>
      </c>
      <c r="H53" s="16" t="n">
        <f aca="false">G53-D53</f>
        <v>0</v>
      </c>
      <c r="I53" s="17" t="n">
        <f aca="false">IFERROR((G53-D53)/D53,0)</f>
        <v>0</v>
      </c>
      <c r="J53" s="12" t="str">
        <f aca="false">IF(G53&gt;D53,"Omhoog",IF(G53&lt;D53,"Omlaag","Gelijk"))</f>
        <v>Gelijk</v>
      </c>
      <c r="K53" s="18" t="str">
        <f aca="false">IF(ABS(I53)&gt;=0.2,"controleren","")</f>
        <v/>
      </c>
      <c r="L53" s="13" t="n">
        <v>119.9</v>
      </c>
      <c r="M53" s="17" t="n">
        <f aca="false">IFERROR(1-D53/L53,0)</f>
        <v>0.5</v>
      </c>
      <c r="N53" s="17" t="n">
        <f aca="false">IF(Tiers!$B$15="ja",Tiers!$B$16,M53)</f>
        <v>0.5</v>
      </c>
      <c r="O53" s="13" t="n">
        <f aca="false">ROUNDUP(G53/(1-N53),0)-0.05</f>
        <v>119.95</v>
      </c>
      <c r="P53" s="17" t="n">
        <f aca="false">IFERROR(1-G53/O53,0)</f>
        <v>0.500208420175073</v>
      </c>
      <c r="Q53" s="12" t="n">
        <v>16</v>
      </c>
    </row>
    <row r="54" customFormat="false" ht="15" hidden="false" customHeight="false" outlineLevel="0" collapsed="false">
      <c r="A54" s="12" t="s">
        <v>150</v>
      </c>
      <c r="B54" s="12" t="s">
        <v>151</v>
      </c>
      <c r="C54" s="12" t="s">
        <v>7</v>
      </c>
      <c r="D54" s="13" t="n">
        <v>59.95</v>
      </c>
      <c r="E54" s="13" t="n">
        <f aca="false">IFERROR(INDEX(Tiers!$B$4:$B$12,MATCH(C54,Tiers!$A$4:$A$12,0)),D54)</f>
        <v>59.95</v>
      </c>
      <c r="F54" s="14"/>
      <c r="G54" s="15" t="n">
        <f aca="false">IF(F54="",E54,F54)</f>
        <v>59.95</v>
      </c>
      <c r="H54" s="16" t="n">
        <f aca="false">G54-D54</f>
        <v>0</v>
      </c>
      <c r="I54" s="17" t="n">
        <f aca="false">IFERROR((G54-D54)/D54,0)</f>
        <v>0</v>
      </c>
      <c r="J54" s="12" t="str">
        <f aca="false">IF(G54&gt;D54,"Omhoog",IF(G54&lt;D54,"Omlaag","Gelijk"))</f>
        <v>Gelijk</v>
      </c>
      <c r="K54" s="18" t="str">
        <f aca="false">IF(ABS(I54)&gt;=0.2,"controleren","")</f>
        <v/>
      </c>
      <c r="L54" s="13" t="n">
        <v>99.92</v>
      </c>
      <c r="M54" s="17" t="n">
        <f aca="false">IFERROR(1-D54/L54,0)</f>
        <v>0.40002001601281</v>
      </c>
      <c r="N54" s="17" t="n">
        <f aca="false">IF(Tiers!$B$15="ja",Tiers!$B$16,M54)</f>
        <v>0.40002001601281</v>
      </c>
      <c r="O54" s="13" t="n">
        <f aca="false">ROUNDUP(G54/(1-N54),0)-0.05</f>
        <v>99.95</v>
      </c>
      <c r="P54" s="17" t="n">
        <f aca="false">IFERROR(1-G54/O54,0)</f>
        <v>0.400200100050025</v>
      </c>
      <c r="Q54" s="12" t="n">
        <v>42</v>
      </c>
    </row>
    <row r="55" customFormat="false" ht="15" hidden="false" customHeight="false" outlineLevel="0" collapsed="false">
      <c r="A55" s="12" t="s">
        <v>152</v>
      </c>
      <c r="B55" s="12" t="s">
        <v>153</v>
      </c>
      <c r="C55" s="12" t="s">
        <v>7</v>
      </c>
      <c r="D55" s="13" t="n">
        <v>59.95</v>
      </c>
      <c r="E55" s="13" t="n">
        <f aca="false">IFERROR(INDEX(Tiers!$B$4:$B$12,MATCH(C55,Tiers!$A$4:$A$12,0)),D55)</f>
        <v>59.95</v>
      </c>
      <c r="F55" s="14"/>
      <c r="G55" s="15" t="n">
        <f aca="false">IF(F55="",E55,F55)</f>
        <v>59.95</v>
      </c>
      <c r="H55" s="16" t="n">
        <f aca="false">G55-D55</f>
        <v>0</v>
      </c>
      <c r="I55" s="17" t="n">
        <f aca="false">IFERROR((G55-D55)/D55,0)</f>
        <v>0</v>
      </c>
      <c r="J55" s="12" t="str">
        <f aca="false">IF(G55&gt;D55,"Omhoog",IF(G55&lt;D55,"Omlaag","Gelijk"))</f>
        <v>Gelijk</v>
      </c>
      <c r="K55" s="18" t="str">
        <f aca="false">IF(ABS(I55)&gt;=0.2,"controleren","")</f>
        <v/>
      </c>
      <c r="L55" s="13" t="n">
        <v>109</v>
      </c>
      <c r="M55" s="17" t="n">
        <f aca="false">IFERROR(1-D55/L55,0)</f>
        <v>0.45</v>
      </c>
      <c r="N55" s="17" t="n">
        <f aca="false">IF(Tiers!$B$15="ja",Tiers!$B$16,M55)</f>
        <v>0.45</v>
      </c>
      <c r="O55" s="13" t="n">
        <f aca="false">ROUNDUP(G55/(1-N55),0)-0.05</f>
        <v>108.95</v>
      </c>
      <c r="P55" s="17" t="n">
        <f aca="false">IFERROR(1-G55/O55,0)</f>
        <v>0.449747590637907</v>
      </c>
      <c r="Q55" s="12" t="n">
        <v>6</v>
      </c>
    </row>
    <row r="56" customFormat="false" ht="15" hidden="false" customHeight="false" outlineLevel="0" collapsed="false">
      <c r="A56" s="12" t="s">
        <v>154</v>
      </c>
      <c r="B56" s="12" t="s">
        <v>155</v>
      </c>
      <c r="C56" s="12" t="s">
        <v>7</v>
      </c>
      <c r="D56" s="13" t="n">
        <v>59.95</v>
      </c>
      <c r="E56" s="13" t="n">
        <f aca="false">IFERROR(INDEX(Tiers!$B$4:$B$12,MATCH(C56,Tiers!$A$4:$A$12,0)),D56)</f>
        <v>59.95</v>
      </c>
      <c r="F56" s="14"/>
      <c r="G56" s="15" t="n">
        <f aca="false">IF(F56="",E56,F56)</f>
        <v>59.95</v>
      </c>
      <c r="H56" s="16" t="n">
        <f aca="false">G56-D56</f>
        <v>0</v>
      </c>
      <c r="I56" s="17" t="n">
        <f aca="false">IFERROR((G56-D56)/D56,0)</f>
        <v>0</v>
      </c>
      <c r="J56" s="12" t="str">
        <f aca="false">IF(G56&gt;D56,"Omhoog",IF(G56&lt;D56,"Omlaag","Gelijk"))</f>
        <v>Gelijk</v>
      </c>
      <c r="K56" s="18" t="str">
        <f aca="false">IF(ABS(I56)&gt;=0.2,"controleren","")</f>
        <v/>
      </c>
      <c r="L56" s="13" t="n">
        <v>99.92</v>
      </c>
      <c r="M56" s="17" t="n">
        <f aca="false">IFERROR(1-D56/L56,0)</f>
        <v>0.40002001601281</v>
      </c>
      <c r="N56" s="17" t="n">
        <f aca="false">IF(Tiers!$B$15="ja",Tiers!$B$16,M56)</f>
        <v>0.40002001601281</v>
      </c>
      <c r="O56" s="13" t="n">
        <f aca="false">ROUNDUP(G56/(1-N56),0)-0.05</f>
        <v>99.95</v>
      </c>
      <c r="P56" s="17" t="n">
        <f aca="false">IFERROR(1-G56/O56,0)</f>
        <v>0.400200100050025</v>
      </c>
      <c r="Q56" s="12" t="n">
        <v>56</v>
      </c>
    </row>
    <row r="57" customFormat="false" ht="15" hidden="false" customHeight="false" outlineLevel="0" collapsed="false">
      <c r="A57" s="12" t="s">
        <v>156</v>
      </c>
      <c r="B57" s="12" t="s">
        <v>157</v>
      </c>
      <c r="C57" s="12" t="s">
        <v>7</v>
      </c>
      <c r="D57" s="13" t="n">
        <v>44.95</v>
      </c>
      <c r="E57" s="13" t="n">
        <f aca="false">IFERROR(INDEX(Tiers!$B$4:$B$12,MATCH(C57,Tiers!$A$4:$A$12,0)),D57)</f>
        <v>59.95</v>
      </c>
      <c r="F57" s="14"/>
      <c r="G57" s="15" t="n">
        <f aca="false">IF(F57="",E57,F57)</f>
        <v>59.95</v>
      </c>
      <c r="H57" s="16" t="n">
        <f aca="false">G57-D57</f>
        <v>15</v>
      </c>
      <c r="I57" s="17" t="n">
        <f aca="false">IFERROR((G57-D57)/D57,0)</f>
        <v>0.333704115684093</v>
      </c>
      <c r="J57" s="12" t="str">
        <f aca="false">IF(G57&gt;D57,"Omhoog",IF(G57&lt;D57,"Omlaag","Gelijk"))</f>
        <v>Omhoog</v>
      </c>
      <c r="K57" s="18" t="str">
        <f aca="false">IF(ABS(I57)&gt;=0.2,"controleren","")</f>
        <v>controleren</v>
      </c>
      <c r="L57" s="13" t="n">
        <v>74.92</v>
      </c>
      <c r="M57" s="17" t="n">
        <f aca="false">IFERROR(1-D57/L57,0)</f>
        <v>0.400026695141484</v>
      </c>
      <c r="N57" s="17" t="n">
        <f aca="false">IF(Tiers!$B$15="ja",Tiers!$B$16,M57)</f>
        <v>0.400026695141484</v>
      </c>
      <c r="O57" s="13" t="n">
        <f aca="false">ROUNDUP(G57/(1-N57),0)-0.05</f>
        <v>99.95</v>
      </c>
      <c r="P57" s="17" t="n">
        <f aca="false">IFERROR(1-G57/O57,0)</f>
        <v>0.400200100050025</v>
      </c>
      <c r="Q57" s="12" t="n">
        <v>18</v>
      </c>
    </row>
    <row r="58" customFormat="false" ht="15" hidden="false" customHeight="false" outlineLevel="0" collapsed="false">
      <c r="A58" s="12" t="s">
        <v>158</v>
      </c>
      <c r="B58" s="12" t="s">
        <v>159</v>
      </c>
      <c r="C58" s="12" t="s">
        <v>7</v>
      </c>
      <c r="D58" s="13" t="n">
        <v>49.95</v>
      </c>
      <c r="E58" s="13" t="n">
        <f aca="false">IFERROR(INDEX(Tiers!$B$4:$B$12,MATCH(C58,Tiers!$A$4:$A$12,0)),D58)</f>
        <v>59.95</v>
      </c>
      <c r="F58" s="14"/>
      <c r="G58" s="15" t="n">
        <f aca="false">IF(F58="",E58,F58)</f>
        <v>59.95</v>
      </c>
      <c r="H58" s="16" t="n">
        <f aca="false">G58-D58</f>
        <v>10</v>
      </c>
      <c r="I58" s="17" t="n">
        <f aca="false">IFERROR((G58-D58)/D58,0)</f>
        <v>0.2002002002002</v>
      </c>
      <c r="J58" s="12" t="str">
        <f aca="false">IF(G58&gt;D58,"Omhoog",IF(G58&lt;D58,"Omlaag","Gelijk"))</f>
        <v>Omhoog</v>
      </c>
      <c r="K58" s="18" t="str">
        <f aca="false">IF(ABS(I58)&gt;=0.2,"controleren","")</f>
        <v>controleren</v>
      </c>
      <c r="L58" s="13" t="n">
        <v>99.9</v>
      </c>
      <c r="M58" s="17" t="n">
        <f aca="false">IFERROR(1-D58/L58,0)</f>
        <v>0.5</v>
      </c>
      <c r="N58" s="17" t="n">
        <f aca="false">IF(Tiers!$B$15="ja",Tiers!$B$16,M58)</f>
        <v>0.5</v>
      </c>
      <c r="O58" s="13" t="n">
        <f aca="false">ROUNDUP(G58/(1-N58),0)-0.05</f>
        <v>119.95</v>
      </c>
      <c r="P58" s="17" t="n">
        <f aca="false">IFERROR(1-G58/O58,0)</f>
        <v>0.500208420175073</v>
      </c>
      <c r="Q58" s="12" t="n">
        <v>84</v>
      </c>
    </row>
    <row r="59" customFormat="false" ht="15" hidden="false" customHeight="false" outlineLevel="0" collapsed="false">
      <c r="A59" s="12" t="s">
        <v>160</v>
      </c>
      <c r="B59" s="12" t="s">
        <v>161</v>
      </c>
      <c r="C59" s="12" t="s">
        <v>7</v>
      </c>
      <c r="D59" s="13" t="n">
        <v>49.95</v>
      </c>
      <c r="E59" s="13" t="n">
        <f aca="false">IFERROR(INDEX(Tiers!$B$4:$B$12,MATCH(C59,Tiers!$A$4:$A$12,0)),D59)</f>
        <v>59.95</v>
      </c>
      <c r="F59" s="14"/>
      <c r="G59" s="15" t="n">
        <f aca="false">IF(F59="",E59,F59)</f>
        <v>59.95</v>
      </c>
      <c r="H59" s="16" t="n">
        <f aca="false">G59-D59</f>
        <v>10</v>
      </c>
      <c r="I59" s="17" t="n">
        <f aca="false">IFERROR((G59-D59)/D59,0)</f>
        <v>0.2002002002002</v>
      </c>
      <c r="J59" s="12" t="str">
        <f aca="false">IF(G59&gt;D59,"Omhoog",IF(G59&lt;D59,"Omlaag","Gelijk"))</f>
        <v>Omhoog</v>
      </c>
      <c r="K59" s="18" t="str">
        <f aca="false">IF(ABS(I59)&gt;=0.2,"controleren","")</f>
        <v>controleren</v>
      </c>
      <c r="L59" s="13" t="n">
        <v>83.25</v>
      </c>
      <c r="M59" s="17" t="n">
        <f aca="false">IFERROR(1-D59/L59,0)</f>
        <v>0.4</v>
      </c>
      <c r="N59" s="17" t="n">
        <f aca="false">IF(Tiers!$B$15="ja",Tiers!$B$16,M59)</f>
        <v>0.4</v>
      </c>
      <c r="O59" s="13" t="n">
        <f aca="false">ROUNDUP(G59/(1-N59),0)-0.05</f>
        <v>99.95</v>
      </c>
      <c r="P59" s="17" t="n">
        <f aca="false">IFERROR(1-G59/O59,0)</f>
        <v>0.400200100050025</v>
      </c>
      <c r="Q59" s="12" t="n">
        <v>35</v>
      </c>
    </row>
    <row r="60" customFormat="false" ht="15" hidden="false" customHeight="false" outlineLevel="0" collapsed="false">
      <c r="A60" s="12" t="s">
        <v>162</v>
      </c>
      <c r="B60" s="12" t="s">
        <v>163</v>
      </c>
      <c r="C60" s="12" t="s">
        <v>7</v>
      </c>
      <c r="D60" s="13" t="n">
        <v>44.95</v>
      </c>
      <c r="E60" s="13" t="n">
        <f aca="false">IFERROR(INDEX(Tiers!$B$4:$B$12,MATCH(C60,Tiers!$A$4:$A$12,0)),D60)</f>
        <v>59.95</v>
      </c>
      <c r="F60" s="14"/>
      <c r="G60" s="15" t="n">
        <f aca="false">IF(F60="",E60,F60)</f>
        <v>59.95</v>
      </c>
      <c r="H60" s="16" t="n">
        <f aca="false">G60-D60</f>
        <v>15</v>
      </c>
      <c r="I60" s="17" t="n">
        <f aca="false">IFERROR((G60-D60)/D60,0)</f>
        <v>0.333704115684093</v>
      </c>
      <c r="J60" s="12" t="str">
        <f aca="false">IF(G60&gt;D60,"Omhoog",IF(G60&lt;D60,"Omlaag","Gelijk"))</f>
        <v>Omhoog</v>
      </c>
      <c r="K60" s="18" t="str">
        <f aca="false">IF(ABS(I60)&gt;=0.2,"controleren","")</f>
        <v>controleren</v>
      </c>
      <c r="L60" s="13" t="n">
        <v>74.92</v>
      </c>
      <c r="M60" s="17" t="n">
        <f aca="false">IFERROR(1-D60/L60,0)</f>
        <v>0.400026695141484</v>
      </c>
      <c r="N60" s="17" t="n">
        <f aca="false">IF(Tiers!$B$15="ja",Tiers!$B$16,M60)</f>
        <v>0.400026695141484</v>
      </c>
      <c r="O60" s="13" t="n">
        <f aca="false">ROUNDUP(G60/(1-N60),0)-0.05</f>
        <v>99.95</v>
      </c>
      <c r="P60" s="17" t="n">
        <f aca="false">IFERROR(1-G60/O60,0)</f>
        <v>0.400200100050025</v>
      </c>
      <c r="Q60" s="12" t="n">
        <v>70</v>
      </c>
    </row>
    <row r="61" customFormat="false" ht="15" hidden="false" customHeight="false" outlineLevel="0" collapsed="false">
      <c r="A61" s="12" t="s">
        <v>164</v>
      </c>
      <c r="B61" s="12" t="s">
        <v>165</v>
      </c>
      <c r="C61" s="12" t="s">
        <v>7</v>
      </c>
      <c r="D61" s="13" t="n">
        <v>44.95</v>
      </c>
      <c r="E61" s="13" t="n">
        <f aca="false">IFERROR(INDEX(Tiers!$B$4:$B$12,MATCH(C61,Tiers!$A$4:$A$12,0)),D61)</f>
        <v>59.95</v>
      </c>
      <c r="F61" s="14"/>
      <c r="G61" s="15" t="n">
        <f aca="false">IF(F61="",E61,F61)</f>
        <v>59.95</v>
      </c>
      <c r="H61" s="16" t="n">
        <f aca="false">G61-D61</f>
        <v>15</v>
      </c>
      <c r="I61" s="17" t="n">
        <f aca="false">IFERROR((G61-D61)/D61,0)</f>
        <v>0.333704115684093</v>
      </c>
      <c r="J61" s="12" t="str">
        <f aca="false">IF(G61&gt;D61,"Omhoog",IF(G61&lt;D61,"Omlaag","Gelijk"))</f>
        <v>Omhoog</v>
      </c>
      <c r="K61" s="18" t="str">
        <f aca="false">IF(ABS(I61)&gt;=0.2,"controleren","")</f>
        <v>controleren</v>
      </c>
      <c r="L61" s="13" t="n">
        <v>89.9</v>
      </c>
      <c r="M61" s="17" t="n">
        <f aca="false">IFERROR(1-D61/L61,0)</f>
        <v>0.5</v>
      </c>
      <c r="N61" s="17" t="n">
        <f aca="false">IF(Tiers!$B$15="ja",Tiers!$B$16,M61)</f>
        <v>0.5</v>
      </c>
      <c r="O61" s="13" t="n">
        <f aca="false">ROUNDUP(G61/(1-N61),0)-0.05</f>
        <v>119.95</v>
      </c>
      <c r="P61" s="17" t="n">
        <f aca="false">IFERROR(1-G61/O61,0)</f>
        <v>0.500208420175073</v>
      </c>
      <c r="Q61" s="12" t="n">
        <v>7</v>
      </c>
    </row>
    <row r="62" customFormat="false" ht="15" hidden="false" customHeight="false" outlineLevel="0" collapsed="false">
      <c r="A62" s="12" t="s">
        <v>166</v>
      </c>
      <c r="B62" s="12" t="s">
        <v>167</v>
      </c>
      <c r="C62" s="12" t="s">
        <v>7</v>
      </c>
      <c r="D62" s="13" t="n">
        <v>59.95</v>
      </c>
      <c r="E62" s="13" t="n">
        <f aca="false">IFERROR(INDEX(Tiers!$B$4:$B$12,MATCH(C62,Tiers!$A$4:$A$12,0)),D62)</f>
        <v>59.95</v>
      </c>
      <c r="F62" s="14"/>
      <c r="G62" s="15" t="n">
        <f aca="false">IF(F62="",E62,F62)</f>
        <v>59.95</v>
      </c>
      <c r="H62" s="16" t="n">
        <f aca="false">G62-D62</f>
        <v>0</v>
      </c>
      <c r="I62" s="17" t="n">
        <f aca="false">IFERROR((G62-D62)/D62,0)</f>
        <v>0</v>
      </c>
      <c r="J62" s="12" t="str">
        <f aca="false">IF(G62&gt;D62,"Omhoog",IF(G62&lt;D62,"Omlaag","Gelijk"))</f>
        <v>Gelijk</v>
      </c>
      <c r="K62" s="18" t="str">
        <f aca="false">IF(ABS(I62)&gt;=0.2,"controleren","")</f>
        <v/>
      </c>
      <c r="L62" s="13" t="n">
        <v>119.9</v>
      </c>
      <c r="M62" s="17" t="n">
        <f aca="false">IFERROR(1-D62/L62,0)</f>
        <v>0.5</v>
      </c>
      <c r="N62" s="17" t="n">
        <f aca="false">IF(Tiers!$B$15="ja",Tiers!$B$16,M62)</f>
        <v>0.5</v>
      </c>
      <c r="O62" s="13" t="n">
        <f aca="false">ROUNDUP(G62/(1-N62),0)-0.05</f>
        <v>119.95</v>
      </c>
      <c r="P62" s="17" t="n">
        <f aca="false">IFERROR(1-G62/O62,0)</f>
        <v>0.500208420175073</v>
      </c>
      <c r="Q62" s="12" t="n">
        <v>10</v>
      </c>
    </row>
    <row r="63" customFormat="false" ht="15" hidden="false" customHeight="false" outlineLevel="0" collapsed="false">
      <c r="A63" s="12" t="s">
        <v>168</v>
      </c>
      <c r="B63" s="12" t="s">
        <v>169</v>
      </c>
      <c r="C63" s="12" t="s">
        <v>7</v>
      </c>
      <c r="D63" s="13" t="n">
        <v>49.95</v>
      </c>
      <c r="E63" s="13" t="n">
        <f aca="false">IFERROR(INDEX(Tiers!$B$4:$B$12,MATCH(C63,Tiers!$A$4:$A$12,0)),D63)</f>
        <v>59.95</v>
      </c>
      <c r="F63" s="14"/>
      <c r="G63" s="15" t="n">
        <f aca="false">IF(F63="",E63,F63)</f>
        <v>59.95</v>
      </c>
      <c r="H63" s="16" t="n">
        <f aca="false">G63-D63</f>
        <v>10</v>
      </c>
      <c r="I63" s="17" t="n">
        <f aca="false">IFERROR((G63-D63)/D63,0)</f>
        <v>0.2002002002002</v>
      </c>
      <c r="J63" s="12" t="str">
        <f aca="false">IF(G63&gt;D63,"Omhoog",IF(G63&lt;D63,"Omlaag","Gelijk"))</f>
        <v>Omhoog</v>
      </c>
      <c r="K63" s="18" t="str">
        <f aca="false">IF(ABS(I63)&gt;=0.2,"controleren","")</f>
        <v>controleren</v>
      </c>
      <c r="L63" s="13" t="n">
        <v>90.82</v>
      </c>
      <c r="M63" s="17" t="n">
        <f aca="false">IFERROR(1-D63/L63,0)</f>
        <v>0.450011010790575</v>
      </c>
      <c r="N63" s="17" t="n">
        <f aca="false">IF(Tiers!$B$15="ja",Tiers!$B$16,M63)</f>
        <v>0.450011010790575</v>
      </c>
      <c r="O63" s="13" t="n">
        <f aca="false">ROUNDUP(G63/(1-N63),0)-0.05</f>
        <v>109.95</v>
      </c>
      <c r="P63" s="17" t="n">
        <f aca="false">IFERROR(1-G63/O63,0)</f>
        <v>0.45475216007276</v>
      </c>
      <c r="Q63" s="12" t="n">
        <v>96</v>
      </c>
    </row>
    <row r="64" customFormat="false" ht="15" hidden="false" customHeight="false" outlineLevel="0" collapsed="false">
      <c r="A64" s="12" t="s">
        <v>170</v>
      </c>
      <c r="B64" s="12" t="s">
        <v>169</v>
      </c>
      <c r="C64" s="12" t="s">
        <v>7</v>
      </c>
      <c r="D64" s="13" t="n">
        <v>59.95</v>
      </c>
      <c r="E64" s="13" t="n">
        <f aca="false">IFERROR(INDEX(Tiers!$B$4:$B$12,MATCH(C64,Tiers!$A$4:$A$12,0)),D64)</f>
        <v>59.95</v>
      </c>
      <c r="F64" s="14"/>
      <c r="G64" s="15" t="n">
        <f aca="false">IF(F64="",E64,F64)</f>
        <v>59.95</v>
      </c>
      <c r="H64" s="16" t="n">
        <f aca="false">G64-D64</f>
        <v>0</v>
      </c>
      <c r="I64" s="17" t="n">
        <f aca="false">IFERROR((G64-D64)/D64,0)</f>
        <v>0</v>
      </c>
      <c r="J64" s="12" t="str">
        <f aca="false">IF(G64&gt;D64,"Omhoog",IF(G64&lt;D64,"Omlaag","Gelijk"))</f>
        <v>Gelijk</v>
      </c>
      <c r="K64" s="18" t="str">
        <f aca="false">IF(ABS(I64)&gt;=0.2,"controleren","")</f>
        <v/>
      </c>
      <c r="L64" s="13" t="n">
        <v>99.92</v>
      </c>
      <c r="M64" s="17" t="n">
        <f aca="false">IFERROR(1-D64/L64,0)</f>
        <v>0.40002001601281</v>
      </c>
      <c r="N64" s="17" t="n">
        <f aca="false">IF(Tiers!$B$15="ja",Tiers!$B$16,M64)</f>
        <v>0.40002001601281</v>
      </c>
      <c r="O64" s="13" t="n">
        <f aca="false">ROUNDUP(G64/(1-N64),0)-0.05</f>
        <v>99.95</v>
      </c>
      <c r="P64" s="17" t="n">
        <f aca="false">IFERROR(1-G64/O64,0)</f>
        <v>0.400200100050025</v>
      </c>
      <c r="Q64" s="12" t="n">
        <v>42</v>
      </c>
    </row>
    <row r="65" customFormat="false" ht="15" hidden="false" customHeight="false" outlineLevel="0" collapsed="false">
      <c r="A65" s="12" t="s">
        <v>171</v>
      </c>
      <c r="B65" s="12" t="s">
        <v>172</v>
      </c>
      <c r="C65" s="12" t="s">
        <v>7</v>
      </c>
      <c r="D65" s="13" t="n">
        <v>59.95</v>
      </c>
      <c r="E65" s="13" t="n">
        <f aca="false">IFERROR(INDEX(Tiers!$B$4:$B$12,MATCH(C65,Tiers!$A$4:$A$12,0)),D65)</f>
        <v>59.95</v>
      </c>
      <c r="F65" s="14"/>
      <c r="G65" s="15" t="n">
        <f aca="false">IF(F65="",E65,F65)</f>
        <v>59.95</v>
      </c>
      <c r="H65" s="16" t="n">
        <f aca="false">G65-D65</f>
        <v>0</v>
      </c>
      <c r="I65" s="17" t="n">
        <f aca="false">IFERROR((G65-D65)/D65,0)</f>
        <v>0</v>
      </c>
      <c r="J65" s="12" t="str">
        <f aca="false">IF(G65&gt;D65,"Omhoog",IF(G65&lt;D65,"Omlaag","Gelijk"))</f>
        <v>Gelijk</v>
      </c>
      <c r="K65" s="18" t="str">
        <f aca="false">IF(ABS(I65)&gt;=0.2,"controleren","")</f>
        <v/>
      </c>
      <c r="L65" s="13" t="n">
        <v>99.92</v>
      </c>
      <c r="M65" s="17" t="n">
        <f aca="false">IFERROR(1-D65/L65,0)</f>
        <v>0.40002001601281</v>
      </c>
      <c r="N65" s="17" t="n">
        <f aca="false">IF(Tiers!$B$15="ja",Tiers!$B$16,M65)</f>
        <v>0.40002001601281</v>
      </c>
      <c r="O65" s="13" t="n">
        <f aca="false">ROUNDUP(G65/(1-N65),0)-0.05</f>
        <v>99.95</v>
      </c>
      <c r="P65" s="17" t="n">
        <f aca="false">IFERROR(1-G65/O65,0)</f>
        <v>0.400200100050025</v>
      </c>
      <c r="Q65" s="12" t="n">
        <v>24</v>
      </c>
    </row>
    <row r="66" customFormat="false" ht="15" hidden="false" customHeight="false" outlineLevel="0" collapsed="false">
      <c r="A66" s="12" t="s">
        <v>173</v>
      </c>
      <c r="B66" s="12" t="s">
        <v>174</v>
      </c>
      <c r="C66" s="12" t="s">
        <v>7</v>
      </c>
      <c r="D66" s="13" t="n">
        <v>54.95</v>
      </c>
      <c r="E66" s="13" t="n">
        <f aca="false">IFERROR(INDEX(Tiers!$B$4:$B$12,MATCH(C66,Tiers!$A$4:$A$12,0)),D66)</f>
        <v>59.95</v>
      </c>
      <c r="F66" s="14"/>
      <c r="G66" s="15" t="n">
        <f aca="false">IF(F66="",E66,F66)</f>
        <v>59.95</v>
      </c>
      <c r="H66" s="16" t="n">
        <f aca="false">G66-D66</f>
        <v>5</v>
      </c>
      <c r="I66" s="17" t="n">
        <f aca="false">IFERROR((G66-D66)/D66,0)</f>
        <v>0.0909918107370337</v>
      </c>
      <c r="J66" s="12" t="str">
        <f aca="false">IF(G66&gt;D66,"Omhoog",IF(G66&lt;D66,"Omlaag","Gelijk"))</f>
        <v>Omhoog</v>
      </c>
      <c r="K66" s="18" t="str">
        <f aca="false">IF(ABS(I66)&gt;=0.2,"controleren","")</f>
        <v/>
      </c>
      <c r="L66" s="13" t="n">
        <v>91.58</v>
      </c>
      <c r="M66" s="17" t="n">
        <f aca="false">IFERROR(1-D66/L66,0)</f>
        <v>0.399978161170561</v>
      </c>
      <c r="N66" s="17" t="n">
        <f aca="false">IF(Tiers!$B$15="ja",Tiers!$B$16,M66)</f>
        <v>0.399978161170561</v>
      </c>
      <c r="O66" s="13" t="n">
        <f aca="false">ROUNDUP(G66/(1-N66),0)-0.05</f>
        <v>99.95</v>
      </c>
      <c r="P66" s="17" t="n">
        <f aca="false">IFERROR(1-G66/O66,0)</f>
        <v>0.400200100050025</v>
      </c>
      <c r="Q66" s="12" t="n">
        <v>18</v>
      </c>
    </row>
    <row r="67" customFormat="false" ht="15" hidden="false" customHeight="false" outlineLevel="0" collapsed="false">
      <c r="A67" s="12" t="s">
        <v>175</v>
      </c>
      <c r="B67" s="12" t="s">
        <v>176</v>
      </c>
      <c r="C67" s="12" t="s">
        <v>7</v>
      </c>
      <c r="D67" s="13" t="n">
        <v>54.95</v>
      </c>
      <c r="E67" s="13" t="n">
        <f aca="false">IFERROR(INDEX(Tiers!$B$4:$B$12,MATCH(C67,Tiers!$A$4:$A$12,0)),D67)</f>
        <v>59.95</v>
      </c>
      <c r="F67" s="14"/>
      <c r="G67" s="15" t="n">
        <f aca="false">IF(F67="",E67,F67)</f>
        <v>59.95</v>
      </c>
      <c r="H67" s="16" t="n">
        <f aca="false">G67-D67</f>
        <v>5</v>
      </c>
      <c r="I67" s="17" t="n">
        <f aca="false">IFERROR((G67-D67)/D67,0)</f>
        <v>0.0909918107370337</v>
      </c>
      <c r="J67" s="12" t="str">
        <f aca="false">IF(G67&gt;D67,"Omhoog",IF(G67&lt;D67,"Omlaag","Gelijk"))</f>
        <v>Omhoog</v>
      </c>
      <c r="K67" s="18" t="str">
        <f aca="false">IF(ABS(I67)&gt;=0.2,"controleren","")</f>
        <v/>
      </c>
      <c r="L67" s="13" t="n">
        <v>91.58</v>
      </c>
      <c r="M67" s="17" t="n">
        <f aca="false">IFERROR(1-D67/L67,0)</f>
        <v>0.399978161170561</v>
      </c>
      <c r="N67" s="17" t="n">
        <f aca="false">IF(Tiers!$B$15="ja",Tiers!$B$16,M67)</f>
        <v>0.399978161170561</v>
      </c>
      <c r="O67" s="13" t="n">
        <f aca="false">ROUNDUP(G67/(1-N67),0)-0.05</f>
        <v>99.95</v>
      </c>
      <c r="P67" s="17" t="n">
        <f aca="false">IFERROR(1-G67/O67,0)</f>
        <v>0.400200100050025</v>
      </c>
      <c r="Q67" s="12" t="n">
        <v>36</v>
      </c>
    </row>
    <row r="68" customFormat="false" ht="15" hidden="false" customHeight="false" outlineLevel="0" collapsed="false">
      <c r="A68" s="12" t="s">
        <v>177</v>
      </c>
      <c r="B68" s="12" t="s">
        <v>178</v>
      </c>
      <c r="C68" s="12" t="s">
        <v>7</v>
      </c>
      <c r="D68" s="13" t="n">
        <v>44.95</v>
      </c>
      <c r="E68" s="13" t="n">
        <f aca="false">IFERROR(INDEX(Tiers!$B$4:$B$12,MATCH(C68,Tiers!$A$4:$A$12,0)),D68)</f>
        <v>59.95</v>
      </c>
      <c r="F68" s="14"/>
      <c r="G68" s="15" t="n">
        <f aca="false">IF(F68="",E68,F68)</f>
        <v>59.95</v>
      </c>
      <c r="H68" s="16" t="n">
        <f aca="false">G68-D68</f>
        <v>15</v>
      </c>
      <c r="I68" s="17" t="n">
        <f aca="false">IFERROR((G68-D68)/D68,0)</f>
        <v>0.333704115684093</v>
      </c>
      <c r="J68" s="12" t="str">
        <f aca="false">IF(G68&gt;D68,"Omhoog",IF(G68&lt;D68,"Omlaag","Gelijk"))</f>
        <v>Omhoog</v>
      </c>
      <c r="K68" s="18" t="str">
        <f aca="false">IF(ABS(I68)&gt;=0.2,"controleren","")</f>
        <v>controleren</v>
      </c>
      <c r="L68" s="13" t="n">
        <v>74.92</v>
      </c>
      <c r="M68" s="17" t="n">
        <f aca="false">IFERROR(1-D68/L68,0)</f>
        <v>0.400026695141484</v>
      </c>
      <c r="N68" s="17" t="n">
        <f aca="false">IF(Tiers!$B$15="ja",Tiers!$B$16,M68)</f>
        <v>0.400026695141484</v>
      </c>
      <c r="O68" s="13" t="n">
        <f aca="false">ROUNDUP(G68/(1-N68),0)-0.05</f>
        <v>99.95</v>
      </c>
      <c r="P68" s="17" t="n">
        <f aca="false">IFERROR(1-G68/O68,0)</f>
        <v>0.400200100050025</v>
      </c>
      <c r="Q68" s="12" t="n">
        <v>12</v>
      </c>
    </row>
    <row r="69" customFormat="false" ht="15" hidden="false" customHeight="false" outlineLevel="0" collapsed="false">
      <c r="A69" s="12" t="s">
        <v>179</v>
      </c>
      <c r="B69" s="12" t="s">
        <v>180</v>
      </c>
      <c r="C69" s="12" t="s">
        <v>7</v>
      </c>
      <c r="D69" s="13" t="n">
        <v>59.95</v>
      </c>
      <c r="E69" s="13" t="n">
        <f aca="false">IFERROR(INDEX(Tiers!$B$4:$B$12,MATCH(C69,Tiers!$A$4:$A$12,0)),D69)</f>
        <v>59.95</v>
      </c>
      <c r="F69" s="14"/>
      <c r="G69" s="15" t="n">
        <f aca="false">IF(F69="",E69,F69)</f>
        <v>59.95</v>
      </c>
      <c r="H69" s="16" t="n">
        <f aca="false">G69-D69</f>
        <v>0</v>
      </c>
      <c r="I69" s="17" t="n">
        <f aca="false">IFERROR((G69-D69)/D69,0)</f>
        <v>0</v>
      </c>
      <c r="J69" s="12" t="str">
        <f aca="false">IF(G69&gt;D69,"Omhoog",IF(G69&lt;D69,"Omlaag","Gelijk"))</f>
        <v>Gelijk</v>
      </c>
      <c r="K69" s="18" t="str">
        <f aca="false">IF(ABS(I69)&gt;=0.2,"controleren","")</f>
        <v/>
      </c>
      <c r="L69" s="13" t="n">
        <v>109</v>
      </c>
      <c r="M69" s="17" t="n">
        <f aca="false">IFERROR(1-D69/L69,0)</f>
        <v>0.45</v>
      </c>
      <c r="N69" s="17" t="n">
        <f aca="false">IF(Tiers!$B$15="ja",Tiers!$B$16,M69)</f>
        <v>0.45</v>
      </c>
      <c r="O69" s="13" t="n">
        <f aca="false">ROUNDUP(G69/(1-N69),0)-0.05</f>
        <v>108.95</v>
      </c>
      <c r="P69" s="17" t="n">
        <f aca="false">IFERROR(1-G69/O69,0)</f>
        <v>0.449747590637907</v>
      </c>
      <c r="Q69" s="12" t="n">
        <v>80</v>
      </c>
    </row>
    <row r="70" customFormat="false" ht="15" hidden="false" customHeight="false" outlineLevel="0" collapsed="false">
      <c r="A70" s="12" t="s">
        <v>181</v>
      </c>
      <c r="B70" s="12" t="s">
        <v>182</v>
      </c>
      <c r="C70" s="12" t="s">
        <v>7</v>
      </c>
      <c r="D70" s="13" t="n">
        <v>69.95</v>
      </c>
      <c r="E70" s="13" t="n">
        <f aca="false">IFERROR(INDEX(Tiers!$B$4:$B$12,MATCH(C70,Tiers!$A$4:$A$12,0)),D70)</f>
        <v>59.95</v>
      </c>
      <c r="F70" s="14"/>
      <c r="G70" s="15" t="n">
        <f aca="false">IF(F70="",E70,F70)</f>
        <v>59.95</v>
      </c>
      <c r="H70" s="16" t="n">
        <f aca="false">G70-D70</f>
        <v>-10</v>
      </c>
      <c r="I70" s="17" t="n">
        <f aca="false">IFERROR((G70-D70)/D70,0)</f>
        <v>-0.142959256611866</v>
      </c>
      <c r="J70" s="12" t="str">
        <f aca="false">IF(G70&gt;D70,"Omhoog",IF(G70&lt;D70,"Omlaag","Gelijk"))</f>
        <v>Omlaag</v>
      </c>
      <c r="K70" s="18" t="str">
        <f aca="false">IF(ABS(I70)&gt;=0.2,"controleren","")</f>
        <v/>
      </c>
      <c r="L70" s="13" t="n">
        <v>116.58</v>
      </c>
      <c r="M70" s="17" t="n">
        <f aca="false">IFERROR(1-D70/L70,0)</f>
        <v>0.399982844398696</v>
      </c>
      <c r="N70" s="17" t="n">
        <f aca="false">IF(Tiers!$B$15="ja",Tiers!$B$16,M70)</f>
        <v>0.399982844398696</v>
      </c>
      <c r="O70" s="13" t="n">
        <f aca="false">ROUNDUP(G70/(1-N70),0)-0.05</f>
        <v>99.95</v>
      </c>
      <c r="P70" s="17" t="n">
        <f aca="false">IFERROR(1-G70/O70,0)</f>
        <v>0.400200100050025</v>
      </c>
      <c r="Q70" s="12" t="n">
        <v>16</v>
      </c>
    </row>
    <row r="71" customFormat="false" ht="15" hidden="false" customHeight="false" outlineLevel="0" collapsed="false">
      <c r="A71" s="12" t="s">
        <v>183</v>
      </c>
      <c r="B71" s="12" t="s">
        <v>184</v>
      </c>
      <c r="C71" s="12" t="s">
        <v>7</v>
      </c>
      <c r="D71" s="13" t="n">
        <v>69.95</v>
      </c>
      <c r="E71" s="13" t="n">
        <f aca="false">IFERROR(INDEX(Tiers!$B$4:$B$12,MATCH(C71,Tiers!$A$4:$A$12,0)),D71)</f>
        <v>59.95</v>
      </c>
      <c r="F71" s="14"/>
      <c r="G71" s="15" t="n">
        <f aca="false">IF(F71="",E71,F71)</f>
        <v>59.95</v>
      </c>
      <c r="H71" s="16" t="n">
        <f aca="false">G71-D71</f>
        <v>-10</v>
      </c>
      <c r="I71" s="17" t="n">
        <f aca="false">IFERROR((G71-D71)/D71,0)</f>
        <v>-0.142959256611866</v>
      </c>
      <c r="J71" s="12" t="str">
        <f aca="false">IF(G71&gt;D71,"Omhoog",IF(G71&lt;D71,"Omlaag","Gelijk"))</f>
        <v>Omlaag</v>
      </c>
      <c r="K71" s="18" t="str">
        <f aca="false">IF(ABS(I71)&gt;=0.2,"controleren","")</f>
        <v/>
      </c>
      <c r="L71" s="13" t="n">
        <v>127.18</v>
      </c>
      <c r="M71" s="17" t="n">
        <f aca="false">IFERROR(1-D71/L71,0)</f>
        <v>0.449992137128479</v>
      </c>
      <c r="N71" s="17" t="n">
        <f aca="false">IF(Tiers!$B$15="ja",Tiers!$B$16,M71)</f>
        <v>0.449992137128479</v>
      </c>
      <c r="O71" s="13" t="n">
        <f aca="false">ROUNDUP(G71/(1-N71),0)-0.05</f>
        <v>108.95</v>
      </c>
      <c r="P71" s="17" t="n">
        <f aca="false">IFERROR(1-G71/O71,0)</f>
        <v>0.449747590637907</v>
      </c>
      <c r="Q71" s="12" t="n">
        <v>12</v>
      </c>
    </row>
    <row r="72" customFormat="false" ht="15" hidden="false" customHeight="false" outlineLevel="0" collapsed="false">
      <c r="A72" s="12" t="s">
        <v>185</v>
      </c>
      <c r="B72" s="12" t="s">
        <v>186</v>
      </c>
      <c r="C72" s="12" t="s">
        <v>7</v>
      </c>
      <c r="D72" s="13" t="n">
        <v>54.95</v>
      </c>
      <c r="E72" s="13" t="n">
        <f aca="false">IFERROR(INDEX(Tiers!$B$4:$B$12,MATCH(C72,Tiers!$A$4:$A$12,0)),D72)</f>
        <v>59.95</v>
      </c>
      <c r="F72" s="14"/>
      <c r="G72" s="15" t="n">
        <f aca="false">IF(F72="",E72,F72)</f>
        <v>59.95</v>
      </c>
      <c r="H72" s="16" t="n">
        <f aca="false">G72-D72</f>
        <v>5</v>
      </c>
      <c r="I72" s="17" t="n">
        <f aca="false">IFERROR((G72-D72)/D72,0)</f>
        <v>0.0909918107370337</v>
      </c>
      <c r="J72" s="12" t="str">
        <f aca="false">IF(G72&gt;D72,"Omhoog",IF(G72&lt;D72,"Omlaag","Gelijk"))</f>
        <v>Omhoog</v>
      </c>
      <c r="K72" s="18" t="str">
        <f aca="false">IF(ABS(I72)&gt;=0.2,"controleren","")</f>
        <v/>
      </c>
      <c r="L72" s="13" t="n">
        <v>91.58</v>
      </c>
      <c r="M72" s="17" t="n">
        <f aca="false">IFERROR(1-D72/L72,0)</f>
        <v>0.399978161170561</v>
      </c>
      <c r="N72" s="17" t="n">
        <f aca="false">IF(Tiers!$B$15="ja",Tiers!$B$16,M72)</f>
        <v>0.399978161170561</v>
      </c>
      <c r="O72" s="13" t="n">
        <f aca="false">ROUNDUP(G72/(1-N72),0)-0.05</f>
        <v>99.95</v>
      </c>
      <c r="P72" s="17" t="n">
        <f aca="false">IFERROR(1-G72/O72,0)</f>
        <v>0.400200100050025</v>
      </c>
      <c r="Q72" s="12" t="n">
        <v>28</v>
      </c>
    </row>
    <row r="73" customFormat="false" ht="15" hidden="false" customHeight="false" outlineLevel="0" collapsed="false">
      <c r="A73" s="12" t="s">
        <v>187</v>
      </c>
      <c r="B73" s="12" t="s">
        <v>188</v>
      </c>
      <c r="C73" s="12" t="s">
        <v>7</v>
      </c>
      <c r="D73" s="13" t="n">
        <v>59.95</v>
      </c>
      <c r="E73" s="13" t="n">
        <f aca="false">IFERROR(INDEX(Tiers!$B$4:$B$12,MATCH(C73,Tiers!$A$4:$A$12,0)),D73)</f>
        <v>59.95</v>
      </c>
      <c r="F73" s="14"/>
      <c r="G73" s="15" t="n">
        <f aca="false">IF(F73="",E73,F73)</f>
        <v>59.95</v>
      </c>
      <c r="H73" s="16" t="n">
        <f aca="false">G73-D73</f>
        <v>0</v>
      </c>
      <c r="I73" s="17" t="n">
        <f aca="false">IFERROR((G73-D73)/D73,0)</f>
        <v>0</v>
      </c>
      <c r="J73" s="12" t="str">
        <f aca="false">IF(G73&gt;D73,"Omhoog",IF(G73&lt;D73,"Omlaag","Gelijk"))</f>
        <v>Gelijk</v>
      </c>
      <c r="K73" s="18" t="str">
        <f aca="false">IF(ABS(I73)&gt;=0.2,"controleren","")</f>
        <v/>
      </c>
      <c r="L73" s="13" t="n">
        <v>109</v>
      </c>
      <c r="M73" s="17" t="n">
        <f aca="false">IFERROR(1-D73/L73,0)</f>
        <v>0.45</v>
      </c>
      <c r="N73" s="17" t="n">
        <f aca="false">IF(Tiers!$B$15="ja",Tiers!$B$16,M73)</f>
        <v>0.45</v>
      </c>
      <c r="O73" s="13" t="n">
        <f aca="false">ROUNDUP(G73/(1-N73),0)-0.05</f>
        <v>108.95</v>
      </c>
      <c r="P73" s="17" t="n">
        <f aca="false">IFERROR(1-G73/O73,0)</f>
        <v>0.449747590637907</v>
      </c>
      <c r="Q73" s="12" t="n">
        <v>6</v>
      </c>
    </row>
    <row r="74" customFormat="false" ht="15" hidden="false" customHeight="false" outlineLevel="0" collapsed="false">
      <c r="A74" s="12" t="s">
        <v>189</v>
      </c>
      <c r="B74" s="12" t="s">
        <v>190</v>
      </c>
      <c r="C74" s="12" t="s">
        <v>7</v>
      </c>
      <c r="D74" s="13" t="n">
        <v>59.95</v>
      </c>
      <c r="E74" s="13" t="n">
        <f aca="false">IFERROR(INDEX(Tiers!$B$4:$B$12,MATCH(C74,Tiers!$A$4:$A$12,0)),D74)</f>
        <v>59.95</v>
      </c>
      <c r="F74" s="14"/>
      <c r="G74" s="15" t="n">
        <f aca="false">IF(F74="",E74,F74)</f>
        <v>59.95</v>
      </c>
      <c r="H74" s="16" t="n">
        <f aca="false">G74-D74</f>
        <v>0</v>
      </c>
      <c r="I74" s="17" t="n">
        <f aca="false">IFERROR((G74-D74)/D74,0)</f>
        <v>0</v>
      </c>
      <c r="J74" s="12" t="str">
        <f aca="false">IF(G74&gt;D74,"Omhoog",IF(G74&lt;D74,"Omlaag","Gelijk"))</f>
        <v>Gelijk</v>
      </c>
      <c r="K74" s="18" t="str">
        <f aca="false">IF(ABS(I74)&gt;=0.2,"controleren","")</f>
        <v/>
      </c>
      <c r="L74" s="13" t="n">
        <v>119.9</v>
      </c>
      <c r="M74" s="17" t="n">
        <f aca="false">IFERROR(1-D74/L74,0)</f>
        <v>0.5</v>
      </c>
      <c r="N74" s="17" t="n">
        <f aca="false">IF(Tiers!$B$15="ja",Tiers!$B$16,M74)</f>
        <v>0.5</v>
      </c>
      <c r="O74" s="13" t="n">
        <f aca="false">ROUNDUP(G74/(1-N74),0)-0.05</f>
        <v>119.95</v>
      </c>
      <c r="P74" s="17" t="n">
        <f aca="false">IFERROR(1-G74/O74,0)</f>
        <v>0.500208420175073</v>
      </c>
      <c r="Q74" s="12" t="n">
        <v>25</v>
      </c>
    </row>
    <row r="75" customFormat="false" ht="15" hidden="false" customHeight="false" outlineLevel="0" collapsed="false">
      <c r="A75" s="12" t="s">
        <v>191</v>
      </c>
      <c r="B75" s="12" t="s">
        <v>192</v>
      </c>
      <c r="C75" s="12" t="s">
        <v>7</v>
      </c>
      <c r="D75" s="13" t="n">
        <v>69.95</v>
      </c>
      <c r="E75" s="13" t="n">
        <f aca="false">IFERROR(INDEX(Tiers!$B$4:$B$12,MATCH(C75,Tiers!$A$4:$A$12,0)),D75)</f>
        <v>59.95</v>
      </c>
      <c r="F75" s="14"/>
      <c r="G75" s="15" t="n">
        <f aca="false">IF(F75="",E75,F75)</f>
        <v>59.95</v>
      </c>
      <c r="H75" s="16" t="n">
        <f aca="false">G75-D75</f>
        <v>-10</v>
      </c>
      <c r="I75" s="17" t="n">
        <f aca="false">IFERROR((G75-D75)/D75,0)</f>
        <v>-0.142959256611866</v>
      </c>
      <c r="J75" s="12" t="str">
        <f aca="false">IF(G75&gt;D75,"Omhoog",IF(G75&lt;D75,"Omlaag","Gelijk"))</f>
        <v>Omlaag</v>
      </c>
      <c r="K75" s="18" t="str">
        <f aca="false">IF(ABS(I75)&gt;=0.2,"controleren","")</f>
        <v/>
      </c>
      <c r="L75" s="13" t="n">
        <v>116.58</v>
      </c>
      <c r="M75" s="17" t="n">
        <f aca="false">IFERROR(1-D75/L75,0)</f>
        <v>0.399982844398696</v>
      </c>
      <c r="N75" s="17" t="n">
        <f aca="false">IF(Tiers!$B$15="ja",Tiers!$B$16,M75)</f>
        <v>0.399982844398696</v>
      </c>
      <c r="O75" s="13" t="n">
        <f aca="false">ROUNDUP(G75/(1-N75),0)-0.05</f>
        <v>99.95</v>
      </c>
      <c r="P75" s="17" t="n">
        <f aca="false">IFERROR(1-G75/O75,0)</f>
        <v>0.400200100050025</v>
      </c>
      <c r="Q75" s="12" t="n">
        <v>20</v>
      </c>
    </row>
    <row r="76" customFormat="false" ht="15" hidden="false" customHeight="false" outlineLevel="0" collapsed="false">
      <c r="A76" s="12" t="s">
        <v>193</v>
      </c>
      <c r="B76" s="12" t="s">
        <v>194</v>
      </c>
      <c r="C76" s="12" t="s">
        <v>7</v>
      </c>
      <c r="D76" s="13" t="n">
        <v>59.95</v>
      </c>
      <c r="E76" s="13" t="n">
        <f aca="false">IFERROR(INDEX(Tiers!$B$4:$B$12,MATCH(C76,Tiers!$A$4:$A$12,0)),D76)</f>
        <v>59.95</v>
      </c>
      <c r="F76" s="14"/>
      <c r="G76" s="15" t="n">
        <f aca="false">IF(F76="",E76,F76)</f>
        <v>59.95</v>
      </c>
      <c r="H76" s="16" t="n">
        <f aca="false">G76-D76</f>
        <v>0</v>
      </c>
      <c r="I76" s="17" t="n">
        <f aca="false">IFERROR((G76-D76)/D76,0)</f>
        <v>0</v>
      </c>
      <c r="J76" s="12" t="str">
        <f aca="false">IF(G76&gt;D76,"Omhoog",IF(G76&lt;D76,"Omlaag","Gelijk"))</f>
        <v>Gelijk</v>
      </c>
      <c r="K76" s="18" t="str">
        <f aca="false">IF(ABS(I76)&gt;=0.2,"controleren","")</f>
        <v/>
      </c>
      <c r="L76" s="13" t="n">
        <v>109</v>
      </c>
      <c r="M76" s="17" t="n">
        <f aca="false">IFERROR(1-D76/L76,0)</f>
        <v>0.45</v>
      </c>
      <c r="N76" s="17" t="n">
        <f aca="false">IF(Tiers!$B$15="ja",Tiers!$B$16,M76)</f>
        <v>0.45</v>
      </c>
      <c r="O76" s="13" t="n">
        <f aca="false">ROUNDUP(G76/(1-N76),0)-0.05</f>
        <v>108.95</v>
      </c>
      <c r="P76" s="17" t="n">
        <f aca="false">IFERROR(1-G76/O76,0)</f>
        <v>0.449747590637907</v>
      </c>
      <c r="Q76" s="12" t="n">
        <v>30</v>
      </c>
    </row>
    <row r="77" customFormat="false" ht="15" hidden="false" customHeight="false" outlineLevel="0" collapsed="false">
      <c r="A77" s="12" t="s">
        <v>195</v>
      </c>
      <c r="B77" s="12" t="s">
        <v>196</v>
      </c>
      <c r="C77" s="12" t="s">
        <v>7</v>
      </c>
      <c r="D77" s="13" t="n">
        <v>49.95</v>
      </c>
      <c r="E77" s="13" t="n">
        <f aca="false">IFERROR(INDEX(Tiers!$B$4:$B$12,MATCH(C77,Tiers!$A$4:$A$12,0)),D77)</f>
        <v>59.95</v>
      </c>
      <c r="F77" s="14"/>
      <c r="G77" s="15" t="n">
        <f aca="false">IF(F77="",E77,F77)</f>
        <v>59.95</v>
      </c>
      <c r="H77" s="16" t="n">
        <f aca="false">G77-D77</f>
        <v>10</v>
      </c>
      <c r="I77" s="17" t="n">
        <f aca="false">IFERROR((G77-D77)/D77,0)</f>
        <v>0.2002002002002</v>
      </c>
      <c r="J77" s="12" t="str">
        <f aca="false">IF(G77&gt;D77,"Omhoog",IF(G77&lt;D77,"Omlaag","Gelijk"))</f>
        <v>Omhoog</v>
      </c>
      <c r="K77" s="18" t="str">
        <f aca="false">IF(ABS(I77)&gt;=0.2,"controleren","")</f>
        <v>controleren</v>
      </c>
      <c r="L77" s="13" t="n">
        <v>83.25</v>
      </c>
      <c r="M77" s="17" t="n">
        <f aca="false">IFERROR(1-D77/L77,0)</f>
        <v>0.4</v>
      </c>
      <c r="N77" s="17" t="n">
        <f aca="false">IF(Tiers!$B$15="ja",Tiers!$B$16,M77)</f>
        <v>0.4</v>
      </c>
      <c r="O77" s="13" t="n">
        <f aca="false">ROUNDUP(G77/(1-N77),0)-0.05</f>
        <v>99.95</v>
      </c>
      <c r="P77" s="17" t="n">
        <f aca="false">IFERROR(1-G77/O77,0)</f>
        <v>0.400200100050025</v>
      </c>
      <c r="Q77" s="12" t="n">
        <v>25</v>
      </c>
    </row>
    <row r="78" customFormat="false" ht="15" hidden="false" customHeight="false" outlineLevel="0" collapsed="false">
      <c r="A78" s="12" t="s">
        <v>197</v>
      </c>
      <c r="B78" s="12" t="s">
        <v>198</v>
      </c>
      <c r="C78" s="12" t="s">
        <v>7</v>
      </c>
      <c r="D78" s="13" t="n">
        <v>49.95</v>
      </c>
      <c r="E78" s="13" t="n">
        <f aca="false">IFERROR(INDEX(Tiers!$B$4:$B$12,MATCH(C78,Tiers!$A$4:$A$12,0)),D78)</f>
        <v>59.95</v>
      </c>
      <c r="F78" s="14"/>
      <c r="G78" s="15" t="n">
        <f aca="false">IF(F78="",E78,F78)</f>
        <v>59.95</v>
      </c>
      <c r="H78" s="16" t="n">
        <f aca="false">G78-D78</f>
        <v>10</v>
      </c>
      <c r="I78" s="17" t="n">
        <f aca="false">IFERROR((G78-D78)/D78,0)</f>
        <v>0.2002002002002</v>
      </c>
      <c r="J78" s="12" t="str">
        <f aca="false">IF(G78&gt;D78,"Omhoog",IF(G78&lt;D78,"Omlaag","Gelijk"))</f>
        <v>Omhoog</v>
      </c>
      <c r="K78" s="18" t="str">
        <f aca="false">IF(ABS(I78)&gt;=0.2,"controleren","")</f>
        <v>controleren</v>
      </c>
      <c r="L78" s="13" t="n">
        <v>90.82</v>
      </c>
      <c r="M78" s="17" t="n">
        <f aca="false">IFERROR(1-D78/L78,0)</f>
        <v>0.450011010790575</v>
      </c>
      <c r="N78" s="17" t="n">
        <f aca="false">IF(Tiers!$B$15="ja",Tiers!$B$16,M78)</f>
        <v>0.450011010790575</v>
      </c>
      <c r="O78" s="13" t="n">
        <f aca="false">ROUNDUP(G78/(1-N78),0)-0.05</f>
        <v>109.95</v>
      </c>
      <c r="P78" s="17" t="n">
        <f aca="false">IFERROR(1-G78/O78,0)</f>
        <v>0.45475216007276</v>
      </c>
      <c r="Q78" s="12" t="n">
        <v>18</v>
      </c>
    </row>
    <row r="79" customFormat="false" ht="15" hidden="false" customHeight="false" outlineLevel="0" collapsed="false">
      <c r="A79" s="12" t="s">
        <v>199</v>
      </c>
      <c r="B79" s="12" t="s">
        <v>200</v>
      </c>
      <c r="C79" s="12" t="s">
        <v>7</v>
      </c>
      <c r="D79" s="13" t="n">
        <v>49.95</v>
      </c>
      <c r="E79" s="13" t="n">
        <f aca="false">IFERROR(INDEX(Tiers!$B$4:$B$12,MATCH(C79,Tiers!$A$4:$A$12,0)),D79)</f>
        <v>59.95</v>
      </c>
      <c r="F79" s="14"/>
      <c r="G79" s="15" t="n">
        <f aca="false">IF(F79="",E79,F79)</f>
        <v>59.95</v>
      </c>
      <c r="H79" s="16" t="n">
        <f aca="false">G79-D79</f>
        <v>10</v>
      </c>
      <c r="I79" s="17" t="n">
        <f aca="false">IFERROR((G79-D79)/D79,0)</f>
        <v>0.2002002002002</v>
      </c>
      <c r="J79" s="12" t="str">
        <f aca="false">IF(G79&gt;D79,"Omhoog",IF(G79&lt;D79,"Omlaag","Gelijk"))</f>
        <v>Omhoog</v>
      </c>
      <c r="K79" s="18" t="str">
        <f aca="false">IF(ABS(I79)&gt;=0.2,"controleren","")</f>
        <v>controleren</v>
      </c>
      <c r="L79" s="13" t="n">
        <v>83.25</v>
      </c>
      <c r="M79" s="17" t="n">
        <f aca="false">IFERROR(1-D79/L79,0)</f>
        <v>0.4</v>
      </c>
      <c r="N79" s="17" t="n">
        <f aca="false">IF(Tiers!$B$15="ja",Tiers!$B$16,M79)</f>
        <v>0.4</v>
      </c>
      <c r="O79" s="13" t="n">
        <f aca="false">ROUNDUP(G79/(1-N79),0)-0.05</f>
        <v>99.95</v>
      </c>
      <c r="P79" s="17" t="n">
        <f aca="false">IFERROR(1-G79/O79,0)</f>
        <v>0.400200100050025</v>
      </c>
      <c r="Q79" s="12" t="n">
        <v>30</v>
      </c>
    </row>
    <row r="80" customFormat="false" ht="15" hidden="false" customHeight="false" outlineLevel="0" collapsed="false">
      <c r="A80" s="12" t="s">
        <v>201</v>
      </c>
      <c r="B80" s="12" t="s">
        <v>202</v>
      </c>
      <c r="C80" s="12" t="s">
        <v>7</v>
      </c>
      <c r="D80" s="13" t="n">
        <v>49.95</v>
      </c>
      <c r="E80" s="13" t="n">
        <f aca="false">IFERROR(INDEX(Tiers!$B$4:$B$12,MATCH(C80,Tiers!$A$4:$A$12,0)),D80)</f>
        <v>59.95</v>
      </c>
      <c r="F80" s="14"/>
      <c r="G80" s="15" t="n">
        <f aca="false">IF(F80="",E80,F80)</f>
        <v>59.95</v>
      </c>
      <c r="H80" s="16" t="n">
        <f aca="false">G80-D80</f>
        <v>10</v>
      </c>
      <c r="I80" s="17" t="n">
        <f aca="false">IFERROR((G80-D80)/D80,0)</f>
        <v>0.2002002002002</v>
      </c>
      <c r="J80" s="12" t="str">
        <f aca="false">IF(G80&gt;D80,"Omhoog",IF(G80&lt;D80,"Omlaag","Gelijk"))</f>
        <v>Omhoog</v>
      </c>
      <c r="K80" s="18" t="str">
        <f aca="false">IF(ABS(I80)&gt;=0.2,"controleren","")</f>
        <v>controleren</v>
      </c>
      <c r="L80" s="13" t="n">
        <v>99.9</v>
      </c>
      <c r="M80" s="17" t="n">
        <f aca="false">IFERROR(1-D80/L80,0)</f>
        <v>0.5</v>
      </c>
      <c r="N80" s="17" t="n">
        <f aca="false">IF(Tiers!$B$15="ja",Tiers!$B$16,M80)</f>
        <v>0.5</v>
      </c>
      <c r="O80" s="13" t="n">
        <f aca="false">ROUNDUP(G80/(1-N80),0)-0.05</f>
        <v>119.95</v>
      </c>
      <c r="P80" s="17" t="n">
        <f aca="false">IFERROR(1-G80/O80,0)</f>
        <v>0.500208420175073</v>
      </c>
      <c r="Q80" s="12" t="n">
        <v>12</v>
      </c>
    </row>
    <row r="81" customFormat="false" ht="15" hidden="false" customHeight="false" outlineLevel="0" collapsed="false">
      <c r="A81" s="12" t="s">
        <v>203</v>
      </c>
      <c r="B81" s="12" t="s">
        <v>204</v>
      </c>
      <c r="C81" s="12" t="s">
        <v>9</v>
      </c>
      <c r="D81" s="13" t="n">
        <v>59.95</v>
      </c>
      <c r="E81" s="13" t="n">
        <f aca="false">IFERROR(INDEX(Tiers!$B$4:$B$12,MATCH(C81,Tiers!$A$4:$A$12,0)),D81)</f>
        <v>59.95</v>
      </c>
      <c r="F81" s="14"/>
      <c r="G81" s="15" t="n">
        <f aca="false">IF(F81="",E81,F81)</f>
        <v>59.95</v>
      </c>
      <c r="H81" s="16" t="n">
        <f aca="false">G81-D81</f>
        <v>0</v>
      </c>
      <c r="I81" s="17" t="n">
        <f aca="false">IFERROR((G81-D81)/D81,0)</f>
        <v>0</v>
      </c>
      <c r="J81" s="12" t="str">
        <f aca="false">IF(G81&gt;D81,"Omhoog",IF(G81&lt;D81,"Omlaag","Gelijk"))</f>
        <v>Gelijk</v>
      </c>
      <c r="K81" s="18" t="str">
        <f aca="false">IF(ABS(I81)&gt;=0.2,"controleren","")</f>
        <v/>
      </c>
      <c r="L81" s="13" t="n">
        <v>99.92</v>
      </c>
      <c r="M81" s="17" t="n">
        <f aca="false">IFERROR(1-D81/L81,0)</f>
        <v>0.40002001601281</v>
      </c>
      <c r="N81" s="17" t="n">
        <f aca="false">IF(Tiers!$B$15="ja",Tiers!$B$16,M81)</f>
        <v>0.40002001601281</v>
      </c>
      <c r="O81" s="13" t="n">
        <f aca="false">ROUNDUP(G81/(1-N81),0)-0.05</f>
        <v>99.95</v>
      </c>
      <c r="P81" s="17" t="n">
        <f aca="false">IFERROR(1-G81/O81,0)</f>
        <v>0.400200100050025</v>
      </c>
      <c r="Q81" s="12" t="n">
        <v>42</v>
      </c>
    </row>
    <row r="82" customFormat="false" ht="15" hidden="false" customHeight="false" outlineLevel="0" collapsed="false">
      <c r="A82" s="12" t="s">
        <v>205</v>
      </c>
      <c r="B82" s="12" t="s">
        <v>206</v>
      </c>
      <c r="C82" s="12" t="s">
        <v>9</v>
      </c>
      <c r="D82" s="13" t="n">
        <v>59.95</v>
      </c>
      <c r="E82" s="13" t="n">
        <f aca="false">IFERROR(INDEX(Tiers!$B$4:$B$12,MATCH(C82,Tiers!$A$4:$A$12,0)),D82)</f>
        <v>59.95</v>
      </c>
      <c r="F82" s="14"/>
      <c r="G82" s="15" t="n">
        <f aca="false">IF(F82="",E82,F82)</f>
        <v>59.95</v>
      </c>
      <c r="H82" s="16" t="n">
        <f aca="false">G82-D82</f>
        <v>0</v>
      </c>
      <c r="I82" s="17" t="n">
        <f aca="false">IFERROR((G82-D82)/D82,0)</f>
        <v>0</v>
      </c>
      <c r="J82" s="12" t="str">
        <f aca="false">IF(G82&gt;D82,"Omhoog",IF(G82&lt;D82,"Omlaag","Gelijk"))</f>
        <v>Gelijk</v>
      </c>
      <c r="K82" s="18" t="str">
        <f aca="false">IF(ABS(I82)&gt;=0.2,"controleren","")</f>
        <v/>
      </c>
      <c r="L82" s="13" t="n">
        <v>99.92</v>
      </c>
      <c r="M82" s="17" t="n">
        <f aca="false">IFERROR(1-D82/L82,0)</f>
        <v>0.40002001601281</v>
      </c>
      <c r="N82" s="17" t="n">
        <f aca="false">IF(Tiers!$B$15="ja",Tiers!$B$16,M82)</f>
        <v>0.40002001601281</v>
      </c>
      <c r="O82" s="13" t="n">
        <f aca="false">ROUNDUP(G82/(1-N82),0)-0.05</f>
        <v>99.95</v>
      </c>
      <c r="P82" s="17" t="n">
        <f aca="false">IFERROR(1-G82/O82,0)</f>
        <v>0.400200100050025</v>
      </c>
      <c r="Q82" s="12" t="n">
        <v>24</v>
      </c>
    </row>
    <row r="83" customFormat="false" ht="15" hidden="false" customHeight="false" outlineLevel="0" collapsed="false">
      <c r="A83" s="12" t="s">
        <v>207</v>
      </c>
      <c r="B83" s="12" t="s">
        <v>208</v>
      </c>
      <c r="C83" s="12" t="s">
        <v>9</v>
      </c>
      <c r="D83" s="13" t="n">
        <v>54.95</v>
      </c>
      <c r="E83" s="13" t="n">
        <f aca="false">IFERROR(INDEX(Tiers!$B$4:$B$12,MATCH(C83,Tiers!$A$4:$A$12,0)),D83)</f>
        <v>59.95</v>
      </c>
      <c r="F83" s="14"/>
      <c r="G83" s="15" t="n">
        <f aca="false">IF(F83="",E83,F83)</f>
        <v>59.95</v>
      </c>
      <c r="H83" s="16" t="n">
        <f aca="false">G83-D83</f>
        <v>5</v>
      </c>
      <c r="I83" s="17" t="n">
        <f aca="false">IFERROR((G83-D83)/D83,0)</f>
        <v>0.0909918107370337</v>
      </c>
      <c r="J83" s="12" t="str">
        <f aca="false">IF(G83&gt;D83,"Omhoog",IF(G83&lt;D83,"Omlaag","Gelijk"))</f>
        <v>Omhoog</v>
      </c>
      <c r="K83" s="18" t="str">
        <f aca="false">IF(ABS(I83)&gt;=0.2,"controleren","")</f>
        <v/>
      </c>
      <c r="L83" s="13" t="n">
        <v>109.9</v>
      </c>
      <c r="M83" s="17" t="n">
        <f aca="false">IFERROR(1-D83/L83,0)</f>
        <v>0.5</v>
      </c>
      <c r="N83" s="17" t="n">
        <f aca="false">IF(Tiers!$B$15="ja",Tiers!$B$16,M83)</f>
        <v>0.5</v>
      </c>
      <c r="O83" s="13" t="n">
        <f aca="false">ROUNDUP(G83/(1-N83),0)-0.05</f>
        <v>119.95</v>
      </c>
      <c r="P83" s="17" t="n">
        <f aca="false">IFERROR(1-G83/O83,0)</f>
        <v>0.500208420175073</v>
      </c>
      <c r="Q83" s="12" t="n">
        <v>6</v>
      </c>
    </row>
    <row r="84" customFormat="false" ht="15" hidden="false" customHeight="false" outlineLevel="0" collapsed="false">
      <c r="A84" s="12" t="s">
        <v>209</v>
      </c>
      <c r="B84" s="12" t="s">
        <v>210</v>
      </c>
      <c r="C84" s="12" t="s">
        <v>9</v>
      </c>
      <c r="D84" s="13" t="n">
        <v>64.95</v>
      </c>
      <c r="E84" s="13" t="n">
        <f aca="false">IFERROR(INDEX(Tiers!$B$4:$B$12,MATCH(C84,Tiers!$A$4:$A$12,0)),D84)</f>
        <v>59.95</v>
      </c>
      <c r="F84" s="14"/>
      <c r="G84" s="15" t="n">
        <f aca="false">IF(F84="",E84,F84)</f>
        <v>59.95</v>
      </c>
      <c r="H84" s="16" t="n">
        <f aca="false">G84-D84</f>
        <v>-5</v>
      </c>
      <c r="I84" s="17" t="n">
        <f aca="false">IFERROR((G84-D84)/D84,0)</f>
        <v>-0.0769822940723634</v>
      </c>
      <c r="J84" s="12" t="str">
        <f aca="false">IF(G84&gt;D84,"Omhoog",IF(G84&lt;D84,"Omlaag","Gelijk"))</f>
        <v>Omlaag</v>
      </c>
      <c r="K84" s="18" t="str">
        <f aca="false">IF(ABS(I84)&gt;=0.2,"controleren","")</f>
        <v/>
      </c>
      <c r="L84" s="13" t="n">
        <v>108.25</v>
      </c>
      <c r="M84" s="17" t="n">
        <f aca="false">IFERROR(1-D84/L84,0)</f>
        <v>0.4</v>
      </c>
      <c r="N84" s="17" t="n">
        <f aca="false">IF(Tiers!$B$15="ja",Tiers!$B$16,M84)</f>
        <v>0.4</v>
      </c>
      <c r="O84" s="13" t="n">
        <f aca="false">ROUNDUP(G84/(1-N84),0)-0.05</f>
        <v>99.95</v>
      </c>
      <c r="P84" s="17" t="n">
        <f aca="false">IFERROR(1-G84/O84,0)</f>
        <v>0.400200100050025</v>
      </c>
      <c r="Q84" s="12" t="n">
        <v>21</v>
      </c>
    </row>
    <row r="85" customFormat="false" ht="15" hidden="false" customHeight="false" outlineLevel="0" collapsed="false">
      <c r="A85" s="12" t="s">
        <v>211</v>
      </c>
      <c r="B85" s="12" t="s">
        <v>212</v>
      </c>
      <c r="C85" s="12" t="s">
        <v>9</v>
      </c>
      <c r="D85" s="13" t="n">
        <v>64.95</v>
      </c>
      <c r="E85" s="13" t="n">
        <f aca="false">IFERROR(INDEX(Tiers!$B$4:$B$12,MATCH(C85,Tiers!$A$4:$A$12,0)),D85)</f>
        <v>59.95</v>
      </c>
      <c r="F85" s="14"/>
      <c r="G85" s="15" t="n">
        <f aca="false">IF(F85="",E85,F85)</f>
        <v>59.95</v>
      </c>
      <c r="H85" s="16" t="n">
        <f aca="false">G85-D85</f>
        <v>-5</v>
      </c>
      <c r="I85" s="17" t="n">
        <f aca="false">IFERROR((G85-D85)/D85,0)</f>
        <v>-0.0769822940723634</v>
      </c>
      <c r="J85" s="12" t="str">
        <f aca="false">IF(G85&gt;D85,"Omhoog",IF(G85&lt;D85,"Omlaag","Gelijk"))</f>
        <v>Omlaag</v>
      </c>
      <c r="K85" s="18" t="str">
        <f aca="false">IF(ABS(I85)&gt;=0.2,"controleren","")</f>
        <v/>
      </c>
      <c r="L85" s="13" t="n">
        <v>129.9</v>
      </c>
      <c r="M85" s="17" t="n">
        <f aca="false">IFERROR(1-D85/L85,0)</f>
        <v>0.5</v>
      </c>
      <c r="N85" s="17" t="n">
        <f aca="false">IF(Tiers!$B$15="ja",Tiers!$B$16,M85)</f>
        <v>0.5</v>
      </c>
      <c r="O85" s="13" t="n">
        <f aca="false">ROUNDUP(G85/(1-N85),0)-0.05</f>
        <v>119.95</v>
      </c>
      <c r="P85" s="17" t="n">
        <f aca="false">IFERROR(1-G85/O85,0)</f>
        <v>0.500208420175073</v>
      </c>
      <c r="Q85" s="12" t="n">
        <v>18</v>
      </c>
    </row>
    <row r="86" customFormat="false" ht="15" hidden="false" customHeight="false" outlineLevel="0" collapsed="false">
      <c r="A86" s="12" t="s">
        <v>213</v>
      </c>
      <c r="B86" s="12" t="s">
        <v>214</v>
      </c>
      <c r="C86" s="12" t="s">
        <v>9</v>
      </c>
      <c r="D86" s="13" t="n">
        <v>54.95</v>
      </c>
      <c r="E86" s="13" t="n">
        <f aca="false">IFERROR(INDEX(Tiers!$B$4:$B$12,MATCH(C86,Tiers!$A$4:$A$12,0)),D86)</f>
        <v>59.95</v>
      </c>
      <c r="F86" s="14"/>
      <c r="G86" s="15" t="n">
        <f aca="false">IF(F86="",E86,F86)</f>
        <v>59.95</v>
      </c>
      <c r="H86" s="16" t="n">
        <f aca="false">G86-D86</f>
        <v>5</v>
      </c>
      <c r="I86" s="17" t="n">
        <f aca="false">IFERROR((G86-D86)/D86,0)</f>
        <v>0.0909918107370337</v>
      </c>
      <c r="J86" s="12" t="str">
        <f aca="false">IF(G86&gt;D86,"Omhoog",IF(G86&lt;D86,"Omlaag","Gelijk"))</f>
        <v>Omhoog</v>
      </c>
      <c r="K86" s="18" t="str">
        <f aca="false">IF(ABS(I86)&gt;=0.2,"controleren","")</f>
        <v/>
      </c>
      <c r="L86" s="13" t="n">
        <v>109.9</v>
      </c>
      <c r="M86" s="17" t="n">
        <f aca="false">IFERROR(1-D86/L86,0)</f>
        <v>0.5</v>
      </c>
      <c r="N86" s="17" t="n">
        <f aca="false">IF(Tiers!$B$15="ja",Tiers!$B$16,M86)</f>
        <v>0.5</v>
      </c>
      <c r="O86" s="13" t="n">
        <f aca="false">ROUNDUP(G86/(1-N86),0)-0.05</f>
        <v>119.95</v>
      </c>
      <c r="P86" s="17" t="n">
        <f aca="false">IFERROR(1-G86/O86,0)</f>
        <v>0.500208420175073</v>
      </c>
      <c r="Q86" s="12" t="n">
        <v>12</v>
      </c>
    </row>
    <row r="87" customFormat="false" ht="15" hidden="false" customHeight="false" outlineLevel="0" collapsed="false">
      <c r="A87" s="12" t="s">
        <v>215</v>
      </c>
      <c r="B87" s="12" t="s">
        <v>216</v>
      </c>
      <c r="C87" s="12" t="s">
        <v>9</v>
      </c>
      <c r="D87" s="13" t="n">
        <v>49.95</v>
      </c>
      <c r="E87" s="13" t="n">
        <f aca="false">IFERROR(INDEX(Tiers!$B$4:$B$12,MATCH(C87,Tiers!$A$4:$A$12,0)),D87)</f>
        <v>59.95</v>
      </c>
      <c r="F87" s="14"/>
      <c r="G87" s="15" t="n">
        <f aca="false">IF(F87="",E87,F87)</f>
        <v>59.95</v>
      </c>
      <c r="H87" s="16" t="n">
        <f aca="false">G87-D87</f>
        <v>10</v>
      </c>
      <c r="I87" s="17" t="n">
        <f aca="false">IFERROR((G87-D87)/D87,0)</f>
        <v>0.2002002002002</v>
      </c>
      <c r="J87" s="12" t="str">
        <f aca="false">IF(G87&gt;D87,"Omhoog",IF(G87&lt;D87,"Omlaag","Gelijk"))</f>
        <v>Omhoog</v>
      </c>
      <c r="K87" s="18" t="str">
        <f aca="false">IF(ABS(I87)&gt;=0.2,"controleren","")</f>
        <v>controleren</v>
      </c>
      <c r="L87" s="13" t="n">
        <v>99.9</v>
      </c>
      <c r="M87" s="17" t="n">
        <f aca="false">IFERROR(1-D87/L87,0)</f>
        <v>0.5</v>
      </c>
      <c r="N87" s="17" t="n">
        <f aca="false">IF(Tiers!$B$15="ja",Tiers!$B$16,M87)</f>
        <v>0.5</v>
      </c>
      <c r="O87" s="13" t="n">
        <f aca="false">ROUNDUP(G87/(1-N87),0)-0.05</f>
        <v>119.95</v>
      </c>
      <c r="P87" s="17" t="n">
        <f aca="false">IFERROR(1-G87/O87,0)</f>
        <v>0.500208420175073</v>
      </c>
      <c r="Q87" s="12" t="n">
        <v>12</v>
      </c>
    </row>
    <row r="88" customFormat="false" ht="15" hidden="false" customHeight="false" outlineLevel="0" collapsed="false">
      <c r="A88" s="12" t="s">
        <v>217</v>
      </c>
      <c r="B88" s="12" t="s">
        <v>218</v>
      </c>
      <c r="C88" s="12" t="s">
        <v>9</v>
      </c>
      <c r="D88" s="13" t="n">
        <v>64.95</v>
      </c>
      <c r="E88" s="13" t="n">
        <f aca="false">IFERROR(INDEX(Tiers!$B$4:$B$12,MATCH(C88,Tiers!$A$4:$A$12,0)),D88)</f>
        <v>59.95</v>
      </c>
      <c r="F88" s="14"/>
      <c r="G88" s="15" t="n">
        <f aca="false">IF(F88="",E88,F88)</f>
        <v>59.95</v>
      </c>
      <c r="H88" s="16" t="n">
        <f aca="false">G88-D88</f>
        <v>-5</v>
      </c>
      <c r="I88" s="17" t="n">
        <f aca="false">IFERROR((G88-D88)/D88,0)</f>
        <v>-0.0769822940723634</v>
      </c>
      <c r="J88" s="12" t="str">
        <f aca="false">IF(G88&gt;D88,"Omhoog",IF(G88&lt;D88,"Omlaag","Gelijk"))</f>
        <v>Omlaag</v>
      </c>
      <c r="K88" s="18" t="str">
        <f aca="false">IF(ABS(I88)&gt;=0.2,"controleren","")</f>
        <v/>
      </c>
      <c r="L88" s="13" t="n">
        <v>129.9</v>
      </c>
      <c r="M88" s="17" t="n">
        <f aca="false">IFERROR(1-D88/L88,0)</f>
        <v>0.5</v>
      </c>
      <c r="N88" s="17" t="n">
        <f aca="false">IF(Tiers!$B$15="ja",Tiers!$B$16,M88)</f>
        <v>0.5</v>
      </c>
      <c r="O88" s="13" t="n">
        <f aca="false">ROUNDUP(G88/(1-N88),0)-0.05</f>
        <v>119.95</v>
      </c>
      <c r="P88" s="17" t="n">
        <f aca="false">IFERROR(1-G88/O88,0)</f>
        <v>0.500208420175073</v>
      </c>
      <c r="Q88" s="12" t="n">
        <v>24</v>
      </c>
    </row>
    <row r="89" customFormat="false" ht="15" hidden="false" customHeight="false" outlineLevel="0" collapsed="false">
      <c r="A89" s="12" t="s">
        <v>219</v>
      </c>
      <c r="B89" s="12" t="s">
        <v>220</v>
      </c>
      <c r="C89" s="12" t="s">
        <v>9</v>
      </c>
      <c r="D89" s="13" t="n">
        <v>64.95</v>
      </c>
      <c r="E89" s="13" t="n">
        <f aca="false">IFERROR(INDEX(Tiers!$B$4:$B$12,MATCH(C89,Tiers!$A$4:$A$12,0)),D89)</f>
        <v>59.95</v>
      </c>
      <c r="F89" s="14"/>
      <c r="G89" s="15" t="n">
        <f aca="false">IF(F89="",E89,F89)</f>
        <v>59.95</v>
      </c>
      <c r="H89" s="16" t="n">
        <f aca="false">G89-D89</f>
        <v>-5</v>
      </c>
      <c r="I89" s="17" t="n">
        <f aca="false">IFERROR((G89-D89)/D89,0)</f>
        <v>-0.0769822940723634</v>
      </c>
      <c r="J89" s="12" t="str">
        <f aca="false">IF(G89&gt;D89,"Omhoog",IF(G89&lt;D89,"Omlaag","Gelijk"))</f>
        <v>Omlaag</v>
      </c>
      <c r="K89" s="18" t="str">
        <f aca="false">IF(ABS(I89)&gt;=0.2,"controleren","")</f>
        <v/>
      </c>
      <c r="L89" s="13" t="n">
        <v>118.09</v>
      </c>
      <c r="M89" s="17" t="n">
        <f aca="false">IFERROR(1-D89/L89,0)</f>
        <v>0.449995765941231</v>
      </c>
      <c r="N89" s="17" t="n">
        <f aca="false">IF(Tiers!$B$15="ja",Tiers!$B$16,M89)</f>
        <v>0.449995765941231</v>
      </c>
      <c r="O89" s="13" t="n">
        <f aca="false">ROUNDUP(G89/(1-N89),0)-0.05</f>
        <v>108.95</v>
      </c>
      <c r="P89" s="17" t="n">
        <f aca="false">IFERROR(1-G89/O89,0)</f>
        <v>0.449747590637907</v>
      </c>
      <c r="Q89" s="12" t="n">
        <v>6</v>
      </c>
    </row>
    <row r="90" customFormat="false" ht="15" hidden="false" customHeight="false" outlineLevel="0" collapsed="false">
      <c r="A90" s="12" t="s">
        <v>221</v>
      </c>
      <c r="B90" s="12" t="s">
        <v>222</v>
      </c>
      <c r="C90" s="12" t="s">
        <v>9</v>
      </c>
      <c r="D90" s="13" t="n">
        <v>59.95</v>
      </c>
      <c r="E90" s="13" t="n">
        <f aca="false">IFERROR(INDEX(Tiers!$B$4:$B$12,MATCH(C90,Tiers!$A$4:$A$12,0)),D90)</f>
        <v>59.95</v>
      </c>
      <c r="F90" s="14"/>
      <c r="G90" s="15" t="n">
        <f aca="false">IF(F90="",E90,F90)</f>
        <v>59.95</v>
      </c>
      <c r="H90" s="16" t="n">
        <f aca="false">G90-D90</f>
        <v>0</v>
      </c>
      <c r="I90" s="17" t="n">
        <f aca="false">IFERROR((G90-D90)/D90,0)</f>
        <v>0</v>
      </c>
      <c r="J90" s="12" t="str">
        <f aca="false">IF(G90&gt;D90,"Omhoog",IF(G90&lt;D90,"Omlaag","Gelijk"))</f>
        <v>Gelijk</v>
      </c>
      <c r="K90" s="18" t="str">
        <f aca="false">IF(ABS(I90)&gt;=0.2,"controleren","")</f>
        <v/>
      </c>
      <c r="L90" s="13" t="n">
        <v>99.92</v>
      </c>
      <c r="M90" s="17" t="n">
        <f aca="false">IFERROR(1-D90/L90,0)</f>
        <v>0.40002001601281</v>
      </c>
      <c r="N90" s="17" t="n">
        <f aca="false">IF(Tiers!$B$15="ja",Tiers!$B$16,M90)</f>
        <v>0.40002001601281</v>
      </c>
      <c r="O90" s="13" t="n">
        <f aca="false">ROUNDUP(G90/(1-N90),0)-0.05</f>
        <v>99.95</v>
      </c>
      <c r="P90" s="17" t="n">
        <f aca="false">IFERROR(1-G90/O90,0)</f>
        <v>0.400200100050025</v>
      </c>
      <c r="Q90" s="12" t="n">
        <v>18</v>
      </c>
    </row>
    <row r="91" customFormat="false" ht="15" hidden="false" customHeight="false" outlineLevel="0" collapsed="false">
      <c r="A91" s="12" t="s">
        <v>223</v>
      </c>
      <c r="B91" s="12" t="s">
        <v>224</v>
      </c>
      <c r="C91" s="12" t="s">
        <v>9</v>
      </c>
      <c r="D91" s="13" t="n">
        <v>64.95</v>
      </c>
      <c r="E91" s="13" t="n">
        <f aca="false">IFERROR(INDEX(Tiers!$B$4:$B$12,MATCH(C91,Tiers!$A$4:$A$12,0)),D91)</f>
        <v>59.95</v>
      </c>
      <c r="F91" s="14"/>
      <c r="G91" s="15" t="n">
        <f aca="false">IF(F91="",E91,F91)</f>
        <v>59.95</v>
      </c>
      <c r="H91" s="16" t="n">
        <f aca="false">G91-D91</f>
        <v>-5</v>
      </c>
      <c r="I91" s="17" t="n">
        <f aca="false">IFERROR((G91-D91)/D91,0)</f>
        <v>-0.0769822940723634</v>
      </c>
      <c r="J91" s="12" t="str">
        <f aca="false">IF(G91&gt;D91,"Omhoog",IF(G91&lt;D91,"Omlaag","Gelijk"))</f>
        <v>Omlaag</v>
      </c>
      <c r="K91" s="18" t="str">
        <f aca="false">IF(ABS(I91)&gt;=0.2,"controleren","")</f>
        <v/>
      </c>
      <c r="L91" s="13" t="n">
        <v>129.9</v>
      </c>
      <c r="M91" s="17" t="n">
        <f aca="false">IFERROR(1-D91/L91,0)</f>
        <v>0.5</v>
      </c>
      <c r="N91" s="17" t="n">
        <f aca="false">IF(Tiers!$B$15="ja",Tiers!$B$16,M91)</f>
        <v>0.5</v>
      </c>
      <c r="O91" s="13" t="n">
        <f aca="false">ROUNDUP(G91/(1-N91),0)-0.05</f>
        <v>119.95</v>
      </c>
      <c r="P91" s="17" t="n">
        <f aca="false">IFERROR(1-G91/O91,0)</f>
        <v>0.500208420175073</v>
      </c>
      <c r="Q91" s="12" t="n">
        <v>36</v>
      </c>
    </row>
    <row r="92" customFormat="false" ht="15" hidden="false" customHeight="false" outlineLevel="0" collapsed="false">
      <c r="A92" s="12" t="s">
        <v>225</v>
      </c>
      <c r="B92" s="12" t="s">
        <v>226</v>
      </c>
      <c r="C92" s="12" t="s">
        <v>9</v>
      </c>
      <c r="D92" s="13" t="n">
        <v>49.95</v>
      </c>
      <c r="E92" s="13" t="n">
        <f aca="false">IFERROR(INDEX(Tiers!$B$4:$B$12,MATCH(C92,Tiers!$A$4:$A$12,0)),D92)</f>
        <v>59.95</v>
      </c>
      <c r="F92" s="14"/>
      <c r="G92" s="15" t="n">
        <f aca="false">IF(F92="",E92,F92)</f>
        <v>59.95</v>
      </c>
      <c r="H92" s="16" t="n">
        <f aca="false">G92-D92</f>
        <v>10</v>
      </c>
      <c r="I92" s="17" t="n">
        <f aca="false">IFERROR((G92-D92)/D92,0)</f>
        <v>0.2002002002002</v>
      </c>
      <c r="J92" s="12" t="str">
        <f aca="false">IF(G92&gt;D92,"Omhoog",IF(G92&lt;D92,"Omlaag","Gelijk"))</f>
        <v>Omhoog</v>
      </c>
      <c r="K92" s="18" t="str">
        <f aca="false">IF(ABS(I92)&gt;=0.2,"controleren","")</f>
        <v>controleren</v>
      </c>
      <c r="L92" s="13" t="n">
        <v>99.9</v>
      </c>
      <c r="M92" s="17" t="n">
        <f aca="false">IFERROR(1-D92/L92,0)</f>
        <v>0.5</v>
      </c>
      <c r="N92" s="17" t="n">
        <f aca="false">IF(Tiers!$B$15="ja",Tiers!$B$16,M92)</f>
        <v>0.5</v>
      </c>
      <c r="O92" s="13" t="n">
        <f aca="false">ROUNDUP(G92/(1-N92),0)-0.05</f>
        <v>119.95</v>
      </c>
      <c r="P92" s="17" t="n">
        <f aca="false">IFERROR(1-G92/O92,0)</f>
        <v>0.500208420175073</v>
      </c>
      <c r="Q92" s="12" t="n">
        <v>5</v>
      </c>
    </row>
    <row r="93" customFormat="false" ht="15" hidden="false" customHeight="false" outlineLevel="0" collapsed="false">
      <c r="A93" s="12" t="s">
        <v>227</v>
      </c>
      <c r="B93" s="12" t="s">
        <v>228</v>
      </c>
      <c r="C93" s="12" t="s">
        <v>9</v>
      </c>
      <c r="D93" s="13" t="n">
        <v>64.95</v>
      </c>
      <c r="E93" s="13" t="n">
        <f aca="false">IFERROR(INDEX(Tiers!$B$4:$B$12,MATCH(C93,Tiers!$A$4:$A$12,0)),D93)</f>
        <v>59.95</v>
      </c>
      <c r="F93" s="14"/>
      <c r="G93" s="15" t="n">
        <f aca="false">IF(F93="",E93,F93)</f>
        <v>59.95</v>
      </c>
      <c r="H93" s="16" t="n">
        <f aca="false">G93-D93</f>
        <v>-5</v>
      </c>
      <c r="I93" s="17" t="n">
        <f aca="false">IFERROR((G93-D93)/D93,0)</f>
        <v>-0.0769822940723634</v>
      </c>
      <c r="J93" s="12" t="str">
        <f aca="false">IF(G93&gt;D93,"Omhoog",IF(G93&lt;D93,"Omlaag","Gelijk"))</f>
        <v>Omlaag</v>
      </c>
      <c r="K93" s="18" t="str">
        <f aca="false">IF(ABS(I93)&gt;=0.2,"controleren","")</f>
        <v/>
      </c>
      <c r="L93" s="13" t="n">
        <v>108.25</v>
      </c>
      <c r="M93" s="17" t="n">
        <f aca="false">IFERROR(1-D93/L93,0)</f>
        <v>0.4</v>
      </c>
      <c r="N93" s="17" t="n">
        <f aca="false">IF(Tiers!$B$15="ja",Tiers!$B$16,M93)</f>
        <v>0.4</v>
      </c>
      <c r="O93" s="13" t="n">
        <f aca="false">ROUNDUP(G93/(1-N93),0)-0.05</f>
        <v>99.95</v>
      </c>
      <c r="P93" s="17" t="n">
        <f aca="false">IFERROR(1-G93/O93,0)</f>
        <v>0.400200100050025</v>
      </c>
      <c r="Q93" s="12" t="n">
        <v>5</v>
      </c>
    </row>
    <row r="94" customFormat="false" ht="15" hidden="false" customHeight="false" outlineLevel="0" collapsed="false">
      <c r="A94" s="12" t="s">
        <v>229</v>
      </c>
      <c r="B94" s="12" t="s">
        <v>230</v>
      </c>
      <c r="C94" s="12" t="s">
        <v>9</v>
      </c>
      <c r="D94" s="13" t="n">
        <v>59.95</v>
      </c>
      <c r="E94" s="13" t="n">
        <f aca="false">IFERROR(INDEX(Tiers!$B$4:$B$12,MATCH(C94,Tiers!$A$4:$A$12,0)),D94)</f>
        <v>59.95</v>
      </c>
      <c r="F94" s="14"/>
      <c r="G94" s="15" t="n">
        <f aca="false">IF(F94="",E94,F94)</f>
        <v>59.95</v>
      </c>
      <c r="H94" s="16" t="n">
        <f aca="false">G94-D94</f>
        <v>0</v>
      </c>
      <c r="I94" s="17" t="n">
        <f aca="false">IFERROR((G94-D94)/D94,0)</f>
        <v>0</v>
      </c>
      <c r="J94" s="12" t="str">
        <f aca="false">IF(G94&gt;D94,"Omhoog",IF(G94&lt;D94,"Omlaag","Gelijk"))</f>
        <v>Gelijk</v>
      </c>
      <c r="K94" s="18" t="str">
        <f aca="false">IF(ABS(I94)&gt;=0.2,"controleren","")</f>
        <v/>
      </c>
      <c r="L94" s="13" t="n">
        <v>119.9</v>
      </c>
      <c r="M94" s="17" t="n">
        <f aca="false">IFERROR(1-D94/L94,0)</f>
        <v>0.5</v>
      </c>
      <c r="N94" s="17" t="n">
        <f aca="false">IF(Tiers!$B$15="ja",Tiers!$B$16,M94)</f>
        <v>0.5</v>
      </c>
      <c r="O94" s="13" t="n">
        <f aca="false">ROUNDUP(G94/(1-N94),0)-0.05</f>
        <v>119.95</v>
      </c>
      <c r="P94" s="17" t="n">
        <f aca="false">IFERROR(1-G94/O94,0)</f>
        <v>0.500208420175073</v>
      </c>
      <c r="Q94" s="12" t="n">
        <v>29</v>
      </c>
    </row>
    <row r="95" customFormat="false" ht="15" hidden="false" customHeight="false" outlineLevel="0" collapsed="false">
      <c r="A95" s="12" t="s">
        <v>231</v>
      </c>
      <c r="B95" s="12" t="s">
        <v>232</v>
      </c>
      <c r="C95" s="12" t="s">
        <v>9</v>
      </c>
      <c r="D95" s="13" t="n">
        <v>49.95</v>
      </c>
      <c r="E95" s="13" t="n">
        <f aca="false">IFERROR(INDEX(Tiers!$B$4:$B$12,MATCH(C95,Tiers!$A$4:$A$12,0)),D95)</f>
        <v>59.95</v>
      </c>
      <c r="F95" s="14"/>
      <c r="G95" s="15" t="n">
        <f aca="false">IF(F95="",E95,F95)</f>
        <v>59.95</v>
      </c>
      <c r="H95" s="16" t="n">
        <f aca="false">G95-D95</f>
        <v>10</v>
      </c>
      <c r="I95" s="17" t="n">
        <f aca="false">IFERROR((G95-D95)/D95,0)</f>
        <v>0.2002002002002</v>
      </c>
      <c r="J95" s="12" t="str">
        <f aca="false">IF(G95&gt;D95,"Omhoog",IF(G95&lt;D95,"Omlaag","Gelijk"))</f>
        <v>Omhoog</v>
      </c>
      <c r="K95" s="18" t="str">
        <f aca="false">IF(ABS(I95)&gt;=0.2,"controleren","")</f>
        <v>controleren</v>
      </c>
      <c r="L95" s="13" t="n">
        <v>99.9</v>
      </c>
      <c r="M95" s="17" t="n">
        <f aca="false">IFERROR(1-D95/L95,0)</f>
        <v>0.5</v>
      </c>
      <c r="N95" s="17" t="n">
        <f aca="false">IF(Tiers!$B$15="ja",Tiers!$B$16,M95)</f>
        <v>0.5</v>
      </c>
      <c r="O95" s="13" t="n">
        <f aca="false">ROUNDUP(G95/(1-N95),0)-0.05</f>
        <v>119.95</v>
      </c>
      <c r="P95" s="17" t="n">
        <f aca="false">IFERROR(1-G95/O95,0)</f>
        <v>0.500208420175073</v>
      </c>
      <c r="Q95" s="12" t="n">
        <v>35</v>
      </c>
    </row>
    <row r="96" customFormat="false" ht="15" hidden="false" customHeight="false" outlineLevel="0" collapsed="false">
      <c r="A96" s="12" t="s">
        <v>233</v>
      </c>
      <c r="B96" s="12" t="s">
        <v>234</v>
      </c>
      <c r="C96" s="12" t="s">
        <v>9</v>
      </c>
      <c r="D96" s="13" t="n">
        <v>59.95</v>
      </c>
      <c r="E96" s="13" t="n">
        <f aca="false">IFERROR(INDEX(Tiers!$B$4:$B$12,MATCH(C96,Tiers!$A$4:$A$12,0)),D96)</f>
        <v>59.95</v>
      </c>
      <c r="F96" s="14"/>
      <c r="G96" s="15" t="n">
        <f aca="false">IF(F96="",E96,F96)</f>
        <v>59.95</v>
      </c>
      <c r="H96" s="16" t="n">
        <f aca="false">G96-D96</f>
        <v>0</v>
      </c>
      <c r="I96" s="17" t="n">
        <f aca="false">IFERROR((G96-D96)/D96,0)</f>
        <v>0</v>
      </c>
      <c r="J96" s="12" t="str">
        <f aca="false">IF(G96&gt;D96,"Omhoog",IF(G96&lt;D96,"Omlaag","Gelijk"))</f>
        <v>Gelijk</v>
      </c>
      <c r="K96" s="18" t="str">
        <f aca="false">IF(ABS(I96)&gt;=0.2,"controleren","")</f>
        <v/>
      </c>
      <c r="L96" s="13" t="n">
        <v>119.9</v>
      </c>
      <c r="M96" s="17" t="n">
        <f aca="false">IFERROR(1-D96/L96,0)</f>
        <v>0.5</v>
      </c>
      <c r="N96" s="17" t="n">
        <f aca="false">IF(Tiers!$B$15="ja",Tiers!$B$16,M96)</f>
        <v>0.5</v>
      </c>
      <c r="O96" s="13" t="n">
        <f aca="false">ROUNDUP(G96/(1-N96),0)-0.05</f>
        <v>119.95</v>
      </c>
      <c r="P96" s="17" t="n">
        <f aca="false">IFERROR(1-G96/O96,0)</f>
        <v>0.500208420175073</v>
      </c>
      <c r="Q96" s="12" t="n">
        <v>36</v>
      </c>
    </row>
    <row r="97" customFormat="false" ht="15" hidden="false" customHeight="false" outlineLevel="0" collapsed="false">
      <c r="A97" s="12" t="s">
        <v>235</v>
      </c>
      <c r="B97" s="12" t="s">
        <v>236</v>
      </c>
      <c r="C97" s="12" t="s">
        <v>9</v>
      </c>
      <c r="D97" s="13" t="n">
        <v>49.95</v>
      </c>
      <c r="E97" s="13" t="n">
        <f aca="false">IFERROR(INDEX(Tiers!$B$4:$B$12,MATCH(C97,Tiers!$A$4:$A$12,0)),D97)</f>
        <v>59.95</v>
      </c>
      <c r="F97" s="14"/>
      <c r="G97" s="15" t="n">
        <f aca="false">IF(F97="",E97,F97)</f>
        <v>59.95</v>
      </c>
      <c r="H97" s="16" t="n">
        <f aca="false">G97-D97</f>
        <v>10</v>
      </c>
      <c r="I97" s="17" t="n">
        <f aca="false">IFERROR((G97-D97)/D97,0)</f>
        <v>0.2002002002002</v>
      </c>
      <c r="J97" s="12" t="str">
        <f aca="false">IF(G97&gt;D97,"Omhoog",IF(G97&lt;D97,"Omlaag","Gelijk"))</f>
        <v>Omhoog</v>
      </c>
      <c r="K97" s="18" t="str">
        <f aca="false">IF(ABS(I97)&gt;=0.2,"controleren","")</f>
        <v>controleren</v>
      </c>
      <c r="L97" s="13" t="n">
        <v>90.82</v>
      </c>
      <c r="M97" s="17" t="n">
        <f aca="false">IFERROR(1-D97/L97,0)</f>
        <v>0.450011010790575</v>
      </c>
      <c r="N97" s="17" t="n">
        <f aca="false">IF(Tiers!$B$15="ja",Tiers!$B$16,M97)</f>
        <v>0.450011010790575</v>
      </c>
      <c r="O97" s="13" t="n">
        <f aca="false">ROUNDUP(G97/(1-N97),0)-0.05</f>
        <v>109.95</v>
      </c>
      <c r="P97" s="17" t="n">
        <f aca="false">IFERROR(1-G97/O97,0)</f>
        <v>0.45475216007276</v>
      </c>
      <c r="Q97" s="12" t="n">
        <v>12</v>
      </c>
    </row>
    <row r="98" customFormat="false" ht="15" hidden="false" customHeight="false" outlineLevel="0" collapsed="false">
      <c r="A98" s="12" t="s">
        <v>237</v>
      </c>
      <c r="B98" s="12" t="s">
        <v>238</v>
      </c>
      <c r="C98" s="12" t="s">
        <v>9</v>
      </c>
      <c r="D98" s="13" t="n">
        <v>59.95</v>
      </c>
      <c r="E98" s="13" t="n">
        <f aca="false">IFERROR(INDEX(Tiers!$B$4:$B$12,MATCH(C98,Tiers!$A$4:$A$12,0)),D98)</f>
        <v>59.95</v>
      </c>
      <c r="F98" s="14"/>
      <c r="G98" s="15" t="n">
        <f aca="false">IF(F98="",E98,F98)</f>
        <v>59.95</v>
      </c>
      <c r="H98" s="16" t="n">
        <f aca="false">G98-D98</f>
        <v>0</v>
      </c>
      <c r="I98" s="17" t="n">
        <f aca="false">IFERROR((G98-D98)/D98,0)</f>
        <v>0</v>
      </c>
      <c r="J98" s="12" t="str">
        <f aca="false">IF(G98&gt;D98,"Omhoog",IF(G98&lt;D98,"Omlaag","Gelijk"))</f>
        <v>Gelijk</v>
      </c>
      <c r="K98" s="18" t="str">
        <f aca="false">IF(ABS(I98)&gt;=0.2,"controleren","")</f>
        <v/>
      </c>
      <c r="L98" s="13" t="n">
        <v>119.9</v>
      </c>
      <c r="M98" s="17" t="n">
        <f aca="false">IFERROR(1-D98/L98,0)</f>
        <v>0.5</v>
      </c>
      <c r="N98" s="17" t="n">
        <f aca="false">IF(Tiers!$B$15="ja",Tiers!$B$16,M98)</f>
        <v>0.5</v>
      </c>
      <c r="O98" s="13" t="n">
        <f aca="false">ROUNDUP(G98/(1-N98),0)-0.05</f>
        <v>119.95</v>
      </c>
      <c r="P98" s="17" t="n">
        <f aca="false">IFERROR(1-G98/O98,0)</f>
        <v>0.500208420175073</v>
      </c>
      <c r="Q98" s="12" t="n">
        <v>18</v>
      </c>
    </row>
    <row r="99" customFormat="false" ht="15" hidden="false" customHeight="false" outlineLevel="0" collapsed="false">
      <c r="A99" s="12" t="s">
        <v>239</v>
      </c>
      <c r="B99" s="12" t="s">
        <v>240</v>
      </c>
      <c r="C99" s="12" t="s">
        <v>9</v>
      </c>
      <c r="D99" s="13" t="n">
        <v>49.95</v>
      </c>
      <c r="E99" s="13" t="n">
        <f aca="false">IFERROR(INDEX(Tiers!$B$4:$B$12,MATCH(C99,Tiers!$A$4:$A$12,0)),D99)</f>
        <v>59.95</v>
      </c>
      <c r="F99" s="14"/>
      <c r="G99" s="15" t="n">
        <f aca="false">IF(F99="",E99,F99)</f>
        <v>59.95</v>
      </c>
      <c r="H99" s="16" t="n">
        <f aca="false">G99-D99</f>
        <v>10</v>
      </c>
      <c r="I99" s="17" t="n">
        <f aca="false">IFERROR((G99-D99)/D99,0)</f>
        <v>0.2002002002002</v>
      </c>
      <c r="J99" s="12" t="str">
        <f aca="false">IF(G99&gt;D99,"Omhoog",IF(G99&lt;D99,"Omlaag","Gelijk"))</f>
        <v>Omhoog</v>
      </c>
      <c r="K99" s="18" t="str">
        <f aca="false">IF(ABS(I99)&gt;=0.2,"controleren","")</f>
        <v>controleren</v>
      </c>
      <c r="L99" s="13" t="n">
        <v>83.25</v>
      </c>
      <c r="M99" s="17" t="n">
        <f aca="false">IFERROR(1-D99/L99,0)</f>
        <v>0.4</v>
      </c>
      <c r="N99" s="17" t="n">
        <f aca="false">IF(Tiers!$B$15="ja",Tiers!$B$16,M99)</f>
        <v>0.4</v>
      </c>
      <c r="O99" s="13" t="n">
        <f aca="false">ROUNDUP(G99/(1-N99),0)-0.05</f>
        <v>99.95</v>
      </c>
      <c r="P99" s="17" t="n">
        <f aca="false">IFERROR(1-G99/O99,0)</f>
        <v>0.400200100050025</v>
      </c>
      <c r="Q99" s="12" t="n">
        <v>6</v>
      </c>
    </row>
    <row r="100" customFormat="false" ht="15" hidden="false" customHeight="false" outlineLevel="0" collapsed="false">
      <c r="A100" s="12" t="s">
        <v>241</v>
      </c>
      <c r="B100" s="12" t="s">
        <v>242</v>
      </c>
      <c r="C100" s="12" t="s">
        <v>9</v>
      </c>
      <c r="D100" s="13" t="n">
        <v>64.95</v>
      </c>
      <c r="E100" s="13" t="n">
        <f aca="false">IFERROR(INDEX(Tiers!$B$4:$B$12,MATCH(C100,Tiers!$A$4:$A$12,0)),D100)</f>
        <v>59.95</v>
      </c>
      <c r="F100" s="14"/>
      <c r="G100" s="15" t="n">
        <f aca="false">IF(F100="",E100,F100)</f>
        <v>59.95</v>
      </c>
      <c r="H100" s="16" t="n">
        <f aca="false">G100-D100</f>
        <v>-5</v>
      </c>
      <c r="I100" s="17" t="n">
        <f aca="false">IFERROR((G100-D100)/D100,0)</f>
        <v>-0.0769822940723634</v>
      </c>
      <c r="J100" s="12" t="str">
        <f aca="false">IF(G100&gt;D100,"Omhoog",IF(G100&lt;D100,"Omlaag","Gelijk"))</f>
        <v>Omlaag</v>
      </c>
      <c r="K100" s="18" t="str">
        <f aca="false">IF(ABS(I100)&gt;=0.2,"controleren","")</f>
        <v/>
      </c>
      <c r="L100" s="13" t="n">
        <v>129.9</v>
      </c>
      <c r="M100" s="17" t="n">
        <f aca="false">IFERROR(1-D100/L100,0)</f>
        <v>0.5</v>
      </c>
      <c r="N100" s="17" t="n">
        <f aca="false">IF(Tiers!$B$15="ja",Tiers!$B$16,M100)</f>
        <v>0.5</v>
      </c>
      <c r="O100" s="13" t="n">
        <f aca="false">ROUNDUP(G100/(1-N100),0)-0.05</f>
        <v>119.95</v>
      </c>
      <c r="P100" s="17" t="n">
        <f aca="false">IFERROR(1-G100/O100,0)</f>
        <v>0.500208420175073</v>
      </c>
      <c r="Q100" s="12" t="n">
        <v>10</v>
      </c>
    </row>
    <row r="101" customFormat="false" ht="15" hidden="false" customHeight="false" outlineLevel="0" collapsed="false">
      <c r="A101" s="12" t="s">
        <v>243</v>
      </c>
      <c r="B101" s="12" t="s">
        <v>244</v>
      </c>
      <c r="C101" s="12" t="s">
        <v>9</v>
      </c>
      <c r="D101" s="13" t="n">
        <v>49.95</v>
      </c>
      <c r="E101" s="13" t="n">
        <f aca="false">IFERROR(INDEX(Tiers!$B$4:$B$12,MATCH(C101,Tiers!$A$4:$A$12,0)),D101)</f>
        <v>59.95</v>
      </c>
      <c r="F101" s="14"/>
      <c r="G101" s="15" t="n">
        <f aca="false">IF(F101="",E101,F101)</f>
        <v>59.95</v>
      </c>
      <c r="H101" s="16" t="n">
        <f aca="false">G101-D101</f>
        <v>10</v>
      </c>
      <c r="I101" s="17" t="n">
        <f aca="false">IFERROR((G101-D101)/D101,0)</f>
        <v>0.2002002002002</v>
      </c>
      <c r="J101" s="12" t="str">
        <f aca="false">IF(G101&gt;D101,"Omhoog",IF(G101&lt;D101,"Omlaag","Gelijk"))</f>
        <v>Omhoog</v>
      </c>
      <c r="K101" s="18" t="str">
        <f aca="false">IF(ABS(I101)&gt;=0.2,"controleren","")</f>
        <v>controleren</v>
      </c>
      <c r="L101" s="13" t="n">
        <v>83.25</v>
      </c>
      <c r="M101" s="17" t="n">
        <f aca="false">IFERROR(1-D101/L101,0)</f>
        <v>0.4</v>
      </c>
      <c r="N101" s="17" t="n">
        <f aca="false">IF(Tiers!$B$15="ja",Tiers!$B$16,M101)</f>
        <v>0.4</v>
      </c>
      <c r="O101" s="13" t="n">
        <f aca="false">ROUNDUP(G101/(1-N101),0)-0.05</f>
        <v>99.95</v>
      </c>
      <c r="P101" s="17" t="n">
        <f aca="false">IFERROR(1-G101/O101,0)</f>
        <v>0.400200100050025</v>
      </c>
      <c r="Q101" s="12" t="n">
        <v>7</v>
      </c>
    </row>
    <row r="102" customFormat="false" ht="15" hidden="false" customHeight="false" outlineLevel="0" collapsed="false">
      <c r="A102" s="12" t="s">
        <v>245</v>
      </c>
      <c r="B102" s="12" t="s">
        <v>246</v>
      </c>
      <c r="C102" s="12" t="s">
        <v>9</v>
      </c>
      <c r="D102" s="13" t="n">
        <v>54.95</v>
      </c>
      <c r="E102" s="13" t="n">
        <f aca="false">IFERROR(INDEX(Tiers!$B$4:$B$12,MATCH(C102,Tiers!$A$4:$A$12,0)),D102)</f>
        <v>59.95</v>
      </c>
      <c r="F102" s="14"/>
      <c r="G102" s="15" t="n">
        <f aca="false">IF(F102="",E102,F102)</f>
        <v>59.95</v>
      </c>
      <c r="H102" s="16" t="n">
        <f aca="false">G102-D102</f>
        <v>5</v>
      </c>
      <c r="I102" s="17" t="n">
        <f aca="false">IFERROR((G102-D102)/D102,0)</f>
        <v>0.0909918107370337</v>
      </c>
      <c r="J102" s="12" t="str">
        <f aca="false">IF(G102&gt;D102,"Omhoog",IF(G102&lt;D102,"Omlaag","Gelijk"))</f>
        <v>Omhoog</v>
      </c>
      <c r="K102" s="18" t="str">
        <f aca="false">IF(ABS(I102)&gt;=0.2,"controleren","")</f>
        <v/>
      </c>
      <c r="L102" s="13" t="n">
        <v>91.58</v>
      </c>
      <c r="M102" s="17" t="n">
        <f aca="false">IFERROR(1-D102/L102,0)</f>
        <v>0.399978161170561</v>
      </c>
      <c r="N102" s="17" t="n">
        <f aca="false">IF(Tiers!$B$15="ja",Tiers!$B$16,M102)</f>
        <v>0.399978161170561</v>
      </c>
      <c r="O102" s="13" t="n">
        <f aca="false">ROUNDUP(G102/(1-N102),0)-0.05</f>
        <v>99.95</v>
      </c>
      <c r="P102" s="17" t="n">
        <f aca="false">IFERROR(1-G102/O102,0)</f>
        <v>0.400200100050025</v>
      </c>
      <c r="Q102" s="12" t="n">
        <v>14</v>
      </c>
    </row>
    <row r="103" customFormat="false" ht="15" hidden="false" customHeight="false" outlineLevel="0" collapsed="false">
      <c r="A103" s="12" t="s">
        <v>247</v>
      </c>
      <c r="B103" s="12" t="s">
        <v>248</v>
      </c>
      <c r="C103" s="12" t="s">
        <v>9</v>
      </c>
      <c r="D103" s="13" t="n">
        <v>59.95</v>
      </c>
      <c r="E103" s="13" t="n">
        <f aca="false">IFERROR(INDEX(Tiers!$B$4:$B$12,MATCH(C103,Tiers!$A$4:$A$12,0)),D103)</f>
        <v>59.95</v>
      </c>
      <c r="F103" s="14"/>
      <c r="G103" s="15" t="n">
        <f aca="false">IF(F103="",E103,F103)</f>
        <v>59.95</v>
      </c>
      <c r="H103" s="16" t="n">
        <f aca="false">G103-D103</f>
        <v>0</v>
      </c>
      <c r="I103" s="17" t="n">
        <f aca="false">IFERROR((G103-D103)/D103,0)</f>
        <v>0</v>
      </c>
      <c r="J103" s="12" t="str">
        <f aca="false">IF(G103&gt;D103,"Omhoog",IF(G103&lt;D103,"Omlaag","Gelijk"))</f>
        <v>Gelijk</v>
      </c>
      <c r="K103" s="18" t="str">
        <f aca="false">IF(ABS(I103)&gt;=0.2,"controleren","")</f>
        <v/>
      </c>
      <c r="L103" s="13" t="n">
        <v>99.92</v>
      </c>
      <c r="M103" s="17" t="n">
        <f aca="false">IFERROR(1-D103/L103,0)</f>
        <v>0.40002001601281</v>
      </c>
      <c r="N103" s="17" t="n">
        <f aca="false">IF(Tiers!$B$15="ja",Tiers!$B$16,M103)</f>
        <v>0.40002001601281</v>
      </c>
      <c r="O103" s="13" t="n">
        <f aca="false">ROUNDUP(G103/(1-N103),0)-0.05</f>
        <v>99.95</v>
      </c>
      <c r="P103" s="17" t="n">
        <f aca="false">IFERROR(1-G103/O103,0)</f>
        <v>0.400200100050025</v>
      </c>
      <c r="Q103" s="12" t="n">
        <v>35</v>
      </c>
    </row>
    <row r="104" customFormat="false" ht="15" hidden="false" customHeight="false" outlineLevel="0" collapsed="false">
      <c r="A104" s="12" t="s">
        <v>249</v>
      </c>
      <c r="B104" s="12" t="s">
        <v>250</v>
      </c>
      <c r="C104" s="12" t="s">
        <v>9</v>
      </c>
      <c r="D104" s="13" t="n">
        <v>49.95</v>
      </c>
      <c r="E104" s="13" t="n">
        <f aca="false">IFERROR(INDEX(Tiers!$B$4:$B$12,MATCH(C104,Tiers!$A$4:$A$12,0)),D104)</f>
        <v>59.95</v>
      </c>
      <c r="F104" s="14"/>
      <c r="G104" s="15" t="n">
        <f aca="false">IF(F104="",E104,F104)</f>
        <v>59.95</v>
      </c>
      <c r="H104" s="16" t="n">
        <f aca="false">G104-D104</f>
        <v>10</v>
      </c>
      <c r="I104" s="17" t="n">
        <f aca="false">IFERROR((G104-D104)/D104,0)</f>
        <v>0.2002002002002</v>
      </c>
      <c r="J104" s="12" t="str">
        <f aca="false">IF(G104&gt;D104,"Omhoog",IF(G104&lt;D104,"Omlaag","Gelijk"))</f>
        <v>Omhoog</v>
      </c>
      <c r="K104" s="18" t="str">
        <f aca="false">IF(ABS(I104)&gt;=0.2,"controleren","")</f>
        <v>controleren</v>
      </c>
      <c r="L104" s="13" t="n">
        <v>90.82</v>
      </c>
      <c r="M104" s="17" t="n">
        <f aca="false">IFERROR(1-D104/L104,0)</f>
        <v>0.450011010790575</v>
      </c>
      <c r="N104" s="17" t="n">
        <f aca="false">IF(Tiers!$B$15="ja",Tiers!$B$16,M104)</f>
        <v>0.450011010790575</v>
      </c>
      <c r="O104" s="13" t="n">
        <f aca="false">ROUNDUP(G104/(1-N104),0)-0.05</f>
        <v>109.95</v>
      </c>
      <c r="P104" s="17" t="n">
        <f aca="false">IFERROR(1-G104/O104,0)</f>
        <v>0.45475216007276</v>
      </c>
      <c r="Q104" s="12" t="n">
        <v>12</v>
      </c>
    </row>
    <row r="105" customFormat="false" ht="15" hidden="false" customHeight="false" outlineLevel="0" collapsed="false">
      <c r="A105" s="12" t="s">
        <v>251</v>
      </c>
      <c r="B105" s="12" t="s">
        <v>252</v>
      </c>
      <c r="C105" s="12" t="s">
        <v>9</v>
      </c>
      <c r="D105" s="13" t="n">
        <v>44.95</v>
      </c>
      <c r="E105" s="13" t="n">
        <f aca="false">IFERROR(INDEX(Tiers!$B$4:$B$12,MATCH(C105,Tiers!$A$4:$A$12,0)),D105)</f>
        <v>59.95</v>
      </c>
      <c r="F105" s="14"/>
      <c r="G105" s="15" t="n">
        <f aca="false">IF(F105="",E105,F105)</f>
        <v>59.95</v>
      </c>
      <c r="H105" s="16" t="n">
        <f aca="false">G105-D105</f>
        <v>15</v>
      </c>
      <c r="I105" s="17" t="n">
        <f aca="false">IFERROR((G105-D105)/D105,0)</f>
        <v>0.333704115684093</v>
      </c>
      <c r="J105" s="12" t="str">
        <f aca="false">IF(G105&gt;D105,"Omhoog",IF(G105&lt;D105,"Omlaag","Gelijk"))</f>
        <v>Omhoog</v>
      </c>
      <c r="K105" s="18" t="str">
        <f aca="false">IF(ABS(I105)&gt;=0.2,"controleren","")</f>
        <v>controleren</v>
      </c>
      <c r="L105" s="13" t="n">
        <v>89.9</v>
      </c>
      <c r="M105" s="17" t="n">
        <f aca="false">IFERROR(1-D105/L105,0)</f>
        <v>0.5</v>
      </c>
      <c r="N105" s="17" t="n">
        <f aca="false">IF(Tiers!$B$15="ja",Tiers!$B$16,M105)</f>
        <v>0.5</v>
      </c>
      <c r="O105" s="13" t="n">
        <f aca="false">ROUNDUP(G105/(1-N105),0)-0.05</f>
        <v>119.95</v>
      </c>
      <c r="P105" s="17" t="n">
        <f aca="false">IFERROR(1-G105/O105,0)</f>
        <v>0.500208420175073</v>
      </c>
      <c r="Q105" s="12" t="n">
        <v>12</v>
      </c>
    </row>
    <row r="106" customFormat="false" ht="15" hidden="false" customHeight="false" outlineLevel="0" collapsed="false">
      <c r="A106" s="12" t="s">
        <v>253</v>
      </c>
      <c r="B106" s="12" t="s">
        <v>254</v>
      </c>
      <c r="C106" s="12" t="s">
        <v>9</v>
      </c>
      <c r="D106" s="13" t="n">
        <v>44.95</v>
      </c>
      <c r="E106" s="13" t="n">
        <f aca="false">IFERROR(INDEX(Tiers!$B$4:$B$12,MATCH(C106,Tiers!$A$4:$A$12,0)),D106)</f>
        <v>59.95</v>
      </c>
      <c r="F106" s="14"/>
      <c r="G106" s="15" t="n">
        <f aca="false">IF(F106="",E106,F106)</f>
        <v>59.95</v>
      </c>
      <c r="H106" s="16" t="n">
        <f aca="false">G106-D106</f>
        <v>15</v>
      </c>
      <c r="I106" s="17" t="n">
        <f aca="false">IFERROR((G106-D106)/D106,0)</f>
        <v>0.333704115684093</v>
      </c>
      <c r="J106" s="12" t="str">
        <f aca="false">IF(G106&gt;D106,"Omhoog",IF(G106&lt;D106,"Omlaag","Gelijk"))</f>
        <v>Omhoog</v>
      </c>
      <c r="K106" s="18" t="str">
        <f aca="false">IF(ABS(I106)&gt;=0.2,"controleren","")</f>
        <v>controleren</v>
      </c>
      <c r="L106" s="13" t="n">
        <v>81.73</v>
      </c>
      <c r="M106" s="17" t="n">
        <f aca="false">IFERROR(1-D106/L106,0)</f>
        <v>0.450018353113912</v>
      </c>
      <c r="N106" s="17" t="n">
        <f aca="false">IF(Tiers!$B$15="ja",Tiers!$B$16,M106)</f>
        <v>0.450018353113912</v>
      </c>
      <c r="O106" s="13" t="n">
        <f aca="false">ROUNDUP(G106/(1-N106),0)-0.05</f>
        <v>109.95</v>
      </c>
      <c r="P106" s="17" t="n">
        <f aca="false">IFERROR(1-G106/O106,0)</f>
        <v>0.45475216007276</v>
      </c>
      <c r="Q106" s="12" t="n">
        <v>20</v>
      </c>
    </row>
    <row r="107" customFormat="false" ht="15" hidden="false" customHeight="false" outlineLevel="0" collapsed="false">
      <c r="A107" s="12" t="s">
        <v>255</v>
      </c>
      <c r="B107" s="12" t="s">
        <v>256</v>
      </c>
      <c r="C107" s="12" t="s">
        <v>9</v>
      </c>
      <c r="D107" s="13" t="n">
        <v>59.95</v>
      </c>
      <c r="E107" s="13" t="n">
        <f aca="false">IFERROR(INDEX(Tiers!$B$4:$B$12,MATCH(C107,Tiers!$A$4:$A$12,0)),D107)</f>
        <v>59.95</v>
      </c>
      <c r="F107" s="14"/>
      <c r="G107" s="15" t="n">
        <f aca="false">IF(F107="",E107,F107)</f>
        <v>59.95</v>
      </c>
      <c r="H107" s="16" t="n">
        <f aca="false">G107-D107</f>
        <v>0</v>
      </c>
      <c r="I107" s="17" t="n">
        <f aca="false">IFERROR((G107-D107)/D107,0)</f>
        <v>0</v>
      </c>
      <c r="J107" s="12" t="str">
        <f aca="false">IF(G107&gt;D107,"Omhoog",IF(G107&lt;D107,"Omlaag","Gelijk"))</f>
        <v>Gelijk</v>
      </c>
      <c r="K107" s="18" t="str">
        <f aca="false">IF(ABS(I107)&gt;=0.2,"controleren","")</f>
        <v/>
      </c>
      <c r="L107" s="13" t="n">
        <v>119.9</v>
      </c>
      <c r="M107" s="17" t="n">
        <f aca="false">IFERROR(1-D107/L107,0)</f>
        <v>0.5</v>
      </c>
      <c r="N107" s="17" t="n">
        <f aca="false">IF(Tiers!$B$15="ja",Tiers!$B$16,M107)</f>
        <v>0.5</v>
      </c>
      <c r="O107" s="13" t="n">
        <f aca="false">ROUNDUP(G107/(1-N107),0)-0.05</f>
        <v>119.95</v>
      </c>
      <c r="P107" s="17" t="n">
        <f aca="false">IFERROR(1-G107/O107,0)</f>
        <v>0.500208420175073</v>
      </c>
      <c r="Q107" s="12" t="n">
        <v>25</v>
      </c>
    </row>
    <row r="108" customFormat="false" ht="15" hidden="false" customHeight="false" outlineLevel="0" collapsed="false">
      <c r="A108" s="12" t="s">
        <v>257</v>
      </c>
      <c r="B108" s="12" t="s">
        <v>258</v>
      </c>
      <c r="C108" s="12" t="s">
        <v>9</v>
      </c>
      <c r="D108" s="13" t="n">
        <v>59.95</v>
      </c>
      <c r="E108" s="13" t="n">
        <f aca="false">IFERROR(INDEX(Tiers!$B$4:$B$12,MATCH(C108,Tiers!$A$4:$A$12,0)),D108)</f>
        <v>59.95</v>
      </c>
      <c r="F108" s="14"/>
      <c r="G108" s="15" t="n">
        <f aca="false">IF(F108="",E108,F108)</f>
        <v>59.95</v>
      </c>
      <c r="H108" s="16" t="n">
        <f aca="false">G108-D108</f>
        <v>0</v>
      </c>
      <c r="I108" s="17" t="n">
        <f aca="false">IFERROR((G108-D108)/D108,0)</f>
        <v>0</v>
      </c>
      <c r="J108" s="12" t="str">
        <f aca="false">IF(G108&gt;D108,"Omhoog",IF(G108&lt;D108,"Omlaag","Gelijk"))</f>
        <v>Gelijk</v>
      </c>
      <c r="K108" s="18" t="str">
        <f aca="false">IF(ABS(I108)&gt;=0.2,"controleren","")</f>
        <v/>
      </c>
      <c r="L108" s="13" t="n">
        <v>119.9</v>
      </c>
      <c r="M108" s="17" t="n">
        <f aca="false">IFERROR(1-D108/L108,0)</f>
        <v>0.5</v>
      </c>
      <c r="N108" s="17" t="n">
        <f aca="false">IF(Tiers!$B$15="ja",Tiers!$B$16,M108)</f>
        <v>0.5</v>
      </c>
      <c r="O108" s="13" t="n">
        <f aca="false">ROUNDUP(G108/(1-N108),0)-0.05</f>
        <v>119.95</v>
      </c>
      <c r="P108" s="17" t="n">
        <f aca="false">IFERROR(1-G108/O108,0)</f>
        <v>0.500208420175073</v>
      </c>
      <c r="Q108" s="12" t="n">
        <v>21</v>
      </c>
    </row>
    <row r="109" customFormat="false" ht="15" hidden="false" customHeight="false" outlineLevel="0" collapsed="false">
      <c r="A109" s="12" t="s">
        <v>259</v>
      </c>
      <c r="B109" s="12" t="s">
        <v>260</v>
      </c>
      <c r="C109" s="12" t="s">
        <v>9</v>
      </c>
      <c r="D109" s="13" t="n">
        <v>49.95</v>
      </c>
      <c r="E109" s="13" t="n">
        <f aca="false">IFERROR(INDEX(Tiers!$B$4:$B$12,MATCH(C109,Tiers!$A$4:$A$12,0)),D109)</f>
        <v>59.95</v>
      </c>
      <c r="F109" s="14"/>
      <c r="G109" s="15" t="n">
        <f aca="false">IF(F109="",E109,F109)</f>
        <v>59.95</v>
      </c>
      <c r="H109" s="16" t="n">
        <f aca="false">G109-D109</f>
        <v>10</v>
      </c>
      <c r="I109" s="17" t="n">
        <f aca="false">IFERROR((G109-D109)/D109,0)</f>
        <v>0.2002002002002</v>
      </c>
      <c r="J109" s="12" t="str">
        <f aca="false">IF(G109&gt;D109,"Omhoog",IF(G109&lt;D109,"Omlaag","Gelijk"))</f>
        <v>Omhoog</v>
      </c>
      <c r="K109" s="18" t="str">
        <f aca="false">IF(ABS(I109)&gt;=0.2,"controleren","")</f>
        <v>controleren</v>
      </c>
      <c r="L109" s="13" t="n">
        <v>90.82</v>
      </c>
      <c r="M109" s="17" t="n">
        <f aca="false">IFERROR(1-D109/L109,0)</f>
        <v>0.450011010790575</v>
      </c>
      <c r="N109" s="17" t="n">
        <f aca="false">IF(Tiers!$B$15="ja",Tiers!$B$16,M109)</f>
        <v>0.450011010790575</v>
      </c>
      <c r="O109" s="13" t="n">
        <f aca="false">ROUNDUP(G109/(1-N109),0)-0.05</f>
        <v>109.95</v>
      </c>
      <c r="P109" s="17" t="n">
        <f aca="false">IFERROR(1-G109/O109,0)</f>
        <v>0.45475216007276</v>
      </c>
      <c r="Q109" s="12" t="n">
        <v>30</v>
      </c>
    </row>
    <row r="110" customFormat="false" ht="15" hidden="false" customHeight="false" outlineLevel="0" collapsed="false">
      <c r="A110" s="12" t="s">
        <v>261</v>
      </c>
      <c r="B110" s="12" t="s">
        <v>262</v>
      </c>
      <c r="C110" s="12" t="s">
        <v>9</v>
      </c>
      <c r="D110" s="13" t="n">
        <v>49.95</v>
      </c>
      <c r="E110" s="13" t="n">
        <f aca="false">IFERROR(INDEX(Tiers!$B$4:$B$12,MATCH(C110,Tiers!$A$4:$A$12,0)),D110)</f>
        <v>59.95</v>
      </c>
      <c r="F110" s="14"/>
      <c r="G110" s="15" t="n">
        <f aca="false">IF(F110="",E110,F110)</f>
        <v>59.95</v>
      </c>
      <c r="H110" s="16" t="n">
        <f aca="false">G110-D110</f>
        <v>10</v>
      </c>
      <c r="I110" s="17" t="n">
        <f aca="false">IFERROR((G110-D110)/D110,0)</f>
        <v>0.2002002002002</v>
      </c>
      <c r="J110" s="12" t="str">
        <f aca="false">IF(G110&gt;D110,"Omhoog",IF(G110&lt;D110,"Omlaag","Gelijk"))</f>
        <v>Omhoog</v>
      </c>
      <c r="K110" s="18" t="str">
        <f aca="false">IF(ABS(I110)&gt;=0.2,"controleren","")</f>
        <v>controleren</v>
      </c>
      <c r="L110" s="13" t="n">
        <v>90.82</v>
      </c>
      <c r="M110" s="17" t="n">
        <f aca="false">IFERROR(1-D110/L110,0)</f>
        <v>0.450011010790575</v>
      </c>
      <c r="N110" s="17" t="n">
        <f aca="false">IF(Tiers!$B$15="ja",Tiers!$B$16,M110)</f>
        <v>0.450011010790575</v>
      </c>
      <c r="O110" s="13" t="n">
        <f aca="false">ROUNDUP(G110/(1-N110),0)-0.05</f>
        <v>109.95</v>
      </c>
      <c r="P110" s="17" t="n">
        <f aca="false">IFERROR(1-G110/O110,0)</f>
        <v>0.45475216007276</v>
      </c>
      <c r="Q110" s="12" t="n">
        <v>56</v>
      </c>
    </row>
    <row r="111" customFormat="false" ht="15" hidden="false" customHeight="false" outlineLevel="0" collapsed="false">
      <c r="A111" s="12" t="s">
        <v>263</v>
      </c>
      <c r="B111" s="12" t="s">
        <v>264</v>
      </c>
      <c r="C111" s="12" t="s">
        <v>9</v>
      </c>
      <c r="D111" s="13" t="n">
        <v>59.95</v>
      </c>
      <c r="E111" s="13" t="n">
        <f aca="false">IFERROR(INDEX(Tiers!$B$4:$B$12,MATCH(C111,Tiers!$A$4:$A$12,0)),D111)</f>
        <v>59.95</v>
      </c>
      <c r="F111" s="14"/>
      <c r="G111" s="15" t="n">
        <f aca="false">IF(F111="",E111,F111)</f>
        <v>59.95</v>
      </c>
      <c r="H111" s="16" t="n">
        <f aca="false">G111-D111</f>
        <v>0</v>
      </c>
      <c r="I111" s="17" t="n">
        <f aca="false">IFERROR((G111-D111)/D111,0)</f>
        <v>0</v>
      </c>
      <c r="J111" s="12" t="str">
        <f aca="false">IF(G111&gt;D111,"Omhoog",IF(G111&lt;D111,"Omlaag","Gelijk"))</f>
        <v>Gelijk</v>
      </c>
      <c r="K111" s="18" t="str">
        <f aca="false">IF(ABS(I111)&gt;=0.2,"controleren","")</f>
        <v/>
      </c>
      <c r="L111" s="13" t="n">
        <v>109</v>
      </c>
      <c r="M111" s="17" t="n">
        <f aca="false">IFERROR(1-D111/L111,0)</f>
        <v>0.45</v>
      </c>
      <c r="N111" s="17" t="n">
        <f aca="false">IF(Tiers!$B$15="ja",Tiers!$B$16,M111)</f>
        <v>0.45</v>
      </c>
      <c r="O111" s="13" t="n">
        <f aca="false">ROUNDUP(G111/(1-N111),0)-0.05</f>
        <v>108.95</v>
      </c>
      <c r="P111" s="17" t="n">
        <f aca="false">IFERROR(1-G111/O111,0)</f>
        <v>0.449747590637907</v>
      </c>
      <c r="Q111" s="12" t="n">
        <v>12</v>
      </c>
    </row>
    <row r="112" customFormat="false" ht="15" hidden="false" customHeight="false" outlineLevel="0" collapsed="false">
      <c r="A112" s="12" t="s">
        <v>265</v>
      </c>
      <c r="B112" s="12" t="s">
        <v>266</v>
      </c>
      <c r="C112" s="12" t="s">
        <v>9</v>
      </c>
      <c r="D112" s="13" t="n">
        <v>54.95</v>
      </c>
      <c r="E112" s="13" t="n">
        <f aca="false">IFERROR(INDEX(Tiers!$B$4:$B$12,MATCH(C112,Tiers!$A$4:$A$12,0)),D112)</f>
        <v>59.95</v>
      </c>
      <c r="F112" s="14"/>
      <c r="G112" s="15" t="n">
        <f aca="false">IF(F112="",E112,F112)</f>
        <v>59.95</v>
      </c>
      <c r="H112" s="16" t="n">
        <f aca="false">G112-D112</f>
        <v>5</v>
      </c>
      <c r="I112" s="17" t="n">
        <f aca="false">IFERROR((G112-D112)/D112,0)</f>
        <v>0.0909918107370337</v>
      </c>
      <c r="J112" s="12" t="str">
        <f aca="false">IF(G112&gt;D112,"Omhoog",IF(G112&lt;D112,"Omlaag","Gelijk"))</f>
        <v>Omhoog</v>
      </c>
      <c r="K112" s="18" t="str">
        <f aca="false">IF(ABS(I112)&gt;=0.2,"controleren","")</f>
        <v/>
      </c>
      <c r="L112" s="13" t="n">
        <v>109.9</v>
      </c>
      <c r="M112" s="17" t="n">
        <f aca="false">IFERROR(1-D112/L112,0)</f>
        <v>0.5</v>
      </c>
      <c r="N112" s="17" t="n">
        <f aca="false">IF(Tiers!$B$15="ja",Tiers!$B$16,M112)</f>
        <v>0.5</v>
      </c>
      <c r="O112" s="13" t="n">
        <f aca="false">ROUNDUP(G112/(1-N112),0)-0.05</f>
        <v>119.95</v>
      </c>
      <c r="P112" s="17" t="n">
        <f aca="false">IFERROR(1-G112/O112,0)</f>
        <v>0.500208420175073</v>
      </c>
      <c r="Q112" s="12" t="n">
        <v>7</v>
      </c>
    </row>
    <row r="113" customFormat="false" ht="15" hidden="false" customHeight="false" outlineLevel="0" collapsed="false">
      <c r="A113" s="12" t="s">
        <v>267</v>
      </c>
      <c r="B113" s="12" t="s">
        <v>268</v>
      </c>
      <c r="C113" s="12" t="s">
        <v>9</v>
      </c>
      <c r="D113" s="13" t="n">
        <v>44.95</v>
      </c>
      <c r="E113" s="13" t="n">
        <f aca="false">IFERROR(INDEX(Tiers!$B$4:$B$12,MATCH(C113,Tiers!$A$4:$A$12,0)),D113)</f>
        <v>59.95</v>
      </c>
      <c r="F113" s="14"/>
      <c r="G113" s="15" t="n">
        <f aca="false">IF(F113="",E113,F113)</f>
        <v>59.95</v>
      </c>
      <c r="H113" s="16" t="n">
        <f aca="false">G113-D113</f>
        <v>15</v>
      </c>
      <c r="I113" s="17" t="n">
        <f aca="false">IFERROR((G113-D113)/D113,0)</f>
        <v>0.333704115684093</v>
      </c>
      <c r="J113" s="12" t="str">
        <f aca="false">IF(G113&gt;D113,"Omhoog",IF(G113&lt;D113,"Omlaag","Gelijk"))</f>
        <v>Omhoog</v>
      </c>
      <c r="K113" s="18" t="str">
        <f aca="false">IF(ABS(I113)&gt;=0.2,"controleren","")</f>
        <v>controleren</v>
      </c>
      <c r="L113" s="13" t="n">
        <v>81.73</v>
      </c>
      <c r="M113" s="17" t="n">
        <f aca="false">IFERROR(1-D113/L113,0)</f>
        <v>0.450018353113912</v>
      </c>
      <c r="N113" s="17" t="n">
        <f aca="false">IF(Tiers!$B$15="ja",Tiers!$B$16,M113)</f>
        <v>0.450018353113912</v>
      </c>
      <c r="O113" s="13" t="n">
        <f aca="false">ROUNDUP(G113/(1-N113),0)-0.05</f>
        <v>109.95</v>
      </c>
      <c r="P113" s="17" t="n">
        <f aca="false">IFERROR(1-G113/O113,0)</f>
        <v>0.45475216007276</v>
      </c>
      <c r="Q113" s="12" t="n">
        <v>30</v>
      </c>
    </row>
    <row r="114" customFormat="false" ht="15" hidden="false" customHeight="false" outlineLevel="0" collapsed="false">
      <c r="A114" s="12" t="s">
        <v>269</v>
      </c>
      <c r="B114" s="12" t="s">
        <v>270</v>
      </c>
      <c r="C114" s="12" t="s">
        <v>9</v>
      </c>
      <c r="D114" s="13" t="n">
        <v>59.95</v>
      </c>
      <c r="E114" s="13" t="n">
        <f aca="false">IFERROR(INDEX(Tiers!$B$4:$B$12,MATCH(C114,Tiers!$A$4:$A$12,0)),D114)</f>
        <v>59.95</v>
      </c>
      <c r="F114" s="14"/>
      <c r="G114" s="15" t="n">
        <f aca="false">IF(F114="",E114,F114)</f>
        <v>59.95</v>
      </c>
      <c r="H114" s="16" t="n">
        <f aca="false">G114-D114</f>
        <v>0</v>
      </c>
      <c r="I114" s="17" t="n">
        <f aca="false">IFERROR((G114-D114)/D114,0)</f>
        <v>0</v>
      </c>
      <c r="J114" s="12" t="str">
        <f aca="false">IF(G114&gt;D114,"Omhoog",IF(G114&lt;D114,"Omlaag","Gelijk"))</f>
        <v>Gelijk</v>
      </c>
      <c r="K114" s="18" t="str">
        <f aca="false">IF(ABS(I114)&gt;=0.2,"controleren","")</f>
        <v/>
      </c>
      <c r="L114" s="13" t="n">
        <v>99.92</v>
      </c>
      <c r="M114" s="17" t="n">
        <f aca="false">IFERROR(1-D114/L114,0)</f>
        <v>0.40002001601281</v>
      </c>
      <c r="N114" s="17" t="n">
        <f aca="false">IF(Tiers!$B$15="ja",Tiers!$B$16,M114)</f>
        <v>0.40002001601281</v>
      </c>
      <c r="O114" s="13" t="n">
        <f aca="false">ROUNDUP(G114/(1-N114),0)-0.05</f>
        <v>99.95</v>
      </c>
      <c r="P114" s="17" t="n">
        <f aca="false">IFERROR(1-G114/O114,0)</f>
        <v>0.400200100050025</v>
      </c>
      <c r="Q114" s="12" t="n">
        <v>25</v>
      </c>
    </row>
    <row r="115" customFormat="false" ht="15" hidden="false" customHeight="false" outlineLevel="0" collapsed="false">
      <c r="A115" s="12" t="s">
        <v>271</v>
      </c>
      <c r="B115" s="12" t="s">
        <v>272</v>
      </c>
      <c r="C115" s="12" t="s">
        <v>11</v>
      </c>
      <c r="D115" s="13" t="n">
        <v>69.95</v>
      </c>
      <c r="E115" s="13" t="n">
        <f aca="false">IFERROR(INDEX(Tiers!$B$4:$B$12,MATCH(C115,Tiers!$A$4:$A$12,0)),D115)</f>
        <v>64.95</v>
      </c>
      <c r="F115" s="14"/>
      <c r="G115" s="15" t="n">
        <f aca="false">IF(F115="",E115,F115)</f>
        <v>64.95</v>
      </c>
      <c r="H115" s="16" t="n">
        <f aca="false">G115-D115</f>
        <v>-5</v>
      </c>
      <c r="I115" s="17" t="n">
        <f aca="false">IFERROR((G115-D115)/D115,0)</f>
        <v>-0.0714796283059328</v>
      </c>
      <c r="J115" s="12" t="str">
        <f aca="false">IF(G115&gt;D115,"Omhoog",IF(G115&lt;D115,"Omlaag","Gelijk"))</f>
        <v>Omlaag</v>
      </c>
      <c r="K115" s="18" t="str">
        <f aca="false">IF(ABS(I115)&gt;=0.2,"controleren","")</f>
        <v/>
      </c>
      <c r="L115" s="13" t="n">
        <v>127.18</v>
      </c>
      <c r="M115" s="17" t="n">
        <f aca="false">IFERROR(1-D115/L115,0)</f>
        <v>0.449992137128479</v>
      </c>
      <c r="N115" s="17" t="n">
        <f aca="false">IF(Tiers!$B$15="ja",Tiers!$B$16,M115)</f>
        <v>0.449992137128479</v>
      </c>
      <c r="O115" s="13" t="n">
        <f aca="false">ROUNDUP(G115/(1-N115),0)-0.05</f>
        <v>118.95</v>
      </c>
      <c r="P115" s="17" t="n">
        <f aca="false">IFERROR(1-G115/O115,0)</f>
        <v>0.453972257250946</v>
      </c>
      <c r="Q115" s="12" t="n">
        <v>49</v>
      </c>
    </row>
    <row r="116" customFormat="false" ht="15" hidden="false" customHeight="false" outlineLevel="0" collapsed="false">
      <c r="A116" s="12" t="s">
        <v>273</v>
      </c>
      <c r="B116" s="12" t="s">
        <v>274</v>
      </c>
      <c r="C116" s="12" t="s">
        <v>11</v>
      </c>
      <c r="D116" s="13" t="n">
        <v>59.95</v>
      </c>
      <c r="E116" s="13" t="n">
        <f aca="false">IFERROR(INDEX(Tiers!$B$4:$B$12,MATCH(C116,Tiers!$A$4:$A$12,0)),D116)</f>
        <v>64.95</v>
      </c>
      <c r="F116" s="14"/>
      <c r="G116" s="15" t="n">
        <f aca="false">IF(F116="",E116,F116)</f>
        <v>64.95</v>
      </c>
      <c r="H116" s="16" t="n">
        <f aca="false">G116-D116</f>
        <v>5</v>
      </c>
      <c r="I116" s="17" t="n">
        <f aca="false">IFERROR((G116-D116)/D116,0)</f>
        <v>0.0834028356964137</v>
      </c>
      <c r="J116" s="12" t="str">
        <f aca="false">IF(G116&gt;D116,"Omhoog",IF(G116&lt;D116,"Omlaag","Gelijk"))</f>
        <v>Omhoog</v>
      </c>
      <c r="K116" s="18" t="str">
        <f aca="false">IF(ABS(I116)&gt;=0.2,"controleren","")</f>
        <v/>
      </c>
      <c r="L116" s="13" t="n">
        <v>109</v>
      </c>
      <c r="M116" s="17" t="n">
        <f aca="false">IFERROR(1-D116/L116,0)</f>
        <v>0.45</v>
      </c>
      <c r="N116" s="17" t="n">
        <f aca="false">IF(Tiers!$B$15="ja",Tiers!$B$16,M116)</f>
        <v>0.45</v>
      </c>
      <c r="O116" s="13" t="n">
        <f aca="false">ROUNDUP(G116/(1-N116),0)-0.05</f>
        <v>118.95</v>
      </c>
      <c r="P116" s="17" t="n">
        <f aca="false">IFERROR(1-G116/O116,0)</f>
        <v>0.453972257250946</v>
      </c>
      <c r="Q116" s="12" t="n">
        <v>15</v>
      </c>
    </row>
    <row r="117" customFormat="false" ht="15" hidden="false" customHeight="false" outlineLevel="0" collapsed="false">
      <c r="A117" s="12" t="s">
        <v>275</v>
      </c>
      <c r="B117" s="12" t="s">
        <v>276</v>
      </c>
      <c r="C117" s="12" t="s">
        <v>11</v>
      </c>
      <c r="D117" s="13" t="n">
        <v>59.95</v>
      </c>
      <c r="E117" s="13" t="n">
        <f aca="false">IFERROR(INDEX(Tiers!$B$4:$B$12,MATCH(C117,Tiers!$A$4:$A$12,0)),D117)</f>
        <v>64.95</v>
      </c>
      <c r="F117" s="14"/>
      <c r="G117" s="15" t="n">
        <f aca="false">IF(F117="",E117,F117)</f>
        <v>64.95</v>
      </c>
      <c r="H117" s="16" t="n">
        <f aca="false">G117-D117</f>
        <v>5</v>
      </c>
      <c r="I117" s="17" t="n">
        <f aca="false">IFERROR((G117-D117)/D117,0)</f>
        <v>0.0834028356964137</v>
      </c>
      <c r="J117" s="12" t="str">
        <f aca="false">IF(G117&gt;D117,"Omhoog",IF(G117&lt;D117,"Omlaag","Gelijk"))</f>
        <v>Omhoog</v>
      </c>
      <c r="K117" s="18" t="str">
        <f aca="false">IF(ABS(I117)&gt;=0.2,"controleren","")</f>
        <v/>
      </c>
      <c r="L117" s="13" t="n">
        <v>99.92</v>
      </c>
      <c r="M117" s="17" t="n">
        <f aca="false">IFERROR(1-D117/L117,0)</f>
        <v>0.40002001601281</v>
      </c>
      <c r="N117" s="17" t="n">
        <f aca="false">IF(Tiers!$B$15="ja",Tiers!$B$16,M117)</f>
        <v>0.40002001601281</v>
      </c>
      <c r="O117" s="13" t="n">
        <f aca="false">ROUNDUP(G117/(1-N117),0)-0.05</f>
        <v>108.95</v>
      </c>
      <c r="P117" s="17" t="n">
        <f aca="false">IFERROR(1-G117/O117,0)</f>
        <v>0.403854979348325</v>
      </c>
      <c r="Q117" s="12" t="n">
        <v>5</v>
      </c>
    </row>
    <row r="118" customFormat="false" ht="15" hidden="false" customHeight="false" outlineLevel="0" collapsed="false">
      <c r="A118" s="12" t="s">
        <v>277</v>
      </c>
      <c r="B118" s="12" t="s">
        <v>278</v>
      </c>
      <c r="C118" s="12" t="s">
        <v>11</v>
      </c>
      <c r="D118" s="13" t="n">
        <v>59.95</v>
      </c>
      <c r="E118" s="13" t="n">
        <f aca="false">IFERROR(INDEX(Tiers!$B$4:$B$12,MATCH(C118,Tiers!$A$4:$A$12,0)),D118)</f>
        <v>64.95</v>
      </c>
      <c r="F118" s="14"/>
      <c r="G118" s="15" t="n">
        <f aca="false">IF(F118="",E118,F118)</f>
        <v>64.95</v>
      </c>
      <c r="H118" s="16" t="n">
        <f aca="false">G118-D118</f>
        <v>5</v>
      </c>
      <c r="I118" s="17" t="n">
        <f aca="false">IFERROR((G118-D118)/D118,0)</f>
        <v>0.0834028356964137</v>
      </c>
      <c r="J118" s="12" t="str">
        <f aca="false">IF(G118&gt;D118,"Omhoog",IF(G118&lt;D118,"Omlaag","Gelijk"))</f>
        <v>Omhoog</v>
      </c>
      <c r="K118" s="18" t="str">
        <f aca="false">IF(ABS(I118)&gt;=0.2,"controleren","")</f>
        <v/>
      </c>
      <c r="L118" s="13" t="n">
        <v>99.92</v>
      </c>
      <c r="M118" s="17" t="n">
        <f aca="false">IFERROR(1-D118/L118,0)</f>
        <v>0.40002001601281</v>
      </c>
      <c r="N118" s="17" t="n">
        <f aca="false">IF(Tiers!$B$15="ja",Tiers!$B$16,M118)</f>
        <v>0.40002001601281</v>
      </c>
      <c r="O118" s="13" t="n">
        <f aca="false">ROUNDUP(G118/(1-N118),0)-0.05</f>
        <v>108.95</v>
      </c>
      <c r="P118" s="17" t="n">
        <f aca="false">IFERROR(1-G118/O118,0)</f>
        <v>0.403854979348325</v>
      </c>
      <c r="Q118" s="12" t="n">
        <v>30</v>
      </c>
    </row>
    <row r="119" customFormat="false" ht="15" hidden="false" customHeight="false" outlineLevel="0" collapsed="false">
      <c r="A119" s="12" t="s">
        <v>279</v>
      </c>
      <c r="B119" s="12" t="s">
        <v>280</v>
      </c>
      <c r="C119" s="12" t="s">
        <v>11</v>
      </c>
      <c r="D119" s="13" t="n">
        <v>59.95</v>
      </c>
      <c r="E119" s="13" t="n">
        <f aca="false">IFERROR(INDEX(Tiers!$B$4:$B$12,MATCH(C119,Tiers!$A$4:$A$12,0)),D119)</f>
        <v>64.95</v>
      </c>
      <c r="F119" s="14"/>
      <c r="G119" s="15" t="n">
        <f aca="false">IF(F119="",E119,F119)</f>
        <v>64.95</v>
      </c>
      <c r="H119" s="16" t="n">
        <f aca="false">G119-D119</f>
        <v>5</v>
      </c>
      <c r="I119" s="17" t="n">
        <f aca="false">IFERROR((G119-D119)/D119,0)</f>
        <v>0.0834028356964137</v>
      </c>
      <c r="J119" s="12" t="str">
        <f aca="false">IF(G119&gt;D119,"Omhoog",IF(G119&lt;D119,"Omlaag","Gelijk"))</f>
        <v>Omhoog</v>
      </c>
      <c r="K119" s="18" t="str">
        <f aca="false">IF(ABS(I119)&gt;=0.2,"controleren","")</f>
        <v/>
      </c>
      <c r="L119" s="13" t="n">
        <v>109</v>
      </c>
      <c r="M119" s="17" t="n">
        <f aca="false">IFERROR(1-D119/L119,0)</f>
        <v>0.45</v>
      </c>
      <c r="N119" s="17" t="n">
        <f aca="false">IF(Tiers!$B$15="ja",Tiers!$B$16,M119)</f>
        <v>0.45</v>
      </c>
      <c r="O119" s="13" t="n">
        <f aca="false">ROUNDUP(G119/(1-N119),0)-0.05</f>
        <v>118.95</v>
      </c>
      <c r="P119" s="17" t="n">
        <f aca="false">IFERROR(1-G119/O119,0)</f>
        <v>0.453972257250946</v>
      </c>
      <c r="Q119" s="12" t="n">
        <v>42</v>
      </c>
    </row>
    <row r="120" customFormat="false" ht="15" hidden="false" customHeight="false" outlineLevel="0" collapsed="false">
      <c r="A120" s="12" t="s">
        <v>281</v>
      </c>
      <c r="B120" s="12" t="s">
        <v>282</v>
      </c>
      <c r="C120" s="12" t="s">
        <v>11</v>
      </c>
      <c r="D120" s="13" t="n">
        <v>69.95</v>
      </c>
      <c r="E120" s="13" t="n">
        <f aca="false">IFERROR(INDEX(Tiers!$B$4:$B$12,MATCH(C120,Tiers!$A$4:$A$12,0)),D120)</f>
        <v>64.95</v>
      </c>
      <c r="F120" s="14"/>
      <c r="G120" s="15" t="n">
        <f aca="false">IF(F120="",E120,F120)</f>
        <v>64.95</v>
      </c>
      <c r="H120" s="16" t="n">
        <f aca="false">G120-D120</f>
        <v>-5</v>
      </c>
      <c r="I120" s="17" t="n">
        <f aca="false">IFERROR((G120-D120)/D120,0)</f>
        <v>-0.0714796283059328</v>
      </c>
      <c r="J120" s="12" t="str">
        <f aca="false">IF(G120&gt;D120,"Omhoog",IF(G120&lt;D120,"Omlaag","Gelijk"))</f>
        <v>Omlaag</v>
      </c>
      <c r="K120" s="18" t="str">
        <f aca="false">IF(ABS(I120)&gt;=0.2,"controleren","")</f>
        <v/>
      </c>
      <c r="L120" s="13" t="n">
        <v>139.9</v>
      </c>
      <c r="M120" s="17" t="n">
        <f aca="false">IFERROR(1-D120/L120,0)</f>
        <v>0.5</v>
      </c>
      <c r="N120" s="17" t="n">
        <f aca="false">IF(Tiers!$B$15="ja",Tiers!$B$16,M120)</f>
        <v>0.5</v>
      </c>
      <c r="O120" s="13" t="n">
        <f aca="false">ROUNDUP(G120/(1-N120),0)-0.05</f>
        <v>129.95</v>
      </c>
      <c r="P120" s="17" t="n">
        <f aca="false">IFERROR(1-G120/O120,0)</f>
        <v>0.500192381685264</v>
      </c>
      <c r="Q120" s="12" t="n">
        <v>8</v>
      </c>
    </row>
    <row r="121" customFormat="false" ht="15" hidden="false" customHeight="false" outlineLevel="0" collapsed="false">
      <c r="A121" s="12" t="s">
        <v>283</v>
      </c>
      <c r="B121" s="12" t="s">
        <v>284</v>
      </c>
      <c r="C121" s="12" t="s">
        <v>11</v>
      </c>
      <c r="D121" s="13" t="n">
        <v>54.95</v>
      </c>
      <c r="E121" s="13" t="n">
        <f aca="false">IFERROR(INDEX(Tiers!$B$4:$B$12,MATCH(C121,Tiers!$A$4:$A$12,0)),D121)</f>
        <v>64.95</v>
      </c>
      <c r="F121" s="14"/>
      <c r="G121" s="15" t="n">
        <f aca="false">IF(F121="",E121,F121)</f>
        <v>64.95</v>
      </c>
      <c r="H121" s="16" t="n">
        <f aca="false">G121-D121</f>
        <v>10</v>
      </c>
      <c r="I121" s="17" t="n">
        <f aca="false">IFERROR((G121-D121)/D121,0)</f>
        <v>0.181983621474067</v>
      </c>
      <c r="J121" s="12" t="str">
        <f aca="false">IF(G121&gt;D121,"Omhoog",IF(G121&lt;D121,"Omlaag","Gelijk"))</f>
        <v>Omhoog</v>
      </c>
      <c r="K121" s="18" t="str">
        <f aca="false">IF(ABS(I121)&gt;=0.2,"controleren","")</f>
        <v/>
      </c>
      <c r="L121" s="13" t="n">
        <v>91.58</v>
      </c>
      <c r="M121" s="17" t="n">
        <f aca="false">IFERROR(1-D121/L121,0)</f>
        <v>0.399978161170561</v>
      </c>
      <c r="N121" s="17" t="n">
        <f aca="false">IF(Tiers!$B$15="ja",Tiers!$B$16,M121)</f>
        <v>0.399978161170561</v>
      </c>
      <c r="O121" s="13" t="n">
        <f aca="false">ROUNDUP(G121/(1-N121),0)-0.05</f>
        <v>108.95</v>
      </c>
      <c r="P121" s="17" t="n">
        <f aca="false">IFERROR(1-G121/O121,0)</f>
        <v>0.403854979348325</v>
      </c>
      <c r="Q121" s="12" t="n">
        <v>42</v>
      </c>
    </row>
    <row r="122" customFormat="false" ht="15" hidden="false" customHeight="false" outlineLevel="0" collapsed="false">
      <c r="A122" s="12" t="s">
        <v>285</v>
      </c>
      <c r="B122" s="12" t="s">
        <v>286</v>
      </c>
      <c r="C122" s="12" t="s">
        <v>11</v>
      </c>
      <c r="D122" s="13" t="n">
        <v>69.95</v>
      </c>
      <c r="E122" s="13" t="n">
        <f aca="false">IFERROR(INDEX(Tiers!$B$4:$B$12,MATCH(C122,Tiers!$A$4:$A$12,0)),D122)</f>
        <v>64.95</v>
      </c>
      <c r="F122" s="14"/>
      <c r="G122" s="15" t="n">
        <f aca="false">IF(F122="",E122,F122)</f>
        <v>64.95</v>
      </c>
      <c r="H122" s="16" t="n">
        <f aca="false">G122-D122</f>
        <v>-5</v>
      </c>
      <c r="I122" s="17" t="n">
        <f aca="false">IFERROR((G122-D122)/D122,0)</f>
        <v>-0.0714796283059328</v>
      </c>
      <c r="J122" s="12" t="str">
        <f aca="false">IF(G122&gt;D122,"Omhoog",IF(G122&lt;D122,"Omlaag","Gelijk"))</f>
        <v>Omlaag</v>
      </c>
      <c r="K122" s="18" t="str">
        <f aca="false">IF(ABS(I122)&gt;=0.2,"controleren","")</f>
        <v/>
      </c>
      <c r="L122" s="13" t="n">
        <v>139.9</v>
      </c>
      <c r="M122" s="17" t="n">
        <f aca="false">IFERROR(1-D122/L122,0)</f>
        <v>0.5</v>
      </c>
      <c r="N122" s="17" t="n">
        <f aca="false">IF(Tiers!$B$15="ja",Tiers!$B$16,M122)</f>
        <v>0.5</v>
      </c>
      <c r="O122" s="13" t="n">
        <f aca="false">ROUNDUP(G122/(1-N122),0)-0.05</f>
        <v>129.95</v>
      </c>
      <c r="P122" s="17" t="n">
        <f aca="false">IFERROR(1-G122/O122,0)</f>
        <v>0.500192381685264</v>
      </c>
      <c r="Q122" s="12" t="n">
        <v>30</v>
      </c>
    </row>
    <row r="123" customFormat="false" ht="15" hidden="false" customHeight="false" outlineLevel="0" collapsed="false">
      <c r="A123" s="12" t="s">
        <v>287</v>
      </c>
      <c r="B123" s="12" t="s">
        <v>288</v>
      </c>
      <c r="C123" s="12" t="s">
        <v>11</v>
      </c>
      <c r="D123" s="13" t="n">
        <v>54.95</v>
      </c>
      <c r="E123" s="13" t="n">
        <f aca="false">IFERROR(INDEX(Tiers!$B$4:$B$12,MATCH(C123,Tiers!$A$4:$A$12,0)),D123)</f>
        <v>64.95</v>
      </c>
      <c r="F123" s="14"/>
      <c r="G123" s="15" t="n">
        <f aca="false">IF(F123="",E123,F123)</f>
        <v>64.95</v>
      </c>
      <c r="H123" s="16" t="n">
        <f aca="false">G123-D123</f>
        <v>10</v>
      </c>
      <c r="I123" s="17" t="n">
        <f aca="false">IFERROR((G123-D123)/D123,0)</f>
        <v>0.181983621474067</v>
      </c>
      <c r="J123" s="12" t="str">
        <f aca="false">IF(G123&gt;D123,"Omhoog",IF(G123&lt;D123,"Omlaag","Gelijk"))</f>
        <v>Omhoog</v>
      </c>
      <c r="K123" s="18" t="str">
        <f aca="false">IF(ABS(I123)&gt;=0.2,"controleren","")</f>
        <v/>
      </c>
      <c r="L123" s="13" t="n">
        <v>91.58</v>
      </c>
      <c r="M123" s="17" t="n">
        <f aca="false">IFERROR(1-D123/L123,0)</f>
        <v>0.399978161170561</v>
      </c>
      <c r="N123" s="17" t="n">
        <f aca="false">IF(Tiers!$B$15="ja",Tiers!$B$16,M123)</f>
        <v>0.399978161170561</v>
      </c>
      <c r="O123" s="13" t="n">
        <f aca="false">ROUNDUP(G123/(1-N123),0)-0.05</f>
        <v>108.95</v>
      </c>
      <c r="P123" s="17" t="n">
        <f aca="false">IFERROR(1-G123/O123,0)</f>
        <v>0.403854979348325</v>
      </c>
      <c r="Q123" s="12" t="n">
        <v>24</v>
      </c>
    </row>
    <row r="124" customFormat="false" ht="15" hidden="false" customHeight="false" outlineLevel="0" collapsed="false">
      <c r="A124" s="12" t="s">
        <v>289</v>
      </c>
      <c r="B124" s="12" t="s">
        <v>290</v>
      </c>
      <c r="C124" s="12" t="s">
        <v>11</v>
      </c>
      <c r="D124" s="13" t="n">
        <v>69.95</v>
      </c>
      <c r="E124" s="13" t="n">
        <f aca="false">IFERROR(INDEX(Tiers!$B$4:$B$12,MATCH(C124,Tiers!$A$4:$A$12,0)),D124)</f>
        <v>64.95</v>
      </c>
      <c r="F124" s="14"/>
      <c r="G124" s="15" t="n">
        <f aca="false">IF(F124="",E124,F124)</f>
        <v>64.95</v>
      </c>
      <c r="H124" s="16" t="n">
        <f aca="false">G124-D124</f>
        <v>-5</v>
      </c>
      <c r="I124" s="17" t="n">
        <f aca="false">IFERROR((G124-D124)/D124,0)</f>
        <v>-0.0714796283059328</v>
      </c>
      <c r="J124" s="12" t="str">
        <f aca="false">IF(G124&gt;D124,"Omhoog",IF(G124&lt;D124,"Omlaag","Gelijk"))</f>
        <v>Omlaag</v>
      </c>
      <c r="K124" s="18" t="str">
        <f aca="false">IF(ABS(I124)&gt;=0.2,"controleren","")</f>
        <v/>
      </c>
      <c r="L124" s="13" t="n">
        <v>127.18</v>
      </c>
      <c r="M124" s="17" t="n">
        <f aca="false">IFERROR(1-D124/L124,0)</f>
        <v>0.449992137128479</v>
      </c>
      <c r="N124" s="17" t="n">
        <f aca="false">IF(Tiers!$B$15="ja",Tiers!$B$16,M124)</f>
        <v>0.449992137128479</v>
      </c>
      <c r="O124" s="13" t="n">
        <f aca="false">ROUNDUP(G124/(1-N124),0)-0.05</f>
        <v>118.95</v>
      </c>
      <c r="P124" s="17" t="n">
        <f aca="false">IFERROR(1-G124/O124,0)</f>
        <v>0.453972257250946</v>
      </c>
      <c r="Q124" s="12" t="n">
        <v>80</v>
      </c>
    </row>
    <row r="125" customFormat="false" ht="15" hidden="false" customHeight="false" outlineLevel="0" collapsed="false">
      <c r="A125" s="12" t="s">
        <v>291</v>
      </c>
      <c r="B125" s="12" t="s">
        <v>292</v>
      </c>
      <c r="C125" s="12" t="s">
        <v>11</v>
      </c>
      <c r="D125" s="13" t="n">
        <v>49.95</v>
      </c>
      <c r="E125" s="13" t="n">
        <f aca="false">IFERROR(INDEX(Tiers!$B$4:$B$12,MATCH(C125,Tiers!$A$4:$A$12,0)),D125)</f>
        <v>64.95</v>
      </c>
      <c r="F125" s="14"/>
      <c r="G125" s="15" t="n">
        <f aca="false">IF(F125="",E125,F125)</f>
        <v>64.95</v>
      </c>
      <c r="H125" s="16" t="n">
        <f aca="false">G125-D125</f>
        <v>15</v>
      </c>
      <c r="I125" s="17" t="n">
        <f aca="false">IFERROR((G125-D125)/D125,0)</f>
        <v>0.3003003003003</v>
      </c>
      <c r="J125" s="12" t="str">
        <f aca="false">IF(G125&gt;D125,"Omhoog",IF(G125&lt;D125,"Omlaag","Gelijk"))</f>
        <v>Omhoog</v>
      </c>
      <c r="K125" s="18" t="str">
        <f aca="false">IF(ABS(I125)&gt;=0.2,"controleren","")</f>
        <v>controleren</v>
      </c>
      <c r="L125" s="13" t="n">
        <v>83.25</v>
      </c>
      <c r="M125" s="17" t="n">
        <f aca="false">IFERROR(1-D125/L125,0)</f>
        <v>0.4</v>
      </c>
      <c r="N125" s="17" t="n">
        <f aca="false">IF(Tiers!$B$15="ja",Tiers!$B$16,M125)</f>
        <v>0.4</v>
      </c>
      <c r="O125" s="13" t="n">
        <f aca="false">ROUNDUP(G125/(1-N125),0)-0.05</f>
        <v>108.95</v>
      </c>
      <c r="P125" s="17" t="n">
        <f aca="false">IFERROR(1-G125/O125,0)</f>
        <v>0.403854979348325</v>
      </c>
      <c r="Q125" s="12" t="n">
        <v>5</v>
      </c>
    </row>
    <row r="126" customFormat="false" ht="15" hidden="false" customHeight="false" outlineLevel="0" collapsed="false">
      <c r="A126" s="12" t="s">
        <v>293</v>
      </c>
      <c r="B126" s="12" t="s">
        <v>294</v>
      </c>
      <c r="C126" s="12" t="s">
        <v>11</v>
      </c>
      <c r="D126" s="13" t="n">
        <v>59.95</v>
      </c>
      <c r="E126" s="13" t="n">
        <f aca="false">IFERROR(INDEX(Tiers!$B$4:$B$12,MATCH(C126,Tiers!$A$4:$A$12,0)),D126)</f>
        <v>64.95</v>
      </c>
      <c r="F126" s="14"/>
      <c r="G126" s="15" t="n">
        <f aca="false">IF(F126="",E126,F126)</f>
        <v>64.95</v>
      </c>
      <c r="H126" s="16" t="n">
        <f aca="false">G126-D126</f>
        <v>5</v>
      </c>
      <c r="I126" s="17" t="n">
        <f aca="false">IFERROR((G126-D126)/D126,0)</f>
        <v>0.0834028356964137</v>
      </c>
      <c r="J126" s="12" t="str">
        <f aca="false">IF(G126&gt;D126,"Omhoog",IF(G126&lt;D126,"Omlaag","Gelijk"))</f>
        <v>Omhoog</v>
      </c>
      <c r="K126" s="18" t="str">
        <f aca="false">IF(ABS(I126)&gt;=0.2,"controleren","")</f>
        <v/>
      </c>
      <c r="L126" s="13" t="n">
        <v>99.92</v>
      </c>
      <c r="M126" s="17" t="n">
        <f aca="false">IFERROR(1-D126/L126,0)</f>
        <v>0.40002001601281</v>
      </c>
      <c r="N126" s="17" t="n">
        <f aca="false">IF(Tiers!$B$15="ja",Tiers!$B$16,M126)</f>
        <v>0.40002001601281</v>
      </c>
      <c r="O126" s="13" t="n">
        <f aca="false">ROUNDUP(G126/(1-N126),0)-0.05</f>
        <v>108.95</v>
      </c>
      <c r="P126" s="17" t="n">
        <f aca="false">IFERROR(1-G126/O126,0)</f>
        <v>0.403854979348325</v>
      </c>
      <c r="Q126" s="12" t="n">
        <v>84</v>
      </c>
    </row>
    <row r="127" customFormat="false" ht="15" hidden="false" customHeight="false" outlineLevel="0" collapsed="false">
      <c r="A127" s="12" t="s">
        <v>295</v>
      </c>
      <c r="B127" s="12" t="s">
        <v>296</v>
      </c>
      <c r="C127" s="12" t="s">
        <v>11</v>
      </c>
      <c r="D127" s="13" t="n">
        <v>69.95</v>
      </c>
      <c r="E127" s="13" t="n">
        <f aca="false">IFERROR(INDEX(Tiers!$B$4:$B$12,MATCH(C127,Tiers!$A$4:$A$12,0)),D127)</f>
        <v>64.95</v>
      </c>
      <c r="F127" s="14"/>
      <c r="G127" s="15" t="n">
        <f aca="false">IF(F127="",E127,F127)</f>
        <v>64.95</v>
      </c>
      <c r="H127" s="16" t="n">
        <f aca="false">G127-D127</f>
        <v>-5</v>
      </c>
      <c r="I127" s="17" t="n">
        <f aca="false">IFERROR((G127-D127)/D127,0)</f>
        <v>-0.0714796283059328</v>
      </c>
      <c r="J127" s="12" t="str">
        <f aca="false">IF(G127&gt;D127,"Omhoog",IF(G127&lt;D127,"Omlaag","Gelijk"))</f>
        <v>Omlaag</v>
      </c>
      <c r="K127" s="18" t="str">
        <f aca="false">IF(ABS(I127)&gt;=0.2,"controleren","")</f>
        <v/>
      </c>
      <c r="L127" s="13" t="n">
        <v>127.18</v>
      </c>
      <c r="M127" s="17" t="n">
        <f aca="false">IFERROR(1-D127/L127,0)</f>
        <v>0.449992137128479</v>
      </c>
      <c r="N127" s="17" t="n">
        <f aca="false">IF(Tiers!$B$15="ja",Tiers!$B$16,M127)</f>
        <v>0.449992137128479</v>
      </c>
      <c r="O127" s="13" t="n">
        <f aca="false">ROUNDUP(G127/(1-N127),0)-0.05</f>
        <v>118.95</v>
      </c>
      <c r="P127" s="17" t="n">
        <f aca="false">IFERROR(1-G127/O127,0)</f>
        <v>0.453972257250946</v>
      </c>
      <c r="Q127" s="12" t="n">
        <v>30</v>
      </c>
    </row>
    <row r="128" customFormat="false" ht="15" hidden="false" customHeight="false" outlineLevel="0" collapsed="false">
      <c r="A128" s="12" t="s">
        <v>297</v>
      </c>
      <c r="B128" s="12" t="s">
        <v>298</v>
      </c>
      <c r="C128" s="12" t="s">
        <v>11</v>
      </c>
      <c r="D128" s="13" t="n">
        <v>49.95</v>
      </c>
      <c r="E128" s="13" t="n">
        <f aca="false">IFERROR(INDEX(Tiers!$B$4:$B$12,MATCH(C128,Tiers!$A$4:$A$12,0)),D128)</f>
        <v>64.95</v>
      </c>
      <c r="F128" s="14"/>
      <c r="G128" s="15" t="n">
        <f aca="false">IF(F128="",E128,F128)</f>
        <v>64.95</v>
      </c>
      <c r="H128" s="16" t="n">
        <f aca="false">G128-D128</f>
        <v>15</v>
      </c>
      <c r="I128" s="17" t="n">
        <f aca="false">IFERROR((G128-D128)/D128,0)</f>
        <v>0.3003003003003</v>
      </c>
      <c r="J128" s="12" t="str">
        <f aca="false">IF(G128&gt;D128,"Omhoog",IF(G128&lt;D128,"Omlaag","Gelijk"))</f>
        <v>Omhoog</v>
      </c>
      <c r="K128" s="18" t="str">
        <f aca="false">IF(ABS(I128)&gt;=0.2,"controleren","")</f>
        <v>controleren</v>
      </c>
      <c r="L128" s="13" t="n">
        <v>83.25</v>
      </c>
      <c r="M128" s="17" t="n">
        <f aca="false">IFERROR(1-D128/L128,0)</f>
        <v>0.4</v>
      </c>
      <c r="N128" s="17" t="n">
        <f aca="false">IF(Tiers!$B$15="ja",Tiers!$B$16,M128)</f>
        <v>0.4</v>
      </c>
      <c r="O128" s="13" t="n">
        <f aca="false">ROUNDUP(G128/(1-N128),0)-0.05</f>
        <v>108.95</v>
      </c>
      <c r="P128" s="17" t="n">
        <f aca="false">IFERROR(1-G128/O128,0)</f>
        <v>0.403854979348325</v>
      </c>
      <c r="Q128" s="12" t="n">
        <v>16</v>
      </c>
    </row>
    <row r="129" customFormat="false" ht="15" hidden="false" customHeight="false" outlineLevel="0" collapsed="false">
      <c r="A129" s="12" t="s">
        <v>299</v>
      </c>
      <c r="B129" s="12" t="s">
        <v>300</v>
      </c>
      <c r="C129" s="12" t="s">
        <v>11</v>
      </c>
      <c r="D129" s="13" t="n">
        <v>69.95</v>
      </c>
      <c r="E129" s="13" t="n">
        <f aca="false">IFERROR(INDEX(Tiers!$B$4:$B$12,MATCH(C129,Tiers!$A$4:$A$12,0)),D129)</f>
        <v>64.95</v>
      </c>
      <c r="F129" s="14"/>
      <c r="G129" s="15" t="n">
        <f aca="false">IF(F129="",E129,F129)</f>
        <v>64.95</v>
      </c>
      <c r="H129" s="16" t="n">
        <f aca="false">G129-D129</f>
        <v>-5</v>
      </c>
      <c r="I129" s="17" t="n">
        <f aca="false">IFERROR((G129-D129)/D129,0)</f>
        <v>-0.0714796283059328</v>
      </c>
      <c r="J129" s="12" t="str">
        <f aca="false">IF(G129&gt;D129,"Omhoog",IF(G129&lt;D129,"Omlaag","Gelijk"))</f>
        <v>Omlaag</v>
      </c>
      <c r="K129" s="18" t="str">
        <f aca="false">IF(ABS(I129)&gt;=0.2,"controleren","")</f>
        <v/>
      </c>
      <c r="L129" s="13" t="n">
        <v>116.58</v>
      </c>
      <c r="M129" s="17" t="n">
        <f aca="false">IFERROR(1-D129/L129,0)</f>
        <v>0.399982844398696</v>
      </c>
      <c r="N129" s="17" t="n">
        <f aca="false">IF(Tiers!$B$15="ja",Tiers!$B$16,M129)</f>
        <v>0.399982844398696</v>
      </c>
      <c r="O129" s="13" t="n">
        <f aca="false">ROUNDUP(G129/(1-N129),0)-0.05</f>
        <v>108.95</v>
      </c>
      <c r="P129" s="17" t="n">
        <f aca="false">IFERROR(1-G129/O129,0)</f>
        <v>0.403854979348325</v>
      </c>
      <c r="Q129" s="12" t="n">
        <v>5</v>
      </c>
    </row>
    <row r="130" customFormat="false" ht="15" hidden="false" customHeight="false" outlineLevel="0" collapsed="false">
      <c r="A130" s="12" t="s">
        <v>301</v>
      </c>
      <c r="B130" s="12" t="s">
        <v>302</v>
      </c>
      <c r="C130" s="12" t="s">
        <v>11</v>
      </c>
      <c r="D130" s="13" t="n">
        <v>64.95</v>
      </c>
      <c r="E130" s="13" t="n">
        <f aca="false">IFERROR(INDEX(Tiers!$B$4:$B$12,MATCH(C130,Tiers!$A$4:$A$12,0)),D130)</f>
        <v>64.95</v>
      </c>
      <c r="F130" s="14"/>
      <c r="G130" s="15" t="n">
        <f aca="false">IF(F130="",E130,F130)</f>
        <v>64.95</v>
      </c>
      <c r="H130" s="16" t="n">
        <f aca="false">G130-D130</f>
        <v>0</v>
      </c>
      <c r="I130" s="17" t="n">
        <f aca="false">IFERROR((G130-D130)/D130,0)</f>
        <v>0</v>
      </c>
      <c r="J130" s="12" t="str">
        <f aca="false">IF(G130&gt;D130,"Omhoog",IF(G130&lt;D130,"Omlaag","Gelijk"))</f>
        <v>Gelijk</v>
      </c>
      <c r="K130" s="18" t="str">
        <f aca="false">IF(ABS(I130)&gt;=0.2,"controleren","")</f>
        <v/>
      </c>
      <c r="L130" s="13" t="n">
        <v>108.25</v>
      </c>
      <c r="M130" s="17" t="n">
        <f aca="false">IFERROR(1-D130/L130,0)</f>
        <v>0.4</v>
      </c>
      <c r="N130" s="17" t="n">
        <f aca="false">IF(Tiers!$B$15="ja",Tiers!$B$16,M130)</f>
        <v>0.4</v>
      </c>
      <c r="O130" s="13" t="n">
        <f aca="false">ROUNDUP(G130/(1-N130),0)-0.05</f>
        <v>108.95</v>
      </c>
      <c r="P130" s="17" t="n">
        <f aca="false">IFERROR(1-G130/O130,0)</f>
        <v>0.403854979348325</v>
      </c>
      <c r="Q130" s="12" t="n">
        <v>10</v>
      </c>
    </row>
    <row r="131" customFormat="false" ht="15" hidden="false" customHeight="false" outlineLevel="0" collapsed="false">
      <c r="A131" s="12" t="s">
        <v>303</v>
      </c>
      <c r="B131" s="12" t="s">
        <v>304</v>
      </c>
      <c r="C131" s="12" t="s">
        <v>11</v>
      </c>
      <c r="D131" s="13" t="n">
        <v>69.95</v>
      </c>
      <c r="E131" s="13" t="n">
        <f aca="false">IFERROR(INDEX(Tiers!$B$4:$B$12,MATCH(C131,Tiers!$A$4:$A$12,0)),D131)</f>
        <v>64.95</v>
      </c>
      <c r="F131" s="14"/>
      <c r="G131" s="15" t="n">
        <f aca="false">IF(F131="",E131,F131)</f>
        <v>64.95</v>
      </c>
      <c r="H131" s="16" t="n">
        <f aca="false">G131-D131</f>
        <v>-5</v>
      </c>
      <c r="I131" s="17" t="n">
        <f aca="false">IFERROR((G131-D131)/D131,0)</f>
        <v>-0.0714796283059328</v>
      </c>
      <c r="J131" s="12" t="str">
        <f aca="false">IF(G131&gt;D131,"Omhoog",IF(G131&lt;D131,"Omlaag","Gelijk"))</f>
        <v>Omlaag</v>
      </c>
      <c r="K131" s="18" t="str">
        <f aca="false">IF(ABS(I131)&gt;=0.2,"controleren","")</f>
        <v/>
      </c>
      <c r="L131" s="13" t="n">
        <v>127.18</v>
      </c>
      <c r="M131" s="17" t="n">
        <f aca="false">IFERROR(1-D131/L131,0)</f>
        <v>0.449992137128479</v>
      </c>
      <c r="N131" s="17" t="n">
        <f aca="false">IF(Tiers!$B$15="ja",Tiers!$B$16,M131)</f>
        <v>0.449992137128479</v>
      </c>
      <c r="O131" s="13" t="n">
        <f aca="false">ROUNDUP(G131/(1-N131),0)-0.05</f>
        <v>118.95</v>
      </c>
      <c r="P131" s="17" t="n">
        <f aca="false">IFERROR(1-G131/O131,0)</f>
        <v>0.453972257250946</v>
      </c>
      <c r="Q131" s="12" t="n">
        <v>24</v>
      </c>
    </row>
    <row r="132" customFormat="false" ht="15" hidden="false" customHeight="false" outlineLevel="0" collapsed="false">
      <c r="A132" s="12" t="s">
        <v>305</v>
      </c>
      <c r="B132" s="12" t="s">
        <v>306</v>
      </c>
      <c r="C132" s="12" t="s">
        <v>11</v>
      </c>
      <c r="D132" s="13" t="n">
        <v>54.95</v>
      </c>
      <c r="E132" s="13" t="n">
        <f aca="false">IFERROR(INDEX(Tiers!$B$4:$B$12,MATCH(C132,Tiers!$A$4:$A$12,0)),D132)</f>
        <v>64.95</v>
      </c>
      <c r="F132" s="14"/>
      <c r="G132" s="15" t="n">
        <f aca="false">IF(F132="",E132,F132)</f>
        <v>64.95</v>
      </c>
      <c r="H132" s="16" t="n">
        <f aca="false">G132-D132</f>
        <v>10</v>
      </c>
      <c r="I132" s="17" t="n">
        <f aca="false">IFERROR((G132-D132)/D132,0)</f>
        <v>0.181983621474067</v>
      </c>
      <c r="J132" s="12" t="str">
        <f aca="false">IF(G132&gt;D132,"Omhoog",IF(G132&lt;D132,"Omlaag","Gelijk"))</f>
        <v>Omhoog</v>
      </c>
      <c r="K132" s="18" t="str">
        <f aca="false">IF(ABS(I132)&gt;=0.2,"controleren","")</f>
        <v/>
      </c>
      <c r="L132" s="13" t="n">
        <v>91.58</v>
      </c>
      <c r="M132" s="17" t="n">
        <f aca="false">IFERROR(1-D132/L132,0)</f>
        <v>0.399978161170561</v>
      </c>
      <c r="N132" s="17" t="n">
        <f aca="false">IF(Tiers!$B$15="ja",Tiers!$B$16,M132)</f>
        <v>0.399978161170561</v>
      </c>
      <c r="O132" s="13" t="n">
        <f aca="false">ROUNDUP(G132/(1-N132),0)-0.05</f>
        <v>108.95</v>
      </c>
      <c r="P132" s="17" t="n">
        <f aca="false">IFERROR(1-G132/O132,0)</f>
        <v>0.403854979348325</v>
      </c>
      <c r="Q132" s="12" t="n">
        <v>28</v>
      </c>
    </row>
    <row r="133" customFormat="false" ht="15" hidden="false" customHeight="false" outlineLevel="0" collapsed="false">
      <c r="A133" s="12" t="s">
        <v>307</v>
      </c>
      <c r="B133" s="12" t="s">
        <v>308</v>
      </c>
      <c r="C133" s="12" t="s">
        <v>13</v>
      </c>
      <c r="D133" s="13" t="n">
        <v>69.95</v>
      </c>
      <c r="E133" s="13" t="n">
        <f aca="false">IFERROR(INDEX(Tiers!$B$4:$B$12,MATCH(C133,Tiers!$A$4:$A$12,0)),D133)</f>
        <v>84.95</v>
      </c>
      <c r="F133" s="14"/>
      <c r="G133" s="15" t="n">
        <f aca="false">IF(F133="",E133,F133)</f>
        <v>84.95</v>
      </c>
      <c r="H133" s="16" t="n">
        <f aca="false">G133-D133</f>
        <v>15</v>
      </c>
      <c r="I133" s="17" t="n">
        <f aca="false">IFERROR((G133-D133)/D133,0)</f>
        <v>0.214438884917798</v>
      </c>
      <c r="J133" s="12" t="str">
        <f aca="false">IF(G133&gt;D133,"Omhoog",IF(G133&lt;D133,"Omlaag","Gelijk"))</f>
        <v>Omhoog</v>
      </c>
      <c r="K133" s="18" t="str">
        <f aca="false">IF(ABS(I133)&gt;=0.2,"controleren","")</f>
        <v>controleren</v>
      </c>
      <c r="L133" s="13" t="n">
        <v>139.9</v>
      </c>
      <c r="M133" s="17" t="n">
        <f aca="false">IFERROR(1-D133/L133,0)</f>
        <v>0.5</v>
      </c>
      <c r="N133" s="17" t="n">
        <f aca="false">IF(Tiers!$B$15="ja",Tiers!$B$16,M133)</f>
        <v>0.5</v>
      </c>
      <c r="O133" s="13" t="n">
        <f aca="false">ROUNDUP(G133/(1-N133),0)-0.05</f>
        <v>169.95</v>
      </c>
      <c r="P133" s="17" t="n">
        <f aca="false">IFERROR(1-G133/O133,0)</f>
        <v>0.50014710208885</v>
      </c>
      <c r="Q133" s="12" t="n">
        <v>30</v>
      </c>
    </row>
    <row r="134" customFormat="false" ht="15" hidden="false" customHeight="false" outlineLevel="0" collapsed="false">
      <c r="A134" s="12" t="s">
        <v>309</v>
      </c>
      <c r="B134" s="12" t="s">
        <v>310</v>
      </c>
      <c r="C134" s="12" t="s">
        <v>13</v>
      </c>
      <c r="D134" s="13" t="n">
        <v>89.95</v>
      </c>
      <c r="E134" s="13" t="n">
        <f aca="false">IFERROR(INDEX(Tiers!$B$4:$B$12,MATCH(C134,Tiers!$A$4:$A$12,0)),D134)</f>
        <v>84.95</v>
      </c>
      <c r="F134" s="14"/>
      <c r="G134" s="15" t="n">
        <f aca="false">IF(F134="",E134,F134)</f>
        <v>84.95</v>
      </c>
      <c r="H134" s="16" t="n">
        <f aca="false">G134-D134</f>
        <v>-5</v>
      </c>
      <c r="I134" s="17" t="n">
        <f aca="false">IFERROR((G134-D134)/D134,0)</f>
        <v>-0.0555864369093941</v>
      </c>
      <c r="J134" s="12" t="str">
        <f aca="false">IF(G134&gt;D134,"Omhoog",IF(G134&lt;D134,"Omlaag","Gelijk"))</f>
        <v>Omlaag</v>
      </c>
      <c r="K134" s="18" t="str">
        <f aca="false">IF(ABS(I134)&gt;=0.2,"controleren","")</f>
        <v/>
      </c>
      <c r="L134" s="13" t="n">
        <v>149.92</v>
      </c>
      <c r="M134" s="17" t="n">
        <f aca="false">IFERROR(1-D134/L134,0)</f>
        <v>0.400013340448239</v>
      </c>
      <c r="N134" s="17" t="n">
        <f aca="false">IF(Tiers!$B$15="ja",Tiers!$B$16,M134)</f>
        <v>0.400013340448239</v>
      </c>
      <c r="O134" s="13" t="n">
        <f aca="false">ROUNDUP(G134/(1-N134),0)-0.05</f>
        <v>141.95</v>
      </c>
      <c r="P134" s="17" t="n">
        <f aca="false">IFERROR(1-G134/O134,0)</f>
        <v>0.401549841493484</v>
      </c>
      <c r="Q134" s="12" t="n">
        <v>28</v>
      </c>
    </row>
    <row r="135" customFormat="false" ht="15" hidden="false" customHeight="false" outlineLevel="0" collapsed="false">
      <c r="A135" s="12" t="s">
        <v>311</v>
      </c>
      <c r="B135" s="12" t="s">
        <v>312</v>
      </c>
      <c r="C135" s="12" t="s">
        <v>13</v>
      </c>
      <c r="D135" s="13" t="n">
        <v>89.95</v>
      </c>
      <c r="E135" s="13" t="n">
        <f aca="false">IFERROR(INDEX(Tiers!$B$4:$B$12,MATCH(C135,Tiers!$A$4:$A$12,0)),D135)</f>
        <v>84.95</v>
      </c>
      <c r="F135" s="14"/>
      <c r="G135" s="15" t="n">
        <f aca="false">IF(F135="",E135,F135)</f>
        <v>84.95</v>
      </c>
      <c r="H135" s="16" t="n">
        <f aca="false">G135-D135</f>
        <v>-5</v>
      </c>
      <c r="I135" s="17" t="n">
        <f aca="false">IFERROR((G135-D135)/D135,0)</f>
        <v>-0.0555864369093941</v>
      </c>
      <c r="J135" s="12" t="str">
        <f aca="false">IF(G135&gt;D135,"Omhoog",IF(G135&lt;D135,"Omlaag","Gelijk"))</f>
        <v>Omlaag</v>
      </c>
      <c r="K135" s="18" t="str">
        <f aca="false">IF(ABS(I135)&gt;=0.2,"controleren","")</f>
        <v/>
      </c>
      <c r="L135" s="13" t="n">
        <v>179.9</v>
      </c>
      <c r="M135" s="17" t="n">
        <f aca="false">IFERROR(1-D135/L135,0)</f>
        <v>0.5</v>
      </c>
      <c r="N135" s="17" t="n">
        <f aca="false">IF(Tiers!$B$15="ja",Tiers!$B$16,M135)</f>
        <v>0.5</v>
      </c>
      <c r="O135" s="13" t="n">
        <f aca="false">ROUNDUP(G135/(1-N135),0)-0.05</f>
        <v>169.95</v>
      </c>
      <c r="P135" s="17" t="n">
        <f aca="false">IFERROR(1-G135/O135,0)</f>
        <v>0.50014710208885</v>
      </c>
      <c r="Q135" s="12" t="n">
        <v>24</v>
      </c>
    </row>
    <row r="136" customFormat="false" ht="15" hidden="false" customHeight="false" outlineLevel="0" collapsed="false">
      <c r="A136" s="12" t="s">
        <v>313</v>
      </c>
      <c r="B136" s="12" t="s">
        <v>314</v>
      </c>
      <c r="C136" s="12" t="s">
        <v>13</v>
      </c>
      <c r="D136" s="13" t="n">
        <v>74.95</v>
      </c>
      <c r="E136" s="13" t="n">
        <f aca="false">IFERROR(INDEX(Tiers!$B$4:$B$12,MATCH(C136,Tiers!$A$4:$A$12,0)),D136)</f>
        <v>84.95</v>
      </c>
      <c r="F136" s="14"/>
      <c r="G136" s="15" t="n">
        <f aca="false">IF(F136="",E136,F136)</f>
        <v>84.95</v>
      </c>
      <c r="H136" s="16" t="n">
        <f aca="false">G136-D136</f>
        <v>10</v>
      </c>
      <c r="I136" s="17" t="n">
        <f aca="false">IFERROR((G136-D136)/D136,0)</f>
        <v>0.133422281521014</v>
      </c>
      <c r="J136" s="12" t="str">
        <f aca="false">IF(G136&gt;D136,"Omhoog",IF(G136&lt;D136,"Omlaag","Gelijk"))</f>
        <v>Omhoog</v>
      </c>
      <c r="K136" s="18" t="str">
        <f aca="false">IF(ABS(I136)&gt;=0.2,"controleren","")</f>
        <v/>
      </c>
      <c r="L136" s="13" t="n">
        <v>149.9</v>
      </c>
      <c r="M136" s="17" t="n">
        <f aca="false">IFERROR(1-D136/L136,0)</f>
        <v>0.5</v>
      </c>
      <c r="N136" s="17" t="n">
        <f aca="false">IF(Tiers!$B$15="ja",Tiers!$B$16,M136)</f>
        <v>0.5</v>
      </c>
      <c r="O136" s="13" t="n">
        <f aca="false">ROUNDUP(G136/(1-N136),0)-0.05</f>
        <v>169.95</v>
      </c>
      <c r="P136" s="17" t="n">
        <f aca="false">IFERROR(1-G136/O136,0)</f>
        <v>0.50014710208885</v>
      </c>
      <c r="Q136" s="12" t="n">
        <v>28</v>
      </c>
    </row>
    <row r="137" customFormat="false" ht="15" hidden="false" customHeight="false" outlineLevel="0" collapsed="false">
      <c r="A137" s="12" t="s">
        <v>315</v>
      </c>
      <c r="B137" s="12" t="s">
        <v>316</v>
      </c>
      <c r="C137" s="12" t="s">
        <v>13</v>
      </c>
      <c r="D137" s="13" t="n">
        <v>69.95</v>
      </c>
      <c r="E137" s="13" t="n">
        <f aca="false">IFERROR(INDEX(Tiers!$B$4:$B$12,MATCH(C137,Tiers!$A$4:$A$12,0)),D137)</f>
        <v>84.95</v>
      </c>
      <c r="F137" s="14"/>
      <c r="G137" s="15" t="n">
        <f aca="false">IF(F137="",E137,F137)</f>
        <v>84.95</v>
      </c>
      <c r="H137" s="16" t="n">
        <f aca="false">G137-D137</f>
        <v>15</v>
      </c>
      <c r="I137" s="17" t="n">
        <f aca="false">IFERROR((G137-D137)/D137,0)</f>
        <v>0.214438884917798</v>
      </c>
      <c r="J137" s="12" t="str">
        <f aca="false">IF(G137&gt;D137,"Omhoog",IF(G137&lt;D137,"Omlaag","Gelijk"))</f>
        <v>Omhoog</v>
      </c>
      <c r="K137" s="18" t="str">
        <f aca="false">IF(ABS(I137)&gt;=0.2,"controleren","")</f>
        <v>controleren</v>
      </c>
      <c r="L137" s="13" t="n">
        <v>139.9</v>
      </c>
      <c r="M137" s="17" t="n">
        <f aca="false">IFERROR(1-D137/L137,0)</f>
        <v>0.5</v>
      </c>
      <c r="N137" s="17" t="n">
        <f aca="false">IF(Tiers!$B$15="ja",Tiers!$B$16,M137)</f>
        <v>0.5</v>
      </c>
      <c r="O137" s="13" t="n">
        <f aca="false">ROUNDUP(G137/(1-N137),0)-0.05</f>
        <v>169.95</v>
      </c>
      <c r="P137" s="17" t="n">
        <f aca="false">IFERROR(1-G137/O137,0)</f>
        <v>0.50014710208885</v>
      </c>
      <c r="Q137" s="12" t="n">
        <v>18</v>
      </c>
    </row>
    <row r="138" customFormat="false" ht="15" hidden="false" customHeight="false" outlineLevel="0" collapsed="false">
      <c r="A138" s="12" t="s">
        <v>317</v>
      </c>
      <c r="B138" s="12" t="s">
        <v>318</v>
      </c>
      <c r="C138" s="12" t="s">
        <v>13</v>
      </c>
      <c r="D138" s="13" t="n">
        <v>89.95</v>
      </c>
      <c r="E138" s="13" t="n">
        <f aca="false">IFERROR(INDEX(Tiers!$B$4:$B$12,MATCH(C138,Tiers!$A$4:$A$12,0)),D138)</f>
        <v>84.95</v>
      </c>
      <c r="F138" s="14"/>
      <c r="G138" s="15" t="n">
        <f aca="false">IF(F138="",E138,F138)</f>
        <v>84.95</v>
      </c>
      <c r="H138" s="16" t="n">
        <f aca="false">G138-D138</f>
        <v>-5</v>
      </c>
      <c r="I138" s="17" t="n">
        <f aca="false">IFERROR((G138-D138)/D138,0)</f>
        <v>-0.0555864369093941</v>
      </c>
      <c r="J138" s="12" t="str">
        <f aca="false">IF(G138&gt;D138,"Omhoog",IF(G138&lt;D138,"Omlaag","Gelijk"))</f>
        <v>Omlaag</v>
      </c>
      <c r="K138" s="18" t="str">
        <f aca="false">IF(ABS(I138)&gt;=0.2,"controleren","")</f>
        <v/>
      </c>
      <c r="L138" s="13" t="n">
        <v>149.92</v>
      </c>
      <c r="M138" s="17" t="n">
        <f aca="false">IFERROR(1-D138/L138,0)</f>
        <v>0.400013340448239</v>
      </c>
      <c r="N138" s="17" t="n">
        <f aca="false">IF(Tiers!$B$15="ja",Tiers!$B$16,M138)</f>
        <v>0.400013340448239</v>
      </c>
      <c r="O138" s="13" t="n">
        <f aca="false">ROUNDUP(G138/(1-N138),0)-0.05</f>
        <v>141.95</v>
      </c>
      <c r="P138" s="17" t="n">
        <f aca="false">IFERROR(1-G138/O138,0)</f>
        <v>0.401549841493484</v>
      </c>
      <c r="Q138" s="12" t="n">
        <v>8</v>
      </c>
    </row>
    <row r="139" customFormat="false" ht="15" hidden="false" customHeight="false" outlineLevel="0" collapsed="false">
      <c r="A139" s="12" t="s">
        <v>319</v>
      </c>
      <c r="B139" s="12" t="s">
        <v>320</v>
      </c>
      <c r="C139" s="12" t="s">
        <v>13</v>
      </c>
      <c r="D139" s="13" t="n">
        <v>69.95</v>
      </c>
      <c r="E139" s="13" t="n">
        <f aca="false">IFERROR(INDEX(Tiers!$B$4:$B$12,MATCH(C139,Tiers!$A$4:$A$12,0)),D139)</f>
        <v>84.95</v>
      </c>
      <c r="F139" s="14"/>
      <c r="G139" s="15" t="n">
        <f aca="false">IF(F139="",E139,F139)</f>
        <v>84.95</v>
      </c>
      <c r="H139" s="16" t="n">
        <f aca="false">G139-D139</f>
        <v>15</v>
      </c>
      <c r="I139" s="17" t="n">
        <f aca="false">IFERROR((G139-D139)/D139,0)</f>
        <v>0.214438884917798</v>
      </c>
      <c r="J139" s="12" t="str">
        <f aca="false">IF(G139&gt;D139,"Omhoog",IF(G139&lt;D139,"Omlaag","Gelijk"))</f>
        <v>Omhoog</v>
      </c>
      <c r="K139" s="18" t="str">
        <f aca="false">IF(ABS(I139)&gt;=0.2,"controleren","")</f>
        <v>controleren</v>
      </c>
      <c r="L139" s="13" t="n">
        <v>127.18</v>
      </c>
      <c r="M139" s="17" t="n">
        <f aca="false">IFERROR(1-D139/L139,0)</f>
        <v>0.449992137128479</v>
      </c>
      <c r="N139" s="17" t="n">
        <f aca="false">IF(Tiers!$B$15="ja",Tiers!$B$16,M139)</f>
        <v>0.449992137128479</v>
      </c>
      <c r="O139" s="13" t="n">
        <f aca="false">ROUNDUP(G139/(1-N139),0)-0.05</f>
        <v>154.95</v>
      </c>
      <c r="P139" s="17" t="n">
        <f aca="false">IFERROR(1-G139/O139,0)</f>
        <v>0.451758631816715</v>
      </c>
      <c r="Q139" s="12" t="n">
        <v>12</v>
      </c>
    </row>
    <row r="140" customFormat="false" ht="15" hidden="false" customHeight="false" outlineLevel="0" collapsed="false">
      <c r="A140" s="12" t="s">
        <v>321</v>
      </c>
      <c r="B140" s="12" t="s">
        <v>322</v>
      </c>
      <c r="C140" s="12" t="s">
        <v>13</v>
      </c>
      <c r="D140" s="13" t="n">
        <v>69.95</v>
      </c>
      <c r="E140" s="13" t="n">
        <f aca="false">IFERROR(INDEX(Tiers!$B$4:$B$12,MATCH(C140,Tiers!$A$4:$A$12,0)),D140)</f>
        <v>84.95</v>
      </c>
      <c r="F140" s="14"/>
      <c r="G140" s="15" t="n">
        <f aca="false">IF(F140="",E140,F140)</f>
        <v>84.95</v>
      </c>
      <c r="H140" s="16" t="n">
        <f aca="false">G140-D140</f>
        <v>15</v>
      </c>
      <c r="I140" s="17" t="n">
        <f aca="false">IFERROR((G140-D140)/D140,0)</f>
        <v>0.214438884917798</v>
      </c>
      <c r="J140" s="12" t="str">
        <f aca="false">IF(G140&gt;D140,"Omhoog",IF(G140&lt;D140,"Omlaag","Gelijk"))</f>
        <v>Omhoog</v>
      </c>
      <c r="K140" s="18" t="str">
        <f aca="false">IF(ABS(I140)&gt;=0.2,"controleren","")</f>
        <v>controleren</v>
      </c>
      <c r="L140" s="13" t="n">
        <v>127.18</v>
      </c>
      <c r="M140" s="17" t="n">
        <f aca="false">IFERROR(1-D140/L140,0)</f>
        <v>0.449992137128479</v>
      </c>
      <c r="N140" s="17" t="n">
        <f aca="false">IF(Tiers!$B$15="ja",Tiers!$B$16,M140)</f>
        <v>0.449992137128479</v>
      </c>
      <c r="O140" s="13" t="n">
        <f aca="false">ROUNDUP(G140/(1-N140),0)-0.05</f>
        <v>154.95</v>
      </c>
      <c r="P140" s="17" t="n">
        <f aca="false">IFERROR(1-G140/O140,0)</f>
        <v>0.451758631816715</v>
      </c>
      <c r="Q140" s="12" t="n">
        <v>21</v>
      </c>
    </row>
    <row r="141" customFormat="false" ht="15" hidden="false" customHeight="false" outlineLevel="0" collapsed="false">
      <c r="A141" s="12" t="s">
        <v>323</v>
      </c>
      <c r="B141" s="12" t="s">
        <v>324</v>
      </c>
      <c r="C141" s="12" t="s">
        <v>13</v>
      </c>
      <c r="D141" s="13" t="n">
        <v>79.95</v>
      </c>
      <c r="E141" s="13" t="n">
        <f aca="false">IFERROR(INDEX(Tiers!$B$4:$B$12,MATCH(C141,Tiers!$A$4:$A$12,0)),D141)</f>
        <v>84.95</v>
      </c>
      <c r="F141" s="14"/>
      <c r="G141" s="15" t="n">
        <f aca="false">IF(F141="",E141,F141)</f>
        <v>84.95</v>
      </c>
      <c r="H141" s="16" t="n">
        <f aca="false">G141-D141</f>
        <v>5</v>
      </c>
      <c r="I141" s="17" t="n">
        <f aca="false">IFERROR((G141-D141)/D141,0)</f>
        <v>0.0625390869293308</v>
      </c>
      <c r="J141" s="12" t="str">
        <f aca="false">IF(G141&gt;D141,"Omhoog",IF(G141&lt;D141,"Omlaag","Gelijk"))</f>
        <v>Omhoog</v>
      </c>
      <c r="K141" s="18" t="str">
        <f aca="false">IF(ABS(I141)&gt;=0.2,"controleren","")</f>
        <v/>
      </c>
      <c r="L141" s="13" t="n">
        <v>159.9</v>
      </c>
      <c r="M141" s="17" t="n">
        <f aca="false">IFERROR(1-D141/L141,0)</f>
        <v>0.5</v>
      </c>
      <c r="N141" s="17" t="n">
        <f aca="false">IF(Tiers!$B$15="ja",Tiers!$B$16,M141)</f>
        <v>0.5</v>
      </c>
      <c r="O141" s="13" t="n">
        <f aca="false">ROUNDUP(G141/(1-N141),0)-0.05</f>
        <v>169.95</v>
      </c>
      <c r="P141" s="17" t="n">
        <f aca="false">IFERROR(1-G141/O141,0)</f>
        <v>0.50014710208885</v>
      </c>
      <c r="Q141" s="12" t="n">
        <v>14</v>
      </c>
    </row>
    <row r="142" customFormat="false" ht="15" hidden="false" customHeight="false" outlineLevel="0" collapsed="false">
      <c r="A142" s="12" t="s">
        <v>325</v>
      </c>
      <c r="B142" s="12" t="s">
        <v>326</v>
      </c>
      <c r="C142" s="12" t="s">
        <v>13</v>
      </c>
      <c r="D142" s="13" t="n">
        <v>89.95</v>
      </c>
      <c r="E142" s="13" t="n">
        <f aca="false">IFERROR(INDEX(Tiers!$B$4:$B$12,MATCH(C142,Tiers!$A$4:$A$12,0)),D142)</f>
        <v>84.95</v>
      </c>
      <c r="F142" s="14"/>
      <c r="G142" s="15" t="n">
        <f aca="false">IF(F142="",E142,F142)</f>
        <v>84.95</v>
      </c>
      <c r="H142" s="16" t="n">
        <f aca="false">G142-D142</f>
        <v>-5</v>
      </c>
      <c r="I142" s="17" t="n">
        <f aca="false">IFERROR((G142-D142)/D142,0)</f>
        <v>-0.0555864369093941</v>
      </c>
      <c r="J142" s="12" t="str">
        <f aca="false">IF(G142&gt;D142,"Omhoog",IF(G142&lt;D142,"Omlaag","Gelijk"))</f>
        <v>Omlaag</v>
      </c>
      <c r="K142" s="18" t="str">
        <f aca="false">IF(ABS(I142)&gt;=0.2,"controleren","")</f>
        <v/>
      </c>
      <c r="L142" s="13" t="n">
        <v>149.92</v>
      </c>
      <c r="M142" s="17" t="n">
        <f aca="false">IFERROR(1-D142/L142,0)</f>
        <v>0.400013340448239</v>
      </c>
      <c r="N142" s="17" t="n">
        <f aca="false">IF(Tiers!$B$15="ja",Tiers!$B$16,M142)</f>
        <v>0.400013340448239</v>
      </c>
      <c r="O142" s="13" t="n">
        <f aca="false">ROUNDUP(G142/(1-N142),0)-0.05</f>
        <v>141.95</v>
      </c>
      <c r="P142" s="17" t="n">
        <f aca="false">IFERROR(1-G142/O142,0)</f>
        <v>0.401549841493484</v>
      </c>
      <c r="Q142" s="12" t="n">
        <v>25</v>
      </c>
    </row>
    <row r="143" customFormat="false" ht="15" hidden="false" customHeight="false" outlineLevel="0" collapsed="false">
      <c r="A143" s="12" t="s">
        <v>327</v>
      </c>
      <c r="B143" s="12" t="s">
        <v>328</v>
      </c>
      <c r="C143" s="12" t="s">
        <v>13</v>
      </c>
      <c r="D143" s="13" t="n">
        <v>69.95</v>
      </c>
      <c r="E143" s="13" t="n">
        <f aca="false">IFERROR(INDEX(Tiers!$B$4:$B$12,MATCH(C143,Tiers!$A$4:$A$12,0)),D143)</f>
        <v>84.95</v>
      </c>
      <c r="F143" s="14"/>
      <c r="G143" s="15" t="n">
        <f aca="false">IF(F143="",E143,F143)</f>
        <v>84.95</v>
      </c>
      <c r="H143" s="16" t="n">
        <f aca="false">G143-D143</f>
        <v>15</v>
      </c>
      <c r="I143" s="17" t="n">
        <f aca="false">IFERROR((G143-D143)/D143,0)</f>
        <v>0.214438884917798</v>
      </c>
      <c r="J143" s="12" t="str">
        <f aca="false">IF(G143&gt;D143,"Omhoog",IF(G143&lt;D143,"Omlaag","Gelijk"))</f>
        <v>Omhoog</v>
      </c>
      <c r="K143" s="18" t="str">
        <f aca="false">IF(ABS(I143)&gt;=0.2,"controleren","")</f>
        <v>controleren</v>
      </c>
      <c r="L143" s="13" t="n">
        <v>116.58</v>
      </c>
      <c r="M143" s="17" t="n">
        <f aca="false">IFERROR(1-D143/L143,0)</f>
        <v>0.399982844398696</v>
      </c>
      <c r="N143" s="17" t="n">
        <f aca="false">IF(Tiers!$B$15="ja",Tiers!$B$16,M143)</f>
        <v>0.399982844398696</v>
      </c>
      <c r="O143" s="13" t="n">
        <f aca="false">ROUNDUP(G143/(1-N143),0)-0.05</f>
        <v>141.95</v>
      </c>
      <c r="P143" s="17" t="n">
        <f aca="false">IFERROR(1-G143/O143,0)</f>
        <v>0.401549841493484</v>
      </c>
      <c r="Q143" s="12" t="n">
        <v>14</v>
      </c>
    </row>
    <row r="144" customFormat="false" ht="15" hidden="false" customHeight="false" outlineLevel="0" collapsed="false">
      <c r="A144" s="12" t="s">
        <v>329</v>
      </c>
      <c r="B144" s="12" t="s">
        <v>330</v>
      </c>
      <c r="C144" s="12" t="s">
        <v>13</v>
      </c>
      <c r="D144" s="13" t="n">
        <v>99.95</v>
      </c>
      <c r="E144" s="13" t="n">
        <f aca="false">IFERROR(INDEX(Tiers!$B$4:$B$12,MATCH(C144,Tiers!$A$4:$A$12,0)),D144)</f>
        <v>84.95</v>
      </c>
      <c r="F144" s="14"/>
      <c r="G144" s="15" t="n">
        <f aca="false">IF(F144="",E144,F144)</f>
        <v>84.95</v>
      </c>
      <c r="H144" s="16" t="n">
        <f aca="false">G144-D144</f>
        <v>-15</v>
      </c>
      <c r="I144" s="17" t="n">
        <f aca="false">IFERROR((G144-D144)/D144,0)</f>
        <v>-0.150075037518759</v>
      </c>
      <c r="J144" s="12" t="str">
        <f aca="false">IF(G144&gt;D144,"Omhoog",IF(G144&lt;D144,"Omlaag","Gelijk"))</f>
        <v>Omlaag</v>
      </c>
      <c r="K144" s="18" t="str">
        <f aca="false">IF(ABS(I144)&gt;=0.2,"controleren","")</f>
        <v/>
      </c>
      <c r="L144" s="13" t="n">
        <v>181.73</v>
      </c>
      <c r="M144" s="17" t="n">
        <f aca="false">IFERROR(1-D144/L144,0)</f>
        <v>0.450008254003192</v>
      </c>
      <c r="N144" s="17" t="n">
        <f aca="false">IF(Tiers!$B$15="ja",Tiers!$B$16,M144)</f>
        <v>0.450008254003192</v>
      </c>
      <c r="O144" s="13" t="n">
        <f aca="false">ROUNDUP(G144/(1-N144),0)-0.05</f>
        <v>154.95</v>
      </c>
      <c r="P144" s="17" t="n">
        <f aca="false">IFERROR(1-G144/O144,0)</f>
        <v>0.451758631816715</v>
      </c>
      <c r="Q144" s="12" t="n">
        <v>10</v>
      </c>
    </row>
    <row r="145" customFormat="false" ht="15" hidden="false" customHeight="false" outlineLevel="0" collapsed="false">
      <c r="A145" s="12" t="s">
        <v>331</v>
      </c>
      <c r="B145" s="12" t="s">
        <v>332</v>
      </c>
      <c r="C145" s="12" t="s">
        <v>13</v>
      </c>
      <c r="D145" s="13" t="n">
        <v>79.95</v>
      </c>
      <c r="E145" s="13" t="n">
        <f aca="false">IFERROR(INDEX(Tiers!$B$4:$B$12,MATCH(C145,Tiers!$A$4:$A$12,0)),D145)</f>
        <v>84.95</v>
      </c>
      <c r="F145" s="14"/>
      <c r="G145" s="15" t="n">
        <f aca="false">IF(F145="",E145,F145)</f>
        <v>84.95</v>
      </c>
      <c r="H145" s="16" t="n">
        <f aca="false">G145-D145</f>
        <v>5</v>
      </c>
      <c r="I145" s="17" t="n">
        <f aca="false">IFERROR((G145-D145)/D145,0)</f>
        <v>0.0625390869293308</v>
      </c>
      <c r="J145" s="12" t="str">
        <f aca="false">IF(G145&gt;D145,"Omhoog",IF(G145&lt;D145,"Omlaag","Gelijk"))</f>
        <v>Omhoog</v>
      </c>
      <c r="K145" s="18" t="str">
        <f aca="false">IF(ABS(I145)&gt;=0.2,"controleren","")</f>
        <v/>
      </c>
      <c r="L145" s="13" t="n">
        <v>159.9</v>
      </c>
      <c r="M145" s="17" t="n">
        <f aca="false">IFERROR(1-D145/L145,0)</f>
        <v>0.5</v>
      </c>
      <c r="N145" s="17" t="n">
        <f aca="false">IF(Tiers!$B$15="ja",Tiers!$B$16,M145)</f>
        <v>0.5</v>
      </c>
      <c r="O145" s="13" t="n">
        <f aca="false">ROUNDUP(G145/(1-N145),0)-0.05</f>
        <v>169.95</v>
      </c>
      <c r="P145" s="17" t="n">
        <f aca="false">IFERROR(1-G145/O145,0)</f>
        <v>0.50014710208885</v>
      </c>
      <c r="Q145" s="12" t="n">
        <v>18</v>
      </c>
    </row>
    <row r="146" customFormat="false" ht="15" hidden="false" customHeight="false" outlineLevel="0" collapsed="false">
      <c r="A146" s="12" t="s">
        <v>333</v>
      </c>
      <c r="B146" s="12" t="s">
        <v>334</v>
      </c>
      <c r="C146" s="12" t="s">
        <v>13</v>
      </c>
      <c r="D146" s="13" t="n">
        <v>99.95</v>
      </c>
      <c r="E146" s="13" t="n">
        <f aca="false">IFERROR(INDEX(Tiers!$B$4:$B$12,MATCH(C146,Tiers!$A$4:$A$12,0)),D146)</f>
        <v>84.95</v>
      </c>
      <c r="F146" s="14"/>
      <c r="G146" s="15" t="n">
        <f aca="false">IF(F146="",E146,F146)</f>
        <v>84.95</v>
      </c>
      <c r="H146" s="16" t="n">
        <f aca="false">G146-D146</f>
        <v>-15</v>
      </c>
      <c r="I146" s="17" t="n">
        <f aca="false">IFERROR((G146-D146)/D146,0)</f>
        <v>-0.150075037518759</v>
      </c>
      <c r="J146" s="12" t="str">
        <f aca="false">IF(G146&gt;D146,"Omhoog",IF(G146&lt;D146,"Omlaag","Gelijk"))</f>
        <v>Omlaag</v>
      </c>
      <c r="K146" s="18" t="str">
        <f aca="false">IF(ABS(I146)&gt;=0.2,"controleren","")</f>
        <v/>
      </c>
      <c r="L146" s="13" t="n">
        <v>199.9</v>
      </c>
      <c r="M146" s="17" t="n">
        <f aca="false">IFERROR(1-D146/L146,0)</f>
        <v>0.5</v>
      </c>
      <c r="N146" s="17" t="n">
        <f aca="false">IF(Tiers!$B$15="ja",Tiers!$B$16,M146)</f>
        <v>0.5</v>
      </c>
      <c r="O146" s="13" t="n">
        <f aca="false">ROUNDUP(G146/(1-N146),0)-0.05</f>
        <v>169.95</v>
      </c>
      <c r="P146" s="17" t="n">
        <f aca="false">IFERROR(1-G146/O146,0)</f>
        <v>0.50014710208885</v>
      </c>
      <c r="Q146" s="12" t="n">
        <v>5</v>
      </c>
    </row>
    <row r="147" customFormat="false" ht="15" hidden="false" customHeight="false" outlineLevel="0" collapsed="false">
      <c r="A147" s="12" t="s">
        <v>335</v>
      </c>
      <c r="B147" s="12" t="s">
        <v>336</v>
      </c>
      <c r="C147" s="12" t="s">
        <v>13</v>
      </c>
      <c r="D147" s="13" t="n">
        <v>69.95</v>
      </c>
      <c r="E147" s="13" t="n">
        <f aca="false">IFERROR(INDEX(Tiers!$B$4:$B$12,MATCH(C147,Tiers!$A$4:$A$12,0)),D147)</f>
        <v>84.95</v>
      </c>
      <c r="F147" s="14"/>
      <c r="G147" s="15" t="n">
        <f aca="false">IF(F147="",E147,F147)</f>
        <v>84.95</v>
      </c>
      <c r="H147" s="16" t="n">
        <f aca="false">G147-D147</f>
        <v>15</v>
      </c>
      <c r="I147" s="17" t="n">
        <f aca="false">IFERROR((G147-D147)/D147,0)</f>
        <v>0.214438884917798</v>
      </c>
      <c r="J147" s="12" t="str">
        <f aca="false">IF(G147&gt;D147,"Omhoog",IF(G147&lt;D147,"Omlaag","Gelijk"))</f>
        <v>Omhoog</v>
      </c>
      <c r="K147" s="18" t="str">
        <f aca="false">IF(ABS(I147)&gt;=0.2,"controleren","")</f>
        <v>controleren</v>
      </c>
      <c r="L147" s="13" t="n">
        <v>116.58</v>
      </c>
      <c r="M147" s="17" t="n">
        <f aca="false">IFERROR(1-D147/L147,0)</f>
        <v>0.399982844398696</v>
      </c>
      <c r="N147" s="17" t="n">
        <f aca="false">IF(Tiers!$B$15="ja",Tiers!$B$16,M147)</f>
        <v>0.399982844398696</v>
      </c>
      <c r="O147" s="13" t="n">
        <f aca="false">ROUNDUP(G147/(1-N147),0)-0.05</f>
        <v>141.95</v>
      </c>
      <c r="P147" s="17" t="n">
        <f aca="false">IFERROR(1-G147/O147,0)</f>
        <v>0.401549841493484</v>
      </c>
      <c r="Q147" s="12" t="n">
        <v>36</v>
      </c>
    </row>
    <row r="148" customFormat="false" ht="15" hidden="false" customHeight="false" outlineLevel="0" collapsed="false">
      <c r="A148" s="12" t="s">
        <v>337</v>
      </c>
      <c r="B148" s="12" t="s">
        <v>338</v>
      </c>
      <c r="C148" s="12" t="s">
        <v>13</v>
      </c>
      <c r="D148" s="13" t="n">
        <v>69.95</v>
      </c>
      <c r="E148" s="13" t="n">
        <f aca="false">IFERROR(INDEX(Tiers!$B$4:$B$12,MATCH(C148,Tiers!$A$4:$A$12,0)),D148)</f>
        <v>84.95</v>
      </c>
      <c r="F148" s="14"/>
      <c r="G148" s="15" t="n">
        <f aca="false">IF(F148="",E148,F148)</f>
        <v>84.95</v>
      </c>
      <c r="H148" s="16" t="n">
        <f aca="false">G148-D148</f>
        <v>15</v>
      </c>
      <c r="I148" s="17" t="n">
        <f aca="false">IFERROR((G148-D148)/D148,0)</f>
        <v>0.214438884917798</v>
      </c>
      <c r="J148" s="12" t="str">
        <f aca="false">IF(G148&gt;D148,"Omhoog",IF(G148&lt;D148,"Omlaag","Gelijk"))</f>
        <v>Omhoog</v>
      </c>
      <c r="K148" s="18" t="str">
        <f aca="false">IF(ABS(I148)&gt;=0.2,"controleren","")</f>
        <v>controleren</v>
      </c>
      <c r="L148" s="13" t="n">
        <v>139.9</v>
      </c>
      <c r="M148" s="17" t="n">
        <f aca="false">IFERROR(1-D148/L148,0)</f>
        <v>0.5</v>
      </c>
      <c r="N148" s="17" t="n">
        <f aca="false">IF(Tiers!$B$15="ja",Tiers!$B$16,M148)</f>
        <v>0.5</v>
      </c>
      <c r="O148" s="13" t="n">
        <f aca="false">ROUNDUP(G148/(1-N148),0)-0.05</f>
        <v>169.95</v>
      </c>
      <c r="P148" s="17" t="n">
        <f aca="false">IFERROR(1-G148/O148,0)</f>
        <v>0.50014710208885</v>
      </c>
      <c r="Q148" s="12" t="n">
        <v>35</v>
      </c>
    </row>
    <row r="149" customFormat="false" ht="15" hidden="false" customHeight="false" outlineLevel="0" collapsed="false">
      <c r="A149" s="12" t="s">
        <v>339</v>
      </c>
      <c r="B149" s="12" t="s">
        <v>340</v>
      </c>
      <c r="C149" s="12" t="s">
        <v>13</v>
      </c>
      <c r="D149" s="13" t="n">
        <v>69.95</v>
      </c>
      <c r="E149" s="13" t="n">
        <f aca="false">IFERROR(INDEX(Tiers!$B$4:$B$12,MATCH(C149,Tiers!$A$4:$A$12,0)),D149)</f>
        <v>84.95</v>
      </c>
      <c r="F149" s="14"/>
      <c r="G149" s="15" t="n">
        <f aca="false">IF(F149="",E149,F149)</f>
        <v>84.95</v>
      </c>
      <c r="H149" s="16" t="n">
        <f aca="false">G149-D149</f>
        <v>15</v>
      </c>
      <c r="I149" s="17" t="n">
        <f aca="false">IFERROR((G149-D149)/D149,0)</f>
        <v>0.214438884917798</v>
      </c>
      <c r="J149" s="12" t="str">
        <f aca="false">IF(G149&gt;D149,"Omhoog",IF(G149&lt;D149,"Omlaag","Gelijk"))</f>
        <v>Omhoog</v>
      </c>
      <c r="K149" s="18" t="str">
        <f aca="false">IF(ABS(I149)&gt;=0.2,"controleren","")</f>
        <v>controleren</v>
      </c>
      <c r="L149" s="13" t="n">
        <v>116.58</v>
      </c>
      <c r="M149" s="17" t="n">
        <f aca="false">IFERROR(1-D149/L149,0)</f>
        <v>0.399982844398696</v>
      </c>
      <c r="N149" s="17" t="n">
        <f aca="false">IF(Tiers!$B$15="ja",Tiers!$B$16,M149)</f>
        <v>0.399982844398696</v>
      </c>
      <c r="O149" s="13" t="n">
        <f aca="false">ROUNDUP(G149/(1-N149),0)-0.05</f>
        <v>141.95</v>
      </c>
      <c r="P149" s="17" t="n">
        <f aca="false">IFERROR(1-G149/O149,0)</f>
        <v>0.401549841493484</v>
      </c>
      <c r="Q149" s="12" t="n">
        <v>28</v>
      </c>
    </row>
    <row r="150" customFormat="false" ht="15" hidden="false" customHeight="false" outlineLevel="0" collapsed="false">
      <c r="A150" s="12" t="s">
        <v>341</v>
      </c>
      <c r="B150" s="12" t="s">
        <v>342</v>
      </c>
      <c r="C150" s="12" t="s">
        <v>13</v>
      </c>
      <c r="D150" s="13" t="n">
        <v>79.95</v>
      </c>
      <c r="E150" s="13" t="n">
        <f aca="false">IFERROR(INDEX(Tiers!$B$4:$B$12,MATCH(C150,Tiers!$A$4:$A$12,0)),D150)</f>
        <v>84.95</v>
      </c>
      <c r="F150" s="14"/>
      <c r="G150" s="15" t="n">
        <f aca="false">IF(F150="",E150,F150)</f>
        <v>84.95</v>
      </c>
      <c r="H150" s="16" t="n">
        <f aca="false">G150-D150</f>
        <v>5</v>
      </c>
      <c r="I150" s="17" t="n">
        <f aca="false">IFERROR((G150-D150)/D150,0)</f>
        <v>0.0625390869293308</v>
      </c>
      <c r="J150" s="12" t="str">
        <f aca="false">IF(G150&gt;D150,"Omhoog",IF(G150&lt;D150,"Omlaag","Gelijk"))</f>
        <v>Omhoog</v>
      </c>
      <c r="K150" s="18" t="str">
        <f aca="false">IF(ABS(I150)&gt;=0.2,"controleren","")</f>
        <v/>
      </c>
      <c r="L150" s="13" t="n">
        <v>159.9</v>
      </c>
      <c r="M150" s="17" t="n">
        <f aca="false">IFERROR(1-D150/L150,0)</f>
        <v>0.5</v>
      </c>
      <c r="N150" s="17" t="n">
        <f aca="false">IF(Tiers!$B$15="ja",Tiers!$B$16,M150)</f>
        <v>0.5</v>
      </c>
      <c r="O150" s="13" t="n">
        <f aca="false">ROUNDUP(G150/(1-N150),0)-0.05</f>
        <v>169.95</v>
      </c>
      <c r="P150" s="17" t="n">
        <f aca="false">IFERROR(1-G150/O150,0)</f>
        <v>0.50014710208885</v>
      </c>
      <c r="Q150" s="12" t="n">
        <v>8</v>
      </c>
    </row>
    <row r="151" customFormat="false" ht="15" hidden="false" customHeight="false" outlineLevel="0" collapsed="false">
      <c r="A151" s="12" t="s">
        <v>343</v>
      </c>
      <c r="B151" s="12" t="s">
        <v>344</v>
      </c>
      <c r="C151" s="12" t="s">
        <v>13</v>
      </c>
      <c r="D151" s="13" t="n">
        <v>89.95</v>
      </c>
      <c r="E151" s="13" t="n">
        <f aca="false">IFERROR(INDEX(Tiers!$B$4:$B$12,MATCH(C151,Tiers!$A$4:$A$12,0)),D151)</f>
        <v>84.95</v>
      </c>
      <c r="F151" s="14"/>
      <c r="G151" s="15" t="n">
        <f aca="false">IF(F151="",E151,F151)</f>
        <v>84.95</v>
      </c>
      <c r="H151" s="16" t="n">
        <f aca="false">G151-D151</f>
        <v>-5</v>
      </c>
      <c r="I151" s="17" t="n">
        <f aca="false">IFERROR((G151-D151)/D151,0)</f>
        <v>-0.0555864369093941</v>
      </c>
      <c r="J151" s="12" t="str">
        <f aca="false">IF(G151&gt;D151,"Omhoog",IF(G151&lt;D151,"Omlaag","Gelijk"))</f>
        <v>Omlaag</v>
      </c>
      <c r="K151" s="18" t="str">
        <f aca="false">IF(ABS(I151)&gt;=0.2,"controleren","")</f>
        <v/>
      </c>
      <c r="L151" s="13" t="n">
        <v>179.9</v>
      </c>
      <c r="M151" s="17" t="n">
        <f aca="false">IFERROR(1-D151/L151,0)</f>
        <v>0.5</v>
      </c>
      <c r="N151" s="17" t="n">
        <f aca="false">IF(Tiers!$B$15="ja",Tiers!$B$16,M151)</f>
        <v>0.5</v>
      </c>
      <c r="O151" s="13" t="n">
        <f aca="false">ROUNDUP(G151/(1-N151),0)-0.05</f>
        <v>169.95</v>
      </c>
      <c r="P151" s="17" t="n">
        <f aca="false">IFERROR(1-G151/O151,0)</f>
        <v>0.50014710208885</v>
      </c>
      <c r="Q151" s="12" t="n">
        <v>14</v>
      </c>
    </row>
    <row r="152" customFormat="false" ht="15" hidden="false" customHeight="false" outlineLevel="0" collapsed="false">
      <c r="A152" s="12" t="s">
        <v>345</v>
      </c>
      <c r="B152" s="12" t="s">
        <v>346</v>
      </c>
      <c r="C152" s="12" t="s">
        <v>13</v>
      </c>
      <c r="D152" s="13" t="n">
        <v>79.95</v>
      </c>
      <c r="E152" s="13" t="n">
        <f aca="false">IFERROR(INDEX(Tiers!$B$4:$B$12,MATCH(C152,Tiers!$A$4:$A$12,0)),D152)</f>
        <v>84.95</v>
      </c>
      <c r="F152" s="14"/>
      <c r="G152" s="15" t="n">
        <f aca="false">IF(F152="",E152,F152)</f>
        <v>84.95</v>
      </c>
      <c r="H152" s="16" t="n">
        <f aca="false">G152-D152</f>
        <v>5</v>
      </c>
      <c r="I152" s="17" t="n">
        <f aca="false">IFERROR((G152-D152)/D152,0)</f>
        <v>0.0625390869293308</v>
      </c>
      <c r="J152" s="12" t="str">
        <f aca="false">IF(G152&gt;D152,"Omhoog",IF(G152&lt;D152,"Omlaag","Gelijk"))</f>
        <v>Omhoog</v>
      </c>
      <c r="K152" s="18" t="str">
        <f aca="false">IF(ABS(I152)&gt;=0.2,"controleren","")</f>
        <v/>
      </c>
      <c r="L152" s="13" t="n">
        <v>145.36</v>
      </c>
      <c r="M152" s="17" t="n">
        <f aca="false">IFERROR(1-D152/L152,0)</f>
        <v>0.449986241056687</v>
      </c>
      <c r="N152" s="17" t="n">
        <f aca="false">IF(Tiers!$B$15="ja",Tiers!$B$16,M152)</f>
        <v>0.449986241056687</v>
      </c>
      <c r="O152" s="13" t="n">
        <f aca="false">ROUNDUP(G152/(1-N152),0)-0.05</f>
        <v>154.95</v>
      </c>
      <c r="P152" s="17" t="n">
        <f aca="false">IFERROR(1-G152/O152,0)</f>
        <v>0.451758631816715</v>
      </c>
      <c r="Q152" s="12" t="n">
        <v>28</v>
      </c>
    </row>
    <row r="153" customFormat="false" ht="15" hidden="false" customHeight="false" outlineLevel="0" collapsed="false">
      <c r="A153" s="12" t="s">
        <v>347</v>
      </c>
      <c r="B153" s="12" t="s">
        <v>348</v>
      </c>
      <c r="C153" s="12" t="s">
        <v>13</v>
      </c>
      <c r="D153" s="13" t="n">
        <v>69.95</v>
      </c>
      <c r="E153" s="13" t="n">
        <f aca="false">IFERROR(INDEX(Tiers!$B$4:$B$12,MATCH(C153,Tiers!$A$4:$A$12,0)),D153)</f>
        <v>84.95</v>
      </c>
      <c r="F153" s="14"/>
      <c r="G153" s="15" t="n">
        <f aca="false">IF(F153="",E153,F153)</f>
        <v>84.95</v>
      </c>
      <c r="H153" s="16" t="n">
        <f aca="false">G153-D153</f>
        <v>15</v>
      </c>
      <c r="I153" s="17" t="n">
        <f aca="false">IFERROR((G153-D153)/D153,0)</f>
        <v>0.214438884917798</v>
      </c>
      <c r="J153" s="12" t="str">
        <f aca="false">IF(G153&gt;D153,"Omhoog",IF(G153&lt;D153,"Omlaag","Gelijk"))</f>
        <v>Omhoog</v>
      </c>
      <c r="K153" s="18" t="str">
        <f aca="false">IF(ABS(I153)&gt;=0.2,"controleren","")</f>
        <v>controleren</v>
      </c>
      <c r="L153" s="13" t="n">
        <v>116.58</v>
      </c>
      <c r="M153" s="17" t="n">
        <f aca="false">IFERROR(1-D153/L153,0)</f>
        <v>0.399982844398696</v>
      </c>
      <c r="N153" s="17" t="n">
        <f aca="false">IF(Tiers!$B$15="ja",Tiers!$B$16,M153)</f>
        <v>0.399982844398696</v>
      </c>
      <c r="O153" s="13" t="n">
        <f aca="false">ROUNDUP(G153/(1-N153),0)-0.05</f>
        <v>141.95</v>
      </c>
      <c r="P153" s="17" t="n">
        <f aca="false">IFERROR(1-G153/O153,0)</f>
        <v>0.401549841493484</v>
      </c>
      <c r="Q153" s="12" t="n">
        <v>7</v>
      </c>
    </row>
    <row r="154" customFormat="false" ht="15" hidden="false" customHeight="false" outlineLevel="0" collapsed="false">
      <c r="A154" s="12" t="s">
        <v>349</v>
      </c>
      <c r="B154" s="12" t="s">
        <v>350</v>
      </c>
      <c r="C154" s="12" t="s">
        <v>13</v>
      </c>
      <c r="D154" s="13" t="n">
        <v>69.95</v>
      </c>
      <c r="E154" s="13" t="n">
        <f aca="false">IFERROR(INDEX(Tiers!$B$4:$B$12,MATCH(C154,Tiers!$A$4:$A$12,0)),D154)</f>
        <v>84.95</v>
      </c>
      <c r="F154" s="14"/>
      <c r="G154" s="15" t="n">
        <f aca="false">IF(F154="",E154,F154)</f>
        <v>84.95</v>
      </c>
      <c r="H154" s="16" t="n">
        <f aca="false">G154-D154</f>
        <v>15</v>
      </c>
      <c r="I154" s="17" t="n">
        <f aca="false">IFERROR((G154-D154)/D154,0)</f>
        <v>0.214438884917798</v>
      </c>
      <c r="J154" s="12" t="str">
        <f aca="false">IF(G154&gt;D154,"Omhoog",IF(G154&lt;D154,"Omlaag","Gelijk"))</f>
        <v>Omhoog</v>
      </c>
      <c r="K154" s="18" t="str">
        <f aca="false">IF(ABS(I154)&gt;=0.2,"controleren","")</f>
        <v>controleren</v>
      </c>
      <c r="L154" s="13" t="n">
        <v>116.58</v>
      </c>
      <c r="M154" s="17" t="n">
        <f aca="false">IFERROR(1-D154/L154,0)</f>
        <v>0.399982844398696</v>
      </c>
      <c r="N154" s="17" t="n">
        <f aca="false">IF(Tiers!$B$15="ja",Tiers!$B$16,M154)</f>
        <v>0.399982844398696</v>
      </c>
      <c r="O154" s="13" t="n">
        <f aca="false">ROUNDUP(G154/(1-N154),0)-0.05</f>
        <v>141.95</v>
      </c>
      <c r="P154" s="17" t="n">
        <f aca="false">IFERROR(1-G154/O154,0)</f>
        <v>0.401549841493484</v>
      </c>
      <c r="Q154" s="12" t="n">
        <v>28</v>
      </c>
    </row>
    <row r="155" customFormat="false" ht="15" hidden="false" customHeight="false" outlineLevel="0" collapsed="false">
      <c r="A155" s="12" t="s">
        <v>351</v>
      </c>
      <c r="B155" s="12" t="s">
        <v>352</v>
      </c>
      <c r="C155" s="12" t="s">
        <v>13</v>
      </c>
      <c r="D155" s="13" t="n">
        <v>79.95</v>
      </c>
      <c r="E155" s="13" t="n">
        <f aca="false">IFERROR(INDEX(Tiers!$B$4:$B$12,MATCH(C155,Tiers!$A$4:$A$12,0)),D155)</f>
        <v>84.95</v>
      </c>
      <c r="F155" s="14"/>
      <c r="G155" s="15" t="n">
        <f aca="false">IF(F155="",E155,F155)</f>
        <v>84.95</v>
      </c>
      <c r="H155" s="16" t="n">
        <f aca="false">G155-D155</f>
        <v>5</v>
      </c>
      <c r="I155" s="17" t="n">
        <f aca="false">IFERROR((G155-D155)/D155,0)</f>
        <v>0.0625390869293308</v>
      </c>
      <c r="J155" s="12" t="str">
        <f aca="false">IF(G155&gt;D155,"Omhoog",IF(G155&lt;D155,"Omlaag","Gelijk"))</f>
        <v>Omhoog</v>
      </c>
      <c r="K155" s="18" t="str">
        <f aca="false">IF(ABS(I155)&gt;=0.2,"controleren","")</f>
        <v/>
      </c>
      <c r="L155" s="13" t="n">
        <v>159.9</v>
      </c>
      <c r="M155" s="17" t="n">
        <f aca="false">IFERROR(1-D155/L155,0)</f>
        <v>0.5</v>
      </c>
      <c r="N155" s="17" t="n">
        <f aca="false">IF(Tiers!$B$15="ja",Tiers!$B$16,M155)</f>
        <v>0.5</v>
      </c>
      <c r="O155" s="13" t="n">
        <f aca="false">ROUNDUP(G155/(1-N155),0)-0.05</f>
        <v>169.95</v>
      </c>
      <c r="P155" s="17" t="n">
        <f aca="false">IFERROR(1-G155/O155,0)</f>
        <v>0.50014710208885</v>
      </c>
      <c r="Q155" s="12" t="n">
        <v>6</v>
      </c>
    </row>
    <row r="156" customFormat="false" ht="15" hidden="false" customHeight="false" outlineLevel="0" collapsed="false">
      <c r="A156" s="12" t="s">
        <v>353</v>
      </c>
      <c r="B156" s="12" t="s">
        <v>354</v>
      </c>
      <c r="C156" s="12" t="s">
        <v>13</v>
      </c>
      <c r="D156" s="13" t="n">
        <v>99.95</v>
      </c>
      <c r="E156" s="13" t="n">
        <f aca="false">IFERROR(INDEX(Tiers!$B$4:$B$12,MATCH(C156,Tiers!$A$4:$A$12,0)),D156)</f>
        <v>84.95</v>
      </c>
      <c r="F156" s="14"/>
      <c r="G156" s="15" t="n">
        <f aca="false">IF(F156="",E156,F156)</f>
        <v>84.95</v>
      </c>
      <c r="H156" s="16" t="n">
        <f aca="false">G156-D156</f>
        <v>-15</v>
      </c>
      <c r="I156" s="17" t="n">
        <f aca="false">IFERROR((G156-D156)/D156,0)</f>
        <v>-0.150075037518759</v>
      </c>
      <c r="J156" s="12" t="str">
        <f aca="false">IF(G156&gt;D156,"Omhoog",IF(G156&lt;D156,"Omlaag","Gelijk"))</f>
        <v>Omlaag</v>
      </c>
      <c r="K156" s="18" t="str">
        <f aca="false">IF(ABS(I156)&gt;=0.2,"controleren","")</f>
        <v/>
      </c>
      <c r="L156" s="13" t="n">
        <v>199.9</v>
      </c>
      <c r="M156" s="17" t="n">
        <f aca="false">IFERROR(1-D156/L156,0)</f>
        <v>0.5</v>
      </c>
      <c r="N156" s="17" t="n">
        <f aca="false">IF(Tiers!$B$15="ja",Tiers!$B$16,M156)</f>
        <v>0.5</v>
      </c>
      <c r="O156" s="13" t="n">
        <f aca="false">ROUNDUP(G156/(1-N156),0)-0.05</f>
        <v>169.95</v>
      </c>
      <c r="P156" s="17" t="n">
        <f aca="false">IFERROR(1-G156/O156,0)</f>
        <v>0.50014710208885</v>
      </c>
      <c r="Q156" s="12" t="n">
        <v>20</v>
      </c>
    </row>
    <row r="157" customFormat="false" ht="15" hidden="false" customHeight="false" outlineLevel="0" collapsed="false">
      <c r="A157" s="12" t="s">
        <v>355</v>
      </c>
      <c r="B157" s="12" t="s">
        <v>356</v>
      </c>
      <c r="C157" s="12" t="s">
        <v>13</v>
      </c>
      <c r="D157" s="13" t="n">
        <v>99.95</v>
      </c>
      <c r="E157" s="13" t="n">
        <f aca="false">IFERROR(INDEX(Tiers!$B$4:$B$12,MATCH(C157,Tiers!$A$4:$A$12,0)),D157)</f>
        <v>84.95</v>
      </c>
      <c r="F157" s="14"/>
      <c r="G157" s="15" t="n">
        <f aca="false">IF(F157="",E157,F157)</f>
        <v>84.95</v>
      </c>
      <c r="H157" s="16" t="n">
        <f aca="false">G157-D157</f>
        <v>-15</v>
      </c>
      <c r="I157" s="17" t="n">
        <f aca="false">IFERROR((G157-D157)/D157,0)</f>
        <v>-0.150075037518759</v>
      </c>
      <c r="J157" s="12" t="str">
        <f aca="false">IF(G157&gt;D157,"Omhoog",IF(G157&lt;D157,"Omlaag","Gelijk"))</f>
        <v>Omlaag</v>
      </c>
      <c r="K157" s="18" t="str">
        <f aca="false">IF(ABS(I157)&gt;=0.2,"controleren","")</f>
        <v/>
      </c>
      <c r="L157" s="13" t="n">
        <v>181.73</v>
      </c>
      <c r="M157" s="17" t="n">
        <f aca="false">IFERROR(1-D157/L157,0)</f>
        <v>0.450008254003192</v>
      </c>
      <c r="N157" s="17" t="n">
        <f aca="false">IF(Tiers!$B$15="ja",Tiers!$B$16,M157)</f>
        <v>0.450008254003192</v>
      </c>
      <c r="O157" s="13" t="n">
        <f aca="false">ROUNDUP(G157/(1-N157),0)-0.05</f>
        <v>154.95</v>
      </c>
      <c r="P157" s="17" t="n">
        <f aca="false">IFERROR(1-G157/O157,0)</f>
        <v>0.451758631816715</v>
      </c>
      <c r="Q157" s="12" t="n">
        <v>7</v>
      </c>
    </row>
    <row r="158" customFormat="false" ht="15" hidden="false" customHeight="false" outlineLevel="0" collapsed="false">
      <c r="A158" s="12" t="s">
        <v>357</v>
      </c>
      <c r="B158" s="12" t="s">
        <v>358</v>
      </c>
      <c r="C158" s="12" t="s">
        <v>13</v>
      </c>
      <c r="D158" s="13" t="n">
        <v>99.95</v>
      </c>
      <c r="E158" s="13" t="n">
        <f aca="false">IFERROR(INDEX(Tiers!$B$4:$B$12,MATCH(C158,Tiers!$A$4:$A$12,0)),D158)</f>
        <v>84.95</v>
      </c>
      <c r="F158" s="14"/>
      <c r="G158" s="15" t="n">
        <f aca="false">IF(F158="",E158,F158)</f>
        <v>84.95</v>
      </c>
      <c r="H158" s="16" t="n">
        <f aca="false">G158-D158</f>
        <v>-15</v>
      </c>
      <c r="I158" s="17" t="n">
        <f aca="false">IFERROR((G158-D158)/D158,0)</f>
        <v>-0.150075037518759</v>
      </c>
      <c r="J158" s="12" t="str">
        <f aca="false">IF(G158&gt;D158,"Omhoog",IF(G158&lt;D158,"Omlaag","Gelijk"))</f>
        <v>Omlaag</v>
      </c>
      <c r="K158" s="18" t="str">
        <f aca="false">IF(ABS(I158)&gt;=0.2,"controleren","")</f>
        <v/>
      </c>
      <c r="L158" s="13" t="n">
        <v>181.73</v>
      </c>
      <c r="M158" s="17" t="n">
        <f aca="false">IFERROR(1-D158/L158,0)</f>
        <v>0.450008254003192</v>
      </c>
      <c r="N158" s="17" t="n">
        <f aca="false">IF(Tiers!$B$15="ja",Tiers!$B$16,M158)</f>
        <v>0.450008254003192</v>
      </c>
      <c r="O158" s="13" t="n">
        <f aca="false">ROUNDUP(G158/(1-N158),0)-0.05</f>
        <v>154.95</v>
      </c>
      <c r="P158" s="17" t="n">
        <f aca="false">IFERROR(1-G158/O158,0)</f>
        <v>0.451758631816715</v>
      </c>
      <c r="Q158" s="12" t="n">
        <v>25</v>
      </c>
    </row>
    <row r="159" customFormat="false" ht="15" hidden="false" customHeight="false" outlineLevel="0" collapsed="false">
      <c r="A159" s="12" t="s">
        <v>359</v>
      </c>
      <c r="B159" s="12" t="s">
        <v>360</v>
      </c>
      <c r="C159" s="12" t="s">
        <v>13</v>
      </c>
      <c r="D159" s="13" t="n">
        <v>79.95</v>
      </c>
      <c r="E159" s="13" t="n">
        <f aca="false">IFERROR(INDEX(Tiers!$B$4:$B$12,MATCH(C159,Tiers!$A$4:$A$12,0)),D159)</f>
        <v>84.95</v>
      </c>
      <c r="F159" s="14"/>
      <c r="G159" s="15" t="n">
        <f aca="false">IF(F159="",E159,F159)</f>
        <v>84.95</v>
      </c>
      <c r="H159" s="16" t="n">
        <f aca="false">G159-D159</f>
        <v>5</v>
      </c>
      <c r="I159" s="17" t="n">
        <f aca="false">IFERROR((G159-D159)/D159,0)</f>
        <v>0.0625390869293308</v>
      </c>
      <c r="J159" s="12" t="str">
        <f aca="false">IF(G159&gt;D159,"Omhoog",IF(G159&lt;D159,"Omlaag","Gelijk"))</f>
        <v>Omhoog</v>
      </c>
      <c r="K159" s="18" t="str">
        <f aca="false">IF(ABS(I159)&gt;=0.2,"controleren","")</f>
        <v/>
      </c>
      <c r="L159" s="13" t="n">
        <v>145.36</v>
      </c>
      <c r="M159" s="17" t="n">
        <f aca="false">IFERROR(1-D159/L159,0)</f>
        <v>0.449986241056687</v>
      </c>
      <c r="N159" s="17" t="n">
        <f aca="false">IF(Tiers!$B$15="ja",Tiers!$B$16,M159)</f>
        <v>0.449986241056687</v>
      </c>
      <c r="O159" s="13" t="n">
        <f aca="false">ROUNDUP(G159/(1-N159),0)-0.05</f>
        <v>154.95</v>
      </c>
      <c r="P159" s="17" t="n">
        <f aca="false">IFERROR(1-G159/O159,0)</f>
        <v>0.451758631816715</v>
      </c>
      <c r="Q159" s="12" t="n">
        <v>30</v>
      </c>
    </row>
    <row r="160" customFormat="false" ht="15" hidden="false" customHeight="false" outlineLevel="0" collapsed="false">
      <c r="A160" s="12" t="s">
        <v>361</v>
      </c>
      <c r="B160" s="12" t="s">
        <v>362</v>
      </c>
      <c r="C160" s="12" t="s">
        <v>15</v>
      </c>
      <c r="D160" s="13" t="n">
        <v>59.95</v>
      </c>
      <c r="E160" s="13" t="n">
        <f aca="false">IFERROR(INDEX(Tiers!$B$4:$B$12,MATCH(C160,Tiers!$A$4:$A$12,0)),D160)</f>
        <v>59.95</v>
      </c>
      <c r="F160" s="14"/>
      <c r="G160" s="15" t="n">
        <f aca="false">IF(F160="",E160,F160)</f>
        <v>59.95</v>
      </c>
      <c r="H160" s="16" t="n">
        <f aca="false">G160-D160</f>
        <v>0</v>
      </c>
      <c r="I160" s="17" t="n">
        <f aca="false">IFERROR((G160-D160)/D160,0)</f>
        <v>0</v>
      </c>
      <c r="J160" s="12" t="str">
        <f aca="false">IF(G160&gt;D160,"Omhoog",IF(G160&lt;D160,"Omlaag","Gelijk"))</f>
        <v>Gelijk</v>
      </c>
      <c r="K160" s="18" t="str">
        <f aca="false">IF(ABS(I160)&gt;=0.2,"controleren","")</f>
        <v/>
      </c>
      <c r="L160" s="13" t="n">
        <v>99.92</v>
      </c>
      <c r="M160" s="17" t="n">
        <f aca="false">IFERROR(1-D160/L160,0)</f>
        <v>0.40002001601281</v>
      </c>
      <c r="N160" s="17" t="n">
        <f aca="false">IF(Tiers!$B$15="ja",Tiers!$B$16,M160)</f>
        <v>0.40002001601281</v>
      </c>
      <c r="O160" s="13" t="n">
        <f aca="false">ROUNDUP(G160/(1-N160),0)-0.05</f>
        <v>99.95</v>
      </c>
      <c r="P160" s="17" t="n">
        <f aca="false">IFERROR(1-G160/O160,0)</f>
        <v>0.400200100050025</v>
      </c>
      <c r="Q160" s="12" t="n">
        <v>24</v>
      </c>
    </row>
    <row r="161" customFormat="false" ht="15" hidden="false" customHeight="false" outlineLevel="0" collapsed="false">
      <c r="A161" s="12" t="s">
        <v>363</v>
      </c>
      <c r="B161" s="12" t="s">
        <v>364</v>
      </c>
      <c r="C161" s="12" t="s">
        <v>15</v>
      </c>
      <c r="D161" s="13" t="n">
        <v>59.95</v>
      </c>
      <c r="E161" s="13" t="n">
        <f aca="false">IFERROR(INDEX(Tiers!$B$4:$B$12,MATCH(C161,Tiers!$A$4:$A$12,0)),D161)</f>
        <v>59.95</v>
      </c>
      <c r="F161" s="14"/>
      <c r="G161" s="15" t="n">
        <f aca="false">IF(F161="",E161,F161)</f>
        <v>59.95</v>
      </c>
      <c r="H161" s="16" t="n">
        <f aca="false">G161-D161</f>
        <v>0</v>
      </c>
      <c r="I161" s="17" t="n">
        <f aca="false">IFERROR((G161-D161)/D161,0)</f>
        <v>0</v>
      </c>
      <c r="J161" s="12" t="str">
        <f aca="false">IF(G161&gt;D161,"Omhoog",IF(G161&lt;D161,"Omlaag","Gelijk"))</f>
        <v>Gelijk</v>
      </c>
      <c r="K161" s="18" t="str">
        <f aca="false">IF(ABS(I161)&gt;=0.2,"controleren","")</f>
        <v/>
      </c>
      <c r="L161" s="13" t="n">
        <v>119.95</v>
      </c>
      <c r="M161" s="17" t="n">
        <f aca="false">IFERROR(1-D161/L161,0)</f>
        <v>0.500208420175073</v>
      </c>
      <c r="N161" s="17" t="n">
        <f aca="false">IF(Tiers!$B$15="ja",Tiers!$B$16,M161)</f>
        <v>0.500208420175073</v>
      </c>
      <c r="O161" s="13" t="n">
        <f aca="false">ROUNDUP(G161/(1-N161),0)-0.05</f>
        <v>119.95</v>
      </c>
      <c r="P161" s="17" t="n">
        <f aca="false">IFERROR(1-G161/O161,0)</f>
        <v>0.500208420175073</v>
      </c>
      <c r="Q161" s="12" t="n">
        <v>7</v>
      </c>
    </row>
    <row r="162" customFormat="false" ht="15" hidden="false" customHeight="false" outlineLevel="0" collapsed="false">
      <c r="A162" s="12" t="s">
        <v>365</v>
      </c>
      <c r="B162" s="12" t="s">
        <v>366</v>
      </c>
      <c r="C162" s="12" t="s">
        <v>15</v>
      </c>
      <c r="D162" s="13" t="n">
        <v>64.95</v>
      </c>
      <c r="E162" s="13" t="n">
        <f aca="false">IFERROR(INDEX(Tiers!$B$4:$B$12,MATCH(C162,Tiers!$A$4:$A$12,0)),D162)</f>
        <v>59.95</v>
      </c>
      <c r="F162" s="14"/>
      <c r="G162" s="15" t="n">
        <f aca="false">IF(F162="",E162,F162)</f>
        <v>59.95</v>
      </c>
      <c r="H162" s="16" t="n">
        <f aca="false">G162-D162</f>
        <v>-5</v>
      </c>
      <c r="I162" s="17" t="n">
        <f aca="false">IFERROR((G162-D162)/D162,0)</f>
        <v>-0.0769822940723634</v>
      </c>
      <c r="J162" s="12" t="str">
        <f aca="false">IF(G162&gt;D162,"Omhoog",IF(G162&lt;D162,"Omlaag","Gelijk"))</f>
        <v>Omlaag</v>
      </c>
      <c r="K162" s="18" t="str">
        <f aca="false">IF(ABS(I162)&gt;=0.2,"controleren","")</f>
        <v/>
      </c>
      <c r="L162" s="13" t="n">
        <v>108.25</v>
      </c>
      <c r="M162" s="17" t="n">
        <f aca="false">IFERROR(1-D162/L162,0)</f>
        <v>0.4</v>
      </c>
      <c r="N162" s="17" t="n">
        <f aca="false">IF(Tiers!$B$15="ja",Tiers!$B$16,M162)</f>
        <v>0.4</v>
      </c>
      <c r="O162" s="13" t="n">
        <f aca="false">ROUNDUP(G162/(1-N162),0)-0.05</f>
        <v>99.95</v>
      </c>
      <c r="P162" s="17" t="n">
        <f aca="false">IFERROR(1-G162/O162,0)</f>
        <v>0.400200100050025</v>
      </c>
      <c r="Q162" s="12" t="n">
        <v>39</v>
      </c>
    </row>
    <row r="163" customFormat="false" ht="15" hidden="false" customHeight="false" outlineLevel="0" collapsed="false">
      <c r="A163" s="12" t="s">
        <v>367</v>
      </c>
      <c r="B163" s="12" t="s">
        <v>368</v>
      </c>
      <c r="C163" s="12" t="s">
        <v>15</v>
      </c>
      <c r="D163" s="13" t="n">
        <v>44.95</v>
      </c>
      <c r="E163" s="13" t="n">
        <f aca="false">IFERROR(INDEX(Tiers!$B$4:$B$12,MATCH(C163,Tiers!$A$4:$A$12,0)),D163)</f>
        <v>59.95</v>
      </c>
      <c r="F163" s="14"/>
      <c r="G163" s="15" t="n">
        <f aca="false">IF(F163="",E163,F163)</f>
        <v>59.95</v>
      </c>
      <c r="H163" s="16" t="n">
        <f aca="false">G163-D163</f>
        <v>15</v>
      </c>
      <c r="I163" s="17" t="n">
        <f aca="false">IFERROR((G163-D163)/D163,0)</f>
        <v>0.333704115684093</v>
      </c>
      <c r="J163" s="12" t="str">
        <f aca="false">IF(G163&gt;D163,"Omhoog",IF(G163&lt;D163,"Omlaag","Gelijk"))</f>
        <v>Omhoog</v>
      </c>
      <c r="K163" s="18" t="str">
        <f aca="false">IF(ABS(I163)&gt;=0.2,"controleren","")</f>
        <v>controleren</v>
      </c>
      <c r="L163" s="13" t="n">
        <v>74.92</v>
      </c>
      <c r="M163" s="17" t="n">
        <f aca="false">IFERROR(1-D163/L163,0)</f>
        <v>0.400026695141484</v>
      </c>
      <c r="N163" s="17" t="n">
        <f aca="false">IF(Tiers!$B$15="ja",Tiers!$B$16,M163)</f>
        <v>0.400026695141484</v>
      </c>
      <c r="O163" s="13" t="n">
        <f aca="false">ROUNDUP(G163/(1-N163),0)-0.05</f>
        <v>99.95</v>
      </c>
      <c r="P163" s="17" t="n">
        <f aca="false">IFERROR(1-G163/O163,0)</f>
        <v>0.400200100050025</v>
      </c>
      <c r="Q163" s="12" t="n">
        <v>36</v>
      </c>
    </row>
    <row r="164" customFormat="false" ht="15" hidden="false" customHeight="false" outlineLevel="0" collapsed="false">
      <c r="A164" s="12" t="s">
        <v>369</v>
      </c>
      <c r="B164" s="12" t="s">
        <v>370</v>
      </c>
      <c r="C164" s="12" t="s">
        <v>15</v>
      </c>
      <c r="D164" s="13" t="n">
        <v>44.95</v>
      </c>
      <c r="E164" s="13" t="n">
        <f aca="false">IFERROR(INDEX(Tiers!$B$4:$B$12,MATCH(C164,Tiers!$A$4:$A$12,0)),D164)</f>
        <v>59.95</v>
      </c>
      <c r="F164" s="14"/>
      <c r="G164" s="15" t="n">
        <f aca="false">IF(F164="",E164,F164)</f>
        <v>59.95</v>
      </c>
      <c r="H164" s="16" t="n">
        <f aca="false">G164-D164</f>
        <v>15</v>
      </c>
      <c r="I164" s="17" t="n">
        <f aca="false">IFERROR((G164-D164)/D164,0)</f>
        <v>0.333704115684093</v>
      </c>
      <c r="J164" s="12" t="str">
        <f aca="false">IF(G164&gt;D164,"Omhoog",IF(G164&lt;D164,"Omlaag","Gelijk"))</f>
        <v>Omhoog</v>
      </c>
      <c r="K164" s="18" t="str">
        <f aca="false">IF(ABS(I164)&gt;=0.2,"controleren","")</f>
        <v>controleren</v>
      </c>
      <c r="L164" s="13" t="n">
        <v>81.73</v>
      </c>
      <c r="M164" s="17" t="n">
        <f aca="false">IFERROR(1-D164/L164,0)</f>
        <v>0.450018353113912</v>
      </c>
      <c r="N164" s="17" t="n">
        <f aca="false">IF(Tiers!$B$15="ja",Tiers!$B$16,M164)</f>
        <v>0.450018353113912</v>
      </c>
      <c r="O164" s="13" t="n">
        <f aca="false">ROUNDUP(G164/(1-N164),0)-0.05</f>
        <v>109.95</v>
      </c>
      <c r="P164" s="17" t="n">
        <f aca="false">IFERROR(1-G164/O164,0)</f>
        <v>0.45475216007276</v>
      </c>
      <c r="Q164" s="12" t="n">
        <v>39</v>
      </c>
    </row>
    <row r="165" customFormat="false" ht="15" hidden="false" customHeight="false" outlineLevel="0" collapsed="false">
      <c r="A165" s="12" t="s">
        <v>371</v>
      </c>
      <c r="B165" s="12" t="s">
        <v>372</v>
      </c>
      <c r="C165" s="12" t="s">
        <v>15</v>
      </c>
      <c r="D165" s="13" t="n">
        <v>49.95</v>
      </c>
      <c r="E165" s="13" t="n">
        <f aca="false">IFERROR(INDEX(Tiers!$B$4:$B$12,MATCH(C165,Tiers!$A$4:$A$12,0)),D165)</f>
        <v>59.95</v>
      </c>
      <c r="F165" s="14"/>
      <c r="G165" s="15" t="n">
        <f aca="false">IF(F165="",E165,F165)</f>
        <v>59.95</v>
      </c>
      <c r="H165" s="16" t="n">
        <f aca="false">G165-D165</f>
        <v>10</v>
      </c>
      <c r="I165" s="17" t="n">
        <f aca="false">IFERROR((G165-D165)/D165,0)</f>
        <v>0.2002002002002</v>
      </c>
      <c r="J165" s="12" t="str">
        <f aca="false">IF(G165&gt;D165,"Omhoog",IF(G165&lt;D165,"Omlaag","Gelijk"))</f>
        <v>Omhoog</v>
      </c>
      <c r="K165" s="18" t="str">
        <f aca="false">IF(ABS(I165)&gt;=0.2,"controleren","")</f>
        <v>controleren</v>
      </c>
      <c r="L165" s="13" t="n">
        <v>90.82</v>
      </c>
      <c r="M165" s="17" t="n">
        <f aca="false">IFERROR(1-D165/L165,0)</f>
        <v>0.450011010790575</v>
      </c>
      <c r="N165" s="17" t="n">
        <f aca="false">IF(Tiers!$B$15="ja",Tiers!$B$16,M165)</f>
        <v>0.450011010790575</v>
      </c>
      <c r="O165" s="13" t="n">
        <f aca="false">ROUNDUP(G165/(1-N165),0)-0.05</f>
        <v>109.95</v>
      </c>
      <c r="P165" s="17" t="n">
        <f aca="false">IFERROR(1-G165/O165,0)</f>
        <v>0.45475216007276</v>
      </c>
      <c r="Q165" s="12" t="n">
        <v>54</v>
      </c>
    </row>
    <row r="166" customFormat="false" ht="15" hidden="false" customHeight="false" outlineLevel="0" collapsed="false">
      <c r="A166" s="12" t="s">
        <v>373</v>
      </c>
      <c r="B166" s="12" t="s">
        <v>374</v>
      </c>
      <c r="C166" s="12" t="s">
        <v>15</v>
      </c>
      <c r="D166" s="13" t="n">
        <v>59.95</v>
      </c>
      <c r="E166" s="13" t="n">
        <f aca="false">IFERROR(INDEX(Tiers!$B$4:$B$12,MATCH(C166,Tiers!$A$4:$A$12,0)),D166)</f>
        <v>59.95</v>
      </c>
      <c r="F166" s="14"/>
      <c r="G166" s="15" t="n">
        <f aca="false">IF(F166="",E166,F166)</f>
        <v>59.95</v>
      </c>
      <c r="H166" s="16" t="n">
        <f aca="false">G166-D166</f>
        <v>0</v>
      </c>
      <c r="I166" s="17" t="n">
        <f aca="false">IFERROR((G166-D166)/D166,0)</f>
        <v>0</v>
      </c>
      <c r="J166" s="12" t="str">
        <f aca="false">IF(G166&gt;D166,"Omhoog",IF(G166&lt;D166,"Omlaag","Gelijk"))</f>
        <v>Gelijk</v>
      </c>
      <c r="K166" s="18" t="str">
        <f aca="false">IF(ABS(I166)&gt;=0.2,"controleren","")</f>
        <v/>
      </c>
      <c r="L166" s="13" t="n">
        <v>119.9</v>
      </c>
      <c r="M166" s="17" t="n">
        <f aca="false">IFERROR(1-D166/L166,0)</f>
        <v>0.5</v>
      </c>
      <c r="N166" s="17" t="n">
        <f aca="false">IF(Tiers!$B$15="ja",Tiers!$B$16,M166)</f>
        <v>0.5</v>
      </c>
      <c r="O166" s="13" t="n">
        <f aca="false">ROUNDUP(G166/(1-N166),0)-0.05</f>
        <v>119.95</v>
      </c>
      <c r="P166" s="17" t="n">
        <f aca="false">IFERROR(1-G166/O166,0)</f>
        <v>0.500208420175073</v>
      </c>
      <c r="Q166" s="12" t="n">
        <v>60</v>
      </c>
    </row>
    <row r="167" customFormat="false" ht="15" hidden="false" customHeight="false" outlineLevel="0" collapsed="false">
      <c r="A167" s="12" t="s">
        <v>375</v>
      </c>
      <c r="B167" s="12" t="s">
        <v>376</v>
      </c>
      <c r="C167" s="12" t="s">
        <v>15</v>
      </c>
      <c r="D167" s="13" t="n">
        <v>44.95</v>
      </c>
      <c r="E167" s="13" t="n">
        <f aca="false">IFERROR(INDEX(Tiers!$B$4:$B$12,MATCH(C167,Tiers!$A$4:$A$12,0)),D167)</f>
        <v>59.95</v>
      </c>
      <c r="F167" s="14"/>
      <c r="G167" s="15" t="n">
        <f aca="false">IF(F167="",E167,F167)</f>
        <v>59.95</v>
      </c>
      <c r="H167" s="16" t="n">
        <f aca="false">G167-D167</f>
        <v>15</v>
      </c>
      <c r="I167" s="17" t="n">
        <f aca="false">IFERROR((G167-D167)/D167,0)</f>
        <v>0.333704115684093</v>
      </c>
      <c r="J167" s="12" t="str">
        <f aca="false">IF(G167&gt;D167,"Omhoog",IF(G167&lt;D167,"Omlaag","Gelijk"))</f>
        <v>Omhoog</v>
      </c>
      <c r="K167" s="18" t="str">
        <f aca="false">IF(ABS(I167)&gt;=0.2,"controleren","")</f>
        <v>controleren</v>
      </c>
      <c r="L167" s="13" t="n">
        <v>74.92</v>
      </c>
      <c r="M167" s="17" t="n">
        <f aca="false">IFERROR(1-D167/L167,0)</f>
        <v>0.400026695141484</v>
      </c>
      <c r="N167" s="17" t="n">
        <f aca="false">IF(Tiers!$B$15="ja",Tiers!$B$16,M167)</f>
        <v>0.400026695141484</v>
      </c>
      <c r="O167" s="13" t="n">
        <f aca="false">ROUNDUP(G167/(1-N167),0)-0.05</f>
        <v>99.95</v>
      </c>
      <c r="P167" s="17" t="n">
        <f aca="false">IFERROR(1-G167/O167,0)</f>
        <v>0.400200100050025</v>
      </c>
      <c r="Q167" s="12" t="n">
        <v>45</v>
      </c>
    </row>
    <row r="168" customFormat="false" ht="15" hidden="false" customHeight="false" outlineLevel="0" collapsed="false">
      <c r="A168" s="12" t="s">
        <v>377</v>
      </c>
      <c r="B168" s="12" t="s">
        <v>378</v>
      </c>
      <c r="C168" s="12" t="s">
        <v>15</v>
      </c>
      <c r="D168" s="13" t="n">
        <v>44.95</v>
      </c>
      <c r="E168" s="13" t="n">
        <f aca="false">IFERROR(INDEX(Tiers!$B$4:$B$12,MATCH(C168,Tiers!$A$4:$A$12,0)),D168)</f>
        <v>59.95</v>
      </c>
      <c r="F168" s="14"/>
      <c r="G168" s="15" t="n">
        <f aca="false">IF(F168="",E168,F168)</f>
        <v>59.95</v>
      </c>
      <c r="H168" s="16" t="n">
        <f aca="false">G168-D168</f>
        <v>15</v>
      </c>
      <c r="I168" s="17" t="n">
        <f aca="false">IFERROR((G168-D168)/D168,0)</f>
        <v>0.333704115684093</v>
      </c>
      <c r="J168" s="12" t="str">
        <f aca="false">IF(G168&gt;D168,"Omhoog",IF(G168&lt;D168,"Omlaag","Gelijk"))</f>
        <v>Omhoog</v>
      </c>
      <c r="K168" s="18" t="str">
        <f aca="false">IF(ABS(I168)&gt;=0.2,"controleren","")</f>
        <v>controleren</v>
      </c>
      <c r="L168" s="13" t="n">
        <v>89.9</v>
      </c>
      <c r="M168" s="17" t="n">
        <f aca="false">IFERROR(1-D168/L168,0)</f>
        <v>0.5</v>
      </c>
      <c r="N168" s="17" t="n">
        <f aca="false">IF(Tiers!$B$15="ja",Tiers!$B$16,M168)</f>
        <v>0.5</v>
      </c>
      <c r="O168" s="13" t="n">
        <f aca="false">ROUNDUP(G168/(1-N168),0)-0.05</f>
        <v>119.95</v>
      </c>
      <c r="P168" s="17" t="n">
        <f aca="false">IFERROR(1-G168/O168,0)</f>
        <v>0.500208420175073</v>
      </c>
      <c r="Q168" s="12" t="n">
        <v>50</v>
      </c>
    </row>
    <row r="169" customFormat="false" ht="15" hidden="false" customHeight="false" outlineLevel="0" collapsed="false">
      <c r="A169" s="12" t="s">
        <v>379</v>
      </c>
      <c r="B169" s="12" t="s">
        <v>380</v>
      </c>
      <c r="C169" s="12" t="s">
        <v>15</v>
      </c>
      <c r="D169" s="13" t="n">
        <v>59.95</v>
      </c>
      <c r="E169" s="13" t="n">
        <f aca="false">IFERROR(INDEX(Tiers!$B$4:$B$12,MATCH(C169,Tiers!$A$4:$A$12,0)),D169)</f>
        <v>59.95</v>
      </c>
      <c r="F169" s="14"/>
      <c r="G169" s="15" t="n">
        <f aca="false">IF(F169="",E169,F169)</f>
        <v>59.95</v>
      </c>
      <c r="H169" s="16" t="n">
        <f aca="false">G169-D169</f>
        <v>0</v>
      </c>
      <c r="I169" s="17" t="n">
        <f aca="false">IFERROR((G169-D169)/D169,0)</f>
        <v>0</v>
      </c>
      <c r="J169" s="12" t="str">
        <f aca="false">IF(G169&gt;D169,"Omhoog",IF(G169&lt;D169,"Omlaag","Gelijk"))</f>
        <v>Gelijk</v>
      </c>
      <c r="K169" s="18" t="str">
        <f aca="false">IF(ABS(I169)&gt;=0.2,"controleren","")</f>
        <v/>
      </c>
      <c r="L169" s="13" t="n">
        <v>99.92</v>
      </c>
      <c r="M169" s="17" t="n">
        <f aca="false">IFERROR(1-D169/L169,0)</f>
        <v>0.40002001601281</v>
      </c>
      <c r="N169" s="17" t="n">
        <f aca="false">IF(Tiers!$B$15="ja",Tiers!$B$16,M169)</f>
        <v>0.40002001601281</v>
      </c>
      <c r="O169" s="13" t="n">
        <f aca="false">ROUNDUP(G169/(1-N169),0)-0.05</f>
        <v>99.95</v>
      </c>
      <c r="P169" s="17" t="n">
        <f aca="false">IFERROR(1-G169/O169,0)</f>
        <v>0.400200100050025</v>
      </c>
      <c r="Q169" s="12" t="n">
        <v>60</v>
      </c>
    </row>
    <row r="170" customFormat="false" ht="15" hidden="false" customHeight="false" outlineLevel="0" collapsed="false">
      <c r="A170" s="12" t="s">
        <v>381</v>
      </c>
      <c r="B170" s="12" t="s">
        <v>382</v>
      </c>
      <c r="C170" s="12" t="s">
        <v>15</v>
      </c>
      <c r="D170" s="13" t="n">
        <v>49.95</v>
      </c>
      <c r="E170" s="13" t="n">
        <f aca="false">IFERROR(INDEX(Tiers!$B$4:$B$12,MATCH(C170,Tiers!$A$4:$A$12,0)),D170)</f>
        <v>59.95</v>
      </c>
      <c r="F170" s="14"/>
      <c r="G170" s="15" t="n">
        <f aca="false">IF(F170="",E170,F170)</f>
        <v>59.95</v>
      </c>
      <c r="H170" s="16" t="n">
        <f aca="false">G170-D170</f>
        <v>10</v>
      </c>
      <c r="I170" s="17" t="n">
        <f aca="false">IFERROR((G170-D170)/D170,0)</f>
        <v>0.2002002002002</v>
      </c>
      <c r="J170" s="12" t="str">
        <f aca="false">IF(G170&gt;D170,"Omhoog",IF(G170&lt;D170,"Omlaag","Gelijk"))</f>
        <v>Omhoog</v>
      </c>
      <c r="K170" s="18" t="str">
        <f aca="false">IF(ABS(I170)&gt;=0.2,"controleren","")</f>
        <v>controleren</v>
      </c>
      <c r="L170" s="13" t="n">
        <v>90.82</v>
      </c>
      <c r="M170" s="17" t="n">
        <f aca="false">IFERROR(1-D170/L170,0)</f>
        <v>0.450011010790575</v>
      </c>
      <c r="N170" s="17" t="n">
        <f aca="false">IF(Tiers!$B$15="ja",Tiers!$B$16,M170)</f>
        <v>0.450011010790575</v>
      </c>
      <c r="O170" s="13" t="n">
        <f aca="false">ROUNDUP(G170/(1-N170),0)-0.05</f>
        <v>109.95</v>
      </c>
      <c r="P170" s="17" t="n">
        <f aca="false">IFERROR(1-G170/O170,0)</f>
        <v>0.45475216007276</v>
      </c>
      <c r="Q170" s="12" t="n">
        <v>40</v>
      </c>
    </row>
    <row r="171" customFormat="false" ht="15" hidden="false" customHeight="false" outlineLevel="0" collapsed="false">
      <c r="A171" s="12" t="s">
        <v>383</v>
      </c>
      <c r="B171" s="12" t="s">
        <v>384</v>
      </c>
      <c r="C171" s="12" t="s">
        <v>15</v>
      </c>
      <c r="D171" s="13" t="n">
        <v>59.95</v>
      </c>
      <c r="E171" s="13" t="n">
        <f aca="false">IFERROR(INDEX(Tiers!$B$4:$B$12,MATCH(C171,Tiers!$A$4:$A$12,0)),D171)</f>
        <v>59.95</v>
      </c>
      <c r="F171" s="14"/>
      <c r="G171" s="15" t="n">
        <f aca="false">IF(F171="",E171,F171)</f>
        <v>59.95</v>
      </c>
      <c r="H171" s="16" t="n">
        <f aca="false">G171-D171</f>
        <v>0</v>
      </c>
      <c r="I171" s="17" t="n">
        <f aca="false">IFERROR((G171-D171)/D171,0)</f>
        <v>0</v>
      </c>
      <c r="J171" s="12" t="str">
        <f aca="false">IF(G171&gt;D171,"Omhoog",IF(G171&lt;D171,"Omlaag","Gelijk"))</f>
        <v>Gelijk</v>
      </c>
      <c r="K171" s="18" t="str">
        <f aca="false">IF(ABS(I171)&gt;=0.2,"controleren","")</f>
        <v/>
      </c>
      <c r="L171" s="13" t="n">
        <v>99.92</v>
      </c>
      <c r="M171" s="17" t="n">
        <f aca="false">IFERROR(1-D171/L171,0)</f>
        <v>0.40002001601281</v>
      </c>
      <c r="N171" s="17" t="n">
        <f aca="false">IF(Tiers!$B$15="ja",Tiers!$B$16,M171)</f>
        <v>0.40002001601281</v>
      </c>
      <c r="O171" s="13" t="n">
        <f aca="false">ROUNDUP(G171/(1-N171),0)-0.05</f>
        <v>99.95</v>
      </c>
      <c r="P171" s="17" t="n">
        <f aca="false">IFERROR(1-G171/O171,0)</f>
        <v>0.400200100050025</v>
      </c>
      <c r="Q171" s="12" t="n">
        <v>42</v>
      </c>
    </row>
    <row r="172" customFormat="false" ht="15" hidden="false" customHeight="false" outlineLevel="0" collapsed="false">
      <c r="A172" s="12" t="s">
        <v>385</v>
      </c>
      <c r="B172" s="12" t="s">
        <v>386</v>
      </c>
      <c r="C172" s="12" t="s">
        <v>15</v>
      </c>
      <c r="D172" s="13" t="n">
        <v>49.95</v>
      </c>
      <c r="E172" s="13" t="n">
        <f aca="false">IFERROR(INDEX(Tiers!$B$4:$B$12,MATCH(C172,Tiers!$A$4:$A$12,0)),D172)</f>
        <v>59.95</v>
      </c>
      <c r="F172" s="14"/>
      <c r="G172" s="15" t="n">
        <f aca="false">IF(F172="",E172,F172)</f>
        <v>59.95</v>
      </c>
      <c r="H172" s="16" t="n">
        <f aca="false">G172-D172</f>
        <v>10</v>
      </c>
      <c r="I172" s="17" t="n">
        <f aca="false">IFERROR((G172-D172)/D172,0)</f>
        <v>0.2002002002002</v>
      </c>
      <c r="J172" s="12" t="str">
        <f aca="false">IF(G172&gt;D172,"Omhoog",IF(G172&lt;D172,"Omlaag","Gelijk"))</f>
        <v>Omhoog</v>
      </c>
      <c r="K172" s="18" t="str">
        <f aca="false">IF(ABS(I172)&gt;=0.2,"controleren","")</f>
        <v>controleren</v>
      </c>
      <c r="L172" s="13" t="n">
        <v>90.82</v>
      </c>
      <c r="M172" s="17" t="n">
        <f aca="false">IFERROR(1-D172/L172,0)</f>
        <v>0.450011010790575</v>
      </c>
      <c r="N172" s="17" t="n">
        <f aca="false">IF(Tiers!$B$15="ja",Tiers!$B$16,M172)</f>
        <v>0.450011010790575</v>
      </c>
      <c r="O172" s="13" t="n">
        <f aca="false">ROUNDUP(G172/(1-N172),0)-0.05</f>
        <v>109.95</v>
      </c>
      <c r="P172" s="17" t="n">
        <f aca="false">IFERROR(1-G172/O172,0)</f>
        <v>0.45475216007276</v>
      </c>
      <c r="Q172" s="12" t="n">
        <v>18</v>
      </c>
    </row>
    <row r="173" customFormat="false" ht="15" hidden="false" customHeight="false" outlineLevel="0" collapsed="false">
      <c r="A173" s="12" t="s">
        <v>387</v>
      </c>
      <c r="B173" s="12" t="s">
        <v>388</v>
      </c>
      <c r="C173" s="12" t="s">
        <v>15</v>
      </c>
      <c r="D173" s="13" t="n">
        <v>49.95</v>
      </c>
      <c r="E173" s="13" t="n">
        <f aca="false">IFERROR(INDEX(Tiers!$B$4:$B$12,MATCH(C173,Tiers!$A$4:$A$12,0)),D173)</f>
        <v>59.95</v>
      </c>
      <c r="F173" s="14"/>
      <c r="G173" s="15" t="n">
        <f aca="false">IF(F173="",E173,F173)</f>
        <v>59.95</v>
      </c>
      <c r="H173" s="16" t="n">
        <f aca="false">G173-D173</f>
        <v>10</v>
      </c>
      <c r="I173" s="17" t="n">
        <f aca="false">IFERROR((G173-D173)/D173,0)</f>
        <v>0.2002002002002</v>
      </c>
      <c r="J173" s="12" t="str">
        <f aca="false">IF(G173&gt;D173,"Omhoog",IF(G173&lt;D173,"Omlaag","Gelijk"))</f>
        <v>Omhoog</v>
      </c>
      <c r="K173" s="18" t="str">
        <f aca="false">IF(ABS(I173)&gt;=0.2,"controleren","")</f>
        <v>controleren</v>
      </c>
      <c r="L173" s="13" t="n">
        <v>99.9</v>
      </c>
      <c r="M173" s="17" t="n">
        <f aca="false">IFERROR(1-D173/L173,0)</f>
        <v>0.5</v>
      </c>
      <c r="N173" s="17" t="n">
        <f aca="false">IF(Tiers!$B$15="ja",Tiers!$B$16,M173)</f>
        <v>0.5</v>
      </c>
      <c r="O173" s="13" t="n">
        <f aca="false">ROUNDUP(G173/(1-N173),0)-0.05</f>
        <v>119.95</v>
      </c>
      <c r="P173" s="17" t="n">
        <f aca="false">IFERROR(1-G173/O173,0)</f>
        <v>0.500208420175073</v>
      </c>
      <c r="Q173" s="12" t="n">
        <v>39</v>
      </c>
    </row>
    <row r="174" customFormat="false" ht="15" hidden="false" customHeight="false" outlineLevel="0" collapsed="false">
      <c r="A174" s="12" t="s">
        <v>389</v>
      </c>
      <c r="B174" s="12" t="s">
        <v>390</v>
      </c>
      <c r="C174" s="12" t="s">
        <v>15</v>
      </c>
      <c r="D174" s="13" t="n">
        <v>59.95</v>
      </c>
      <c r="E174" s="13" t="n">
        <f aca="false">IFERROR(INDEX(Tiers!$B$4:$B$12,MATCH(C174,Tiers!$A$4:$A$12,0)),D174)</f>
        <v>59.95</v>
      </c>
      <c r="F174" s="14"/>
      <c r="G174" s="15" t="n">
        <f aca="false">IF(F174="",E174,F174)</f>
        <v>59.95</v>
      </c>
      <c r="H174" s="16" t="n">
        <f aca="false">G174-D174</f>
        <v>0</v>
      </c>
      <c r="I174" s="17" t="n">
        <f aca="false">IFERROR((G174-D174)/D174,0)</f>
        <v>0</v>
      </c>
      <c r="J174" s="12" t="str">
        <f aca="false">IF(G174&gt;D174,"Omhoog",IF(G174&lt;D174,"Omlaag","Gelijk"))</f>
        <v>Gelijk</v>
      </c>
      <c r="K174" s="18" t="str">
        <f aca="false">IF(ABS(I174)&gt;=0.2,"controleren","")</f>
        <v/>
      </c>
      <c r="L174" s="13" t="n">
        <v>109</v>
      </c>
      <c r="M174" s="17" t="n">
        <f aca="false">IFERROR(1-D174/L174,0)</f>
        <v>0.45</v>
      </c>
      <c r="N174" s="17" t="n">
        <f aca="false">IF(Tiers!$B$15="ja",Tiers!$B$16,M174)</f>
        <v>0.45</v>
      </c>
      <c r="O174" s="13" t="n">
        <f aca="false">ROUNDUP(G174/(1-N174),0)-0.05</f>
        <v>108.95</v>
      </c>
      <c r="P174" s="17" t="n">
        <f aca="false">IFERROR(1-G174/O174,0)</f>
        <v>0.449747590637907</v>
      </c>
      <c r="Q174" s="12" t="n">
        <v>84</v>
      </c>
    </row>
    <row r="175" customFormat="false" ht="15" hidden="false" customHeight="false" outlineLevel="0" collapsed="false">
      <c r="A175" s="12" t="s">
        <v>391</v>
      </c>
      <c r="B175" s="12" t="s">
        <v>392</v>
      </c>
      <c r="C175" s="12" t="s">
        <v>15</v>
      </c>
      <c r="D175" s="13" t="n">
        <v>59.95</v>
      </c>
      <c r="E175" s="13" t="n">
        <f aca="false">IFERROR(INDEX(Tiers!$B$4:$B$12,MATCH(C175,Tiers!$A$4:$A$12,0)),D175)</f>
        <v>59.95</v>
      </c>
      <c r="F175" s="14"/>
      <c r="G175" s="15" t="n">
        <f aca="false">IF(F175="",E175,F175)</f>
        <v>59.95</v>
      </c>
      <c r="H175" s="16" t="n">
        <f aca="false">G175-D175</f>
        <v>0</v>
      </c>
      <c r="I175" s="17" t="n">
        <f aca="false">IFERROR((G175-D175)/D175,0)</f>
        <v>0</v>
      </c>
      <c r="J175" s="12" t="str">
        <f aca="false">IF(G175&gt;D175,"Omhoog",IF(G175&lt;D175,"Omlaag","Gelijk"))</f>
        <v>Gelijk</v>
      </c>
      <c r="K175" s="18" t="str">
        <f aca="false">IF(ABS(I175)&gt;=0.2,"controleren","")</f>
        <v/>
      </c>
      <c r="L175" s="13" t="n">
        <v>109</v>
      </c>
      <c r="M175" s="17" t="n">
        <f aca="false">IFERROR(1-D175/L175,0)</f>
        <v>0.45</v>
      </c>
      <c r="N175" s="17" t="n">
        <f aca="false">IF(Tiers!$B$15="ja",Tiers!$B$16,M175)</f>
        <v>0.45</v>
      </c>
      <c r="O175" s="13" t="n">
        <f aca="false">ROUNDUP(G175/(1-N175),0)-0.05</f>
        <v>108.95</v>
      </c>
      <c r="P175" s="17" t="n">
        <f aca="false">IFERROR(1-G175/O175,0)</f>
        <v>0.449747590637907</v>
      </c>
      <c r="Q175" s="12" t="n">
        <v>30</v>
      </c>
    </row>
    <row r="176" customFormat="false" ht="15" hidden="false" customHeight="false" outlineLevel="0" collapsed="false">
      <c r="A176" s="12" t="s">
        <v>393</v>
      </c>
      <c r="B176" s="12" t="s">
        <v>394</v>
      </c>
      <c r="C176" s="12" t="s">
        <v>15</v>
      </c>
      <c r="D176" s="13" t="n">
        <v>64.95</v>
      </c>
      <c r="E176" s="13" t="n">
        <f aca="false">IFERROR(INDEX(Tiers!$B$4:$B$12,MATCH(C176,Tiers!$A$4:$A$12,0)),D176)</f>
        <v>59.95</v>
      </c>
      <c r="F176" s="14"/>
      <c r="G176" s="15" t="n">
        <f aca="false">IF(F176="",E176,F176)</f>
        <v>59.95</v>
      </c>
      <c r="H176" s="16" t="n">
        <f aca="false">G176-D176</f>
        <v>-5</v>
      </c>
      <c r="I176" s="17" t="n">
        <f aca="false">IFERROR((G176-D176)/D176,0)</f>
        <v>-0.0769822940723634</v>
      </c>
      <c r="J176" s="12" t="str">
        <f aca="false">IF(G176&gt;D176,"Omhoog",IF(G176&lt;D176,"Omlaag","Gelijk"))</f>
        <v>Omlaag</v>
      </c>
      <c r="K176" s="18" t="str">
        <f aca="false">IF(ABS(I176)&gt;=0.2,"controleren","")</f>
        <v/>
      </c>
      <c r="L176" s="13" t="n">
        <v>108.25</v>
      </c>
      <c r="M176" s="17" t="n">
        <f aca="false">IFERROR(1-D176/L176,0)</f>
        <v>0.4</v>
      </c>
      <c r="N176" s="17" t="n">
        <f aca="false">IF(Tiers!$B$15="ja",Tiers!$B$16,M176)</f>
        <v>0.4</v>
      </c>
      <c r="O176" s="13" t="n">
        <f aca="false">ROUNDUP(G176/(1-N176),0)-0.05</f>
        <v>99.95</v>
      </c>
      <c r="P176" s="17" t="n">
        <f aca="false">IFERROR(1-G176/O176,0)</f>
        <v>0.400200100050025</v>
      </c>
      <c r="Q176" s="12" t="n">
        <v>39</v>
      </c>
    </row>
    <row r="177" customFormat="false" ht="15" hidden="false" customHeight="false" outlineLevel="0" collapsed="false">
      <c r="A177" s="12" t="s">
        <v>395</v>
      </c>
      <c r="B177" s="12" t="s">
        <v>396</v>
      </c>
      <c r="C177" s="12" t="s">
        <v>15</v>
      </c>
      <c r="D177" s="13" t="n">
        <v>44.95</v>
      </c>
      <c r="E177" s="13" t="n">
        <f aca="false">IFERROR(INDEX(Tiers!$B$4:$B$12,MATCH(C177,Tiers!$A$4:$A$12,0)),D177)</f>
        <v>59.95</v>
      </c>
      <c r="F177" s="14"/>
      <c r="G177" s="15" t="n">
        <f aca="false">IF(F177="",E177,F177)</f>
        <v>59.95</v>
      </c>
      <c r="H177" s="16" t="n">
        <f aca="false">G177-D177</f>
        <v>15</v>
      </c>
      <c r="I177" s="17" t="n">
        <f aca="false">IFERROR((G177-D177)/D177,0)</f>
        <v>0.333704115684093</v>
      </c>
      <c r="J177" s="12" t="str">
        <f aca="false">IF(G177&gt;D177,"Omhoog",IF(G177&lt;D177,"Omlaag","Gelijk"))</f>
        <v>Omhoog</v>
      </c>
      <c r="K177" s="18" t="str">
        <f aca="false">IF(ABS(I177)&gt;=0.2,"controleren","")</f>
        <v>controleren</v>
      </c>
      <c r="L177" s="13" t="n">
        <v>81.73</v>
      </c>
      <c r="M177" s="17" t="n">
        <f aca="false">IFERROR(1-D177/L177,0)</f>
        <v>0.450018353113912</v>
      </c>
      <c r="N177" s="17" t="n">
        <f aca="false">IF(Tiers!$B$15="ja",Tiers!$B$16,M177)</f>
        <v>0.450018353113912</v>
      </c>
      <c r="O177" s="13" t="n">
        <f aca="false">ROUNDUP(G177/(1-N177),0)-0.05</f>
        <v>109.95</v>
      </c>
      <c r="P177" s="17" t="n">
        <f aca="false">IFERROR(1-G177/O177,0)</f>
        <v>0.45475216007276</v>
      </c>
      <c r="Q177" s="12" t="n">
        <v>30</v>
      </c>
    </row>
    <row r="178" customFormat="false" ht="15" hidden="false" customHeight="false" outlineLevel="0" collapsed="false">
      <c r="A178" s="12" t="s">
        <v>397</v>
      </c>
      <c r="B178" s="12" t="s">
        <v>398</v>
      </c>
      <c r="C178" s="12" t="s">
        <v>15</v>
      </c>
      <c r="D178" s="13" t="n">
        <v>59.95</v>
      </c>
      <c r="E178" s="13" t="n">
        <f aca="false">IFERROR(INDEX(Tiers!$B$4:$B$12,MATCH(C178,Tiers!$A$4:$A$12,0)),D178)</f>
        <v>59.95</v>
      </c>
      <c r="F178" s="14"/>
      <c r="G178" s="15" t="n">
        <f aca="false">IF(F178="",E178,F178)</f>
        <v>59.95</v>
      </c>
      <c r="H178" s="16" t="n">
        <f aca="false">G178-D178</f>
        <v>0</v>
      </c>
      <c r="I178" s="17" t="n">
        <f aca="false">IFERROR((G178-D178)/D178,0)</f>
        <v>0</v>
      </c>
      <c r="J178" s="12" t="str">
        <f aca="false">IF(G178&gt;D178,"Omhoog",IF(G178&lt;D178,"Omlaag","Gelijk"))</f>
        <v>Gelijk</v>
      </c>
      <c r="K178" s="18" t="str">
        <f aca="false">IF(ABS(I178)&gt;=0.2,"controleren","")</f>
        <v/>
      </c>
      <c r="L178" s="13" t="n">
        <v>99.92</v>
      </c>
      <c r="M178" s="17" t="n">
        <f aca="false">IFERROR(1-D178/L178,0)</f>
        <v>0.40002001601281</v>
      </c>
      <c r="N178" s="17" t="n">
        <f aca="false">IF(Tiers!$B$15="ja",Tiers!$B$16,M178)</f>
        <v>0.40002001601281</v>
      </c>
      <c r="O178" s="13" t="n">
        <f aca="false">ROUNDUP(G178/(1-N178),0)-0.05</f>
        <v>99.95</v>
      </c>
      <c r="P178" s="17" t="n">
        <f aca="false">IFERROR(1-G178/O178,0)</f>
        <v>0.400200100050025</v>
      </c>
      <c r="Q178" s="12" t="n">
        <v>36</v>
      </c>
    </row>
    <row r="179" customFormat="false" ht="15" hidden="false" customHeight="false" outlineLevel="0" collapsed="false">
      <c r="A179" s="12" t="s">
        <v>399</v>
      </c>
      <c r="B179" s="12" t="s">
        <v>400</v>
      </c>
      <c r="C179" s="12" t="s">
        <v>15</v>
      </c>
      <c r="D179" s="13" t="n">
        <v>54.95</v>
      </c>
      <c r="E179" s="13" t="n">
        <f aca="false">IFERROR(INDEX(Tiers!$B$4:$B$12,MATCH(C179,Tiers!$A$4:$A$12,0)),D179)</f>
        <v>59.95</v>
      </c>
      <c r="F179" s="14"/>
      <c r="G179" s="15" t="n">
        <f aca="false">IF(F179="",E179,F179)</f>
        <v>59.95</v>
      </c>
      <c r="H179" s="16" t="n">
        <f aca="false">G179-D179</f>
        <v>5</v>
      </c>
      <c r="I179" s="17" t="n">
        <f aca="false">IFERROR((G179-D179)/D179,0)</f>
        <v>0.0909918107370337</v>
      </c>
      <c r="J179" s="12" t="str">
        <f aca="false">IF(G179&gt;D179,"Omhoog",IF(G179&lt;D179,"Omlaag","Gelijk"))</f>
        <v>Omhoog</v>
      </c>
      <c r="K179" s="18" t="str">
        <f aca="false">IF(ABS(I179)&gt;=0.2,"controleren","")</f>
        <v/>
      </c>
      <c r="L179" s="13" t="n">
        <v>109.9</v>
      </c>
      <c r="M179" s="17" t="n">
        <f aca="false">IFERROR(1-D179/L179,0)</f>
        <v>0.5</v>
      </c>
      <c r="N179" s="17" t="n">
        <f aca="false">IF(Tiers!$B$15="ja",Tiers!$B$16,M179)</f>
        <v>0.5</v>
      </c>
      <c r="O179" s="13" t="n">
        <f aca="false">ROUNDUP(G179/(1-N179),0)-0.05</f>
        <v>119.95</v>
      </c>
      <c r="P179" s="17" t="n">
        <f aca="false">IFERROR(1-G179/O179,0)</f>
        <v>0.500208420175073</v>
      </c>
      <c r="Q179" s="12" t="n">
        <v>12</v>
      </c>
    </row>
    <row r="180" customFormat="false" ht="15" hidden="false" customHeight="false" outlineLevel="0" collapsed="false">
      <c r="A180" s="12" t="s">
        <v>401</v>
      </c>
      <c r="B180" s="12" t="s">
        <v>402</v>
      </c>
      <c r="C180" s="12" t="s">
        <v>15</v>
      </c>
      <c r="D180" s="13" t="n">
        <v>59.95</v>
      </c>
      <c r="E180" s="13" t="n">
        <f aca="false">IFERROR(INDEX(Tiers!$B$4:$B$12,MATCH(C180,Tiers!$A$4:$A$12,0)),D180)</f>
        <v>59.95</v>
      </c>
      <c r="F180" s="14"/>
      <c r="G180" s="15" t="n">
        <f aca="false">IF(F180="",E180,F180)</f>
        <v>59.95</v>
      </c>
      <c r="H180" s="16" t="n">
        <f aca="false">G180-D180</f>
        <v>0</v>
      </c>
      <c r="I180" s="17" t="n">
        <f aca="false">IFERROR((G180-D180)/D180,0)</f>
        <v>0</v>
      </c>
      <c r="J180" s="12" t="str">
        <f aca="false">IF(G180&gt;D180,"Omhoog",IF(G180&lt;D180,"Omlaag","Gelijk"))</f>
        <v>Gelijk</v>
      </c>
      <c r="K180" s="18" t="str">
        <f aca="false">IF(ABS(I180)&gt;=0.2,"controleren","")</f>
        <v/>
      </c>
      <c r="L180" s="13" t="n">
        <v>109</v>
      </c>
      <c r="M180" s="17" t="n">
        <f aca="false">IFERROR(1-D180/L180,0)</f>
        <v>0.45</v>
      </c>
      <c r="N180" s="17" t="n">
        <f aca="false">IF(Tiers!$B$15="ja",Tiers!$B$16,M180)</f>
        <v>0.45</v>
      </c>
      <c r="O180" s="13" t="n">
        <f aca="false">ROUNDUP(G180/(1-N180),0)-0.05</f>
        <v>108.95</v>
      </c>
      <c r="P180" s="17" t="n">
        <f aca="false">IFERROR(1-G180/O180,0)</f>
        <v>0.449747590637907</v>
      </c>
      <c r="Q180" s="12" t="n">
        <v>50</v>
      </c>
    </row>
    <row r="181" customFormat="false" ht="15" hidden="false" customHeight="false" outlineLevel="0" collapsed="false">
      <c r="A181" s="12" t="s">
        <v>403</v>
      </c>
      <c r="B181" s="12" t="s">
        <v>404</v>
      </c>
      <c r="C181" s="12" t="s">
        <v>17</v>
      </c>
      <c r="D181" s="13" t="n">
        <v>59.95</v>
      </c>
      <c r="E181" s="13" t="n">
        <f aca="false">IFERROR(INDEX(Tiers!$B$4:$B$12,MATCH(C181,Tiers!$A$4:$A$12,0)),D181)</f>
        <v>64.95</v>
      </c>
      <c r="F181" s="14"/>
      <c r="G181" s="15" t="n">
        <f aca="false">IF(F181="",E181,F181)</f>
        <v>64.95</v>
      </c>
      <c r="H181" s="16" t="n">
        <f aca="false">G181-D181</f>
        <v>5</v>
      </c>
      <c r="I181" s="17" t="n">
        <f aca="false">IFERROR((G181-D181)/D181,0)</f>
        <v>0.0834028356964137</v>
      </c>
      <c r="J181" s="12" t="str">
        <f aca="false">IF(G181&gt;D181,"Omhoog",IF(G181&lt;D181,"Omlaag","Gelijk"))</f>
        <v>Omhoog</v>
      </c>
      <c r="K181" s="18" t="str">
        <f aca="false">IF(ABS(I181)&gt;=0.2,"controleren","")</f>
        <v/>
      </c>
      <c r="L181" s="13" t="n">
        <v>119.9</v>
      </c>
      <c r="M181" s="17" t="n">
        <f aca="false">IFERROR(1-D181/L181,0)</f>
        <v>0.5</v>
      </c>
      <c r="N181" s="17" t="n">
        <f aca="false">IF(Tiers!$B$15="ja",Tiers!$B$16,M181)</f>
        <v>0.5</v>
      </c>
      <c r="O181" s="13" t="n">
        <f aca="false">ROUNDUP(G181/(1-N181),0)-0.05</f>
        <v>129.95</v>
      </c>
      <c r="P181" s="17" t="n">
        <f aca="false">IFERROR(1-G181/O181,0)</f>
        <v>0.500192381685264</v>
      </c>
      <c r="Q181" s="12" t="n">
        <v>90</v>
      </c>
    </row>
    <row r="182" customFormat="false" ht="15" hidden="false" customHeight="false" outlineLevel="0" collapsed="false">
      <c r="A182" s="12" t="s">
        <v>405</v>
      </c>
      <c r="B182" s="12" t="s">
        <v>406</v>
      </c>
      <c r="C182" s="12" t="s">
        <v>17</v>
      </c>
      <c r="D182" s="13" t="n">
        <v>54.95</v>
      </c>
      <c r="E182" s="13" t="n">
        <f aca="false">IFERROR(INDEX(Tiers!$B$4:$B$12,MATCH(C182,Tiers!$A$4:$A$12,0)),D182)</f>
        <v>64.95</v>
      </c>
      <c r="F182" s="14"/>
      <c r="G182" s="15" t="n">
        <f aca="false">IF(F182="",E182,F182)</f>
        <v>64.95</v>
      </c>
      <c r="H182" s="16" t="n">
        <f aca="false">G182-D182</f>
        <v>10</v>
      </c>
      <c r="I182" s="17" t="n">
        <f aca="false">IFERROR((G182-D182)/D182,0)</f>
        <v>0.181983621474067</v>
      </c>
      <c r="J182" s="12" t="str">
        <f aca="false">IF(G182&gt;D182,"Omhoog",IF(G182&lt;D182,"Omlaag","Gelijk"))</f>
        <v>Omhoog</v>
      </c>
      <c r="K182" s="18" t="str">
        <f aca="false">IF(ABS(I182)&gt;=0.2,"controleren","")</f>
        <v/>
      </c>
      <c r="L182" s="13" t="n">
        <v>99.91</v>
      </c>
      <c r="M182" s="17" t="n">
        <f aca="false">IFERROR(1-D182/L182,0)</f>
        <v>0.450005004504054</v>
      </c>
      <c r="N182" s="17" t="n">
        <f aca="false">IF(Tiers!$B$15="ja",Tiers!$B$16,M182)</f>
        <v>0.450005004504054</v>
      </c>
      <c r="O182" s="13" t="n">
        <f aca="false">ROUNDUP(G182/(1-N182),0)-0.05</f>
        <v>118.95</v>
      </c>
      <c r="P182" s="17" t="n">
        <f aca="false">IFERROR(1-G182/O182,0)</f>
        <v>0.453972257250946</v>
      </c>
      <c r="Q182" s="12" t="n">
        <v>48</v>
      </c>
    </row>
    <row r="183" customFormat="false" ht="15" hidden="false" customHeight="false" outlineLevel="0" collapsed="false">
      <c r="A183" s="12" t="s">
        <v>407</v>
      </c>
      <c r="B183" s="12" t="s">
        <v>408</v>
      </c>
      <c r="C183" s="12" t="s">
        <v>17</v>
      </c>
      <c r="D183" s="13" t="n">
        <v>69.95</v>
      </c>
      <c r="E183" s="13" t="n">
        <f aca="false">IFERROR(INDEX(Tiers!$B$4:$B$12,MATCH(C183,Tiers!$A$4:$A$12,0)),D183)</f>
        <v>64.95</v>
      </c>
      <c r="F183" s="14"/>
      <c r="G183" s="15" t="n">
        <f aca="false">IF(F183="",E183,F183)</f>
        <v>64.95</v>
      </c>
      <c r="H183" s="16" t="n">
        <f aca="false">G183-D183</f>
        <v>-5</v>
      </c>
      <c r="I183" s="17" t="n">
        <f aca="false">IFERROR((G183-D183)/D183,0)</f>
        <v>-0.0714796283059328</v>
      </c>
      <c r="J183" s="12" t="str">
        <f aca="false">IF(G183&gt;D183,"Omhoog",IF(G183&lt;D183,"Omlaag","Gelijk"))</f>
        <v>Omlaag</v>
      </c>
      <c r="K183" s="18" t="str">
        <f aca="false">IF(ABS(I183)&gt;=0.2,"controleren","")</f>
        <v/>
      </c>
      <c r="L183" s="13" t="n">
        <v>127.18</v>
      </c>
      <c r="M183" s="17" t="n">
        <f aca="false">IFERROR(1-D183/L183,0)</f>
        <v>0.449992137128479</v>
      </c>
      <c r="N183" s="17" t="n">
        <f aca="false">IF(Tiers!$B$15="ja",Tiers!$B$16,M183)</f>
        <v>0.449992137128479</v>
      </c>
      <c r="O183" s="13" t="n">
        <f aca="false">ROUNDUP(G183/(1-N183),0)-0.05</f>
        <v>118.95</v>
      </c>
      <c r="P183" s="17" t="n">
        <f aca="false">IFERROR(1-G183/O183,0)</f>
        <v>0.453972257250946</v>
      </c>
      <c r="Q183" s="12" t="n">
        <v>22</v>
      </c>
    </row>
    <row r="184" customFormat="false" ht="15" hidden="false" customHeight="false" outlineLevel="0" collapsed="false">
      <c r="A184" s="12" t="s">
        <v>409</v>
      </c>
      <c r="B184" s="12" t="s">
        <v>410</v>
      </c>
      <c r="C184" s="12" t="s">
        <v>17</v>
      </c>
      <c r="D184" s="13" t="n">
        <v>69.95</v>
      </c>
      <c r="E184" s="13" t="n">
        <f aca="false">IFERROR(INDEX(Tiers!$B$4:$B$12,MATCH(C184,Tiers!$A$4:$A$12,0)),D184)</f>
        <v>64.95</v>
      </c>
      <c r="F184" s="14"/>
      <c r="G184" s="15" t="n">
        <f aca="false">IF(F184="",E184,F184)</f>
        <v>64.95</v>
      </c>
      <c r="H184" s="16" t="n">
        <f aca="false">G184-D184</f>
        <v>-5</v>
      </c>
      <c r="I184" s="17" t="n">
        <f aca="false">IFERROR((G184-D184)/D184,0)</f>
        <v>-0.0714796283059328</v>
      </c>
      <c r="J184" s="12" t="str">
        <f aca="false">IF(G184&gt;D184,"Omhoog",IF(G184&lt;D184,"Omlaag","Gelijk"))</f>
        <v>Omlaag</v>
      </c>
      <c r="K184" s="18" t="str">
        <f aca="false">IF(ABS(I184)&gt;=0.2,"controleren","")</f>
        <v/>
      </c>
      <c r="L184" s="13" t="n">
        <v>116.58</v>
      </c>
      <c r="M184" s="17" t="n">
        <f aca="false">IFERROR(1-D184/L184,0)</f>
        <v>0.399982844398696</v>
      </c>
      <c r="N184" s="17" t="n">
        <f aca="false">IF(Tiers!$B$15="ja",Tiers!$B$16,M184)</f>
        <v>0.399982844398696</v>
      </c>
      <c r="O184" s="13" t="n">
        <f aca="false">ROUNDUP(G184/(1-N184),0)-0.05</f>
        <v>108.95</v>
      </c>
      <c r="P184" s="17" t="n">
        <f aca="false">IFERROR(1-G184/O184,0)</f>
        <v>0.403854979348325</v>
      </c>
      <c r="Q184" s="12" t="n">
        <v>27</v>
      </c>
    </row>
    <row r="185" customFormat="false" ht="15" hidden="false" customHeight="false" outlineLevel="0" collapsed="false">
      <c r="A185" s="12" t="s">
        <v>411</v>
      </c>
      <c r="B185" s="12" t="s">
        <v>412</v>
      </c>
      <c r="C185" s="12" t="s">
        <v>19</v>
      </c>
      <c r="D185" s="13" t="n">
        <v>64.95</v>
      </c>
      <c r="E185" s="13" t="n">
        <f aca="false">IFERROR(INDEX(Tiers!$B$4:$B$12,MATCH(C185,Tiers!$A$4:$A$12,0)),D185)</f>
        <v>64.95</v>
      </c>
      <c r="F185" s="14"/>
      <c r="G185" s="15" t="n">
        <f aca="false">IF(F185="",E185,F185)</f>
        <v>64.95</v>
      </c>
      <c r="H185" s="16" t="n">
        <f aca="false">G185-D185</f>
        <v>0</v>
      </c>
      <c r="I185" s="17" t="n">
        <f aca="false">IFERROR((G185-D185)/D185,0)</f>
        <v>0</v>
      </c>
      <c r="J185" s="12" t="str">
        <f aca="false">IF(G185&gt;D185,"Omhoog",IF(G185&lt;D185,"Omlaag","Gelijk"))</f>
        <v>Gelijk</v>
      </c>
      <c r="K185" s="18" t="str">
        <f aca="false">IF(ABS(I185)&gt;=0.2,"controleren","")</f>
        <v/>
      </c>
      <c r="L185" s="13" t="n">
        <v>129.9</v>
      </c>
      <c r="M185" s="17" t="n">
        <f aca="false">IFERROR(1-D185/L185,0)</f>
        <v>0.5</v>
      </c>
      <c r="N185" s="17" t="n">
        <f aca="false">IF(Tiers!$B$15="ja",Tiers!$B$16,M185)</f>
        <v>0.5</v>
      </c>
      <c r="O185" s="13" t="n">
        <f aca="false">ROUNDUP(G185/(1-N185),0)-0.05</f>
        <v>129.95</v>
      </c>
      <c r="P185" s="17" t="n">
        <f aca="false">IFERROR(1-G185/O185,0)</f>
        <v>0.500192381685264</v>
      </c>
      <c r="Q185" s="12" t="n">
        <v>45</v>
      </c>
    </row>
    <row r="186" customFormat="false" ht="15" hidden="false" customHeight="false" outlineLevel="0" collapsed="false">
      <c r="A186" s="12" t="s">
        <v>413</v>
      </c>
      <c r="B186" s="12" t="s">
        <v>414</v>
      </c>
      <c r="C186" s="12" t="s">
        <v>19</v>
      </c>
      <c r="D186" s="13" t="n">
        <v>64.95</v>
      </c>
      <c r="E186" s="13" t="n">
        <f aca="false">IFERROR(INDEX(Tiers!$B$4:$B$12,MATCH(C186,Tiers!$A$4:$A$12,0)),D186)</f>
        <v>64.95</v>
      </c>
      <c r="F186" s="14"/>
      <c r="G186" s="15" t="n">
        <f aca="false">IF(F186="",E186,F186)</f>
        <v>64.95</v>
      </c>
      <c r="H186" s="16" t="n">
        <f aca="false">G186-D186</f>
        <v>0</v>
      </c>
      <c r="I186" s="17" t="n">
        <f aca="false">IFERROR((G186-D186)/D186,0)</f>
        <v>0</v>
      </c>
      <c r="J186" s="12" t="str">
        <f aca="false">IF(G186&gt;D186,"Omhoog",IF(G186&lt;D186,"Omlaag","Gelijk"))</f>
        <v>Gelijk</v>
      </c>
      <c r="K186" s="18" t="str">
        <f aca="false">IF(ABS(I186)&gt;=0.2,"controleren","")</f>
        <v/>
      </c>
      <c r="L186" s="13" t="n">
        <v>108.25</v>
      </c>
      <c r="M186" s="17" t="n">
        <f aca="false">IFERROR(1-D186/L186,0)</f>
        <v>0.4</v>
      </c>
      <c r="N186" s="17" t="n">
        <f aca="false">IF(Tiers!$B$15="ja",Tiers!$B$16,M186)</f>
        <v>0.4</v>
      </c>
      <c r="O186" s="13" t="n">
        <f aca="false">ROUNDUP(G186/(1-N186),0)-0.05</f>
        <v>108.95</v>
      </c>
      <c r="P186" s="17" t="n">
        <f aca="false">IFERROR(1-G186/O186,0)</f>
        <v>0.403854979348325</v>
      </c>
      <c r="Q186" s="12" t="n">
        <v>45</v>
      </c>
    </row>
    <row r="187" customFormat="false" ht="15" hidden="false" customHeight="false" outlineLevel="0" collapsed="false">
      <c r="A187" s="12" t="s">
        <v>415</v>
      </c>
      <c r="B187" s="12" t="s">
        <v>416</v>
      </c>
      <c r="C187" s="12" t="s">
        <v>19</v>
      </c>
      <c r="D187" s="13" t="n">
        <v>64.95</v>
      </c>
      <c r="E187" s="13" t="n">
        <f aca="false">IFERROR(INDEX(Tiers!$B$4:$B$12,MATCH(C187,Tiers!$A$4:$A$12,0)),D187)</f>
        <v>64.95</v>
      </c>
      <c r="F187" s="14"/>
      <c r="G187" s="15" t="n">
        <f aca="false">IF(F187="",E187,F187)</f>
        <v>64.95</v>
      </c>
      <c r="H187" s="16" t="n">
        <f aca="false">G187-D187</f>
        <v>0</v>
      </c>
      <c r="I187" s="17" t="n">
        <f aca="false">IFERROR((G187-D187)/D187,0)</f>
        <v>0</v>
      </c>
      <c r="J187" s="12" t="str">
        <f aca="false">IF(G187&gt;D187,"Omhoog",IF(G187&lt;D187,"Omlaag","Gelijk"))</f>
        <v>Gelijk</v>
      </c>
      <c r="K187" s="18" t="str">
        <f aca="false">IF(ABS(I187)&gt;=0.2,"controleren","")</f>
        <v/>
      </c>
      <c r="L187" s="13" t="n">
        <v>129.9</v>
      </c>
      <c r="M187" s="17" t="n">
        <f aca="false">IFERROR(1-D187/L187,0)</f>
        <v>0.5</v>
      </c>
      <c r="N187" s="17" t="n">
        <f aca="false">IF(Tiers!$B$15="ja",Tiers!$B$16,M187)</f>
        <v>0.5</v>
      </c>
      <c r="O187" s="13" t="n">
        <f aca="false">ROUNDUP(G187/(1-N187),0)-0.05</f>
        <v>129.95</v>
      </c>
      <c r="P187" s="17" t="n">
        <f aca="false">IFERROR(1-G187/O187,0)</f>
        <v>0.500192381685264</v>
      </c>
      <c r="Q187" s="12" t="n">
        <v>8</v>
      </c>
    </row>
    <row r="188" customFormat="false" ht="15" hidden="false" customHeight="false" outlineLevel="0" collapsed="false">
      <c r="A188" s="12" t="s">
        <v>417</v>
      </c>
      <c r="B188" s="12" t="s">
        <v>418</v>
      </c>
      <c r="C188" s="12" t="s">
        <v>19</v>
      </c>
      <c r="D188" s="13" t="n">
        <v>59.95</v>
      </c>
      <c r="E188" s="13" t="n">
        <f aca="false">IFERROR(INDEX(Tiers!$B$4:$B$12,MATCH(C188,Tiers!$A$4:$A$12,0)),D188)</f>
        <v>64.95</v>
      </c>
      <c r="F188" s="14"/>
      <c r="G188" s="15" t="n">
        <f aca="false">IF(F188="",E188,F188)</f>
        <v>64.95</v>
      </c>
      <c r="H188" s="16" t="n">
        <f aca="false">G188-D188</f>
        <v>5</v>
      </c>
      <c r="I188" s="17" t="n">
        <f aca="false">IFERROR((G188-D188)/D188,0)</f>
        <v>0.0834028356964137</v>
      </c>
      <c r="J188" s="12" t="str">
        <f aca="false">IF(G188&gt;D188,"Omhoog",IF(G188&lt;D188,"Omlaag","Gelijk"))</f>
        <v>Omhoog</v>
      </c>
      <c r="K188" s="18" t="str">
        <f aca="false">IF(ABS(I188)&gt;=0.2,"controleren","")</f>
        <v/>
      </c>
      <c r="L188" s="13" t="n">
        <v>99.92</v>
      </c>
      <c r="M188" s="17" t="n">
        <f aca="false">IFERROR(1-D188/L188,0)</f>
        <v>0.40002001601281</v>
      </c>
      <c r="N188" s="17" t="n">
        <f aca="false">IF(Tiers!$B$15="ja",Tiers!$B$16,M188)</f>
        <v>0.40002001601281</v>
      </c>
      <c r="O188" s="13" t="n">
        <f aca="false">ROUNDUP(G188/(1-N188),0)-0.05</f>
        <v>108.95</v>
      </c>
      <c r="P188" s="17" t="n">
        <f aca="false">IFERROR(1-G188/O188,0)</f>
        <v>0.403854979348325</v>
      </c>
      <c r="Q188" s="12" t="n">
        <v>9</v>
      </c>
    </row>
    <row r="189" customFormat="false" ht="15" hidden="false" customHeight="false" outlineLevel="0" collapsed="false">
      <c r="A189" s="12" t="s">
        <v>419</v>
      </c>
      <c r="B189" s="12" t="s">
        <v>420</v>
      </c>
      <c r="C189" s="12" t="s">
        <v>21</v>
      </c>
      <c r="D189" s="13" t="n">
        <v>79.95</v>
      </c>
      <c r="E189" s="13" t="n">
        <f aca="false">IFERROR(INDEX(Tiers!$B$4:$B$12,MATCH(C189,Tiers!$A$4:$A$12,0)),D189)</f>
        <v>79.95</v>
      </c>
      <c r="F189" s="14"/>
      <c r="G189" s="15" t="n">
        <f aca="false">IF(F189="",E189,F189)</f>
        <v>79.95</v>
      </c>
      <c r="H189" s="16" t="n">
        <f aca="false">G189-D189</f>
        <v>0</v>
      </c>
      <c r="I189" s="17" t="n">
        <f aca="false">IFERROR((G189-D189)/D189,0)</f>
        <v>0</v>
      </c>
      <c r="J189" s="12" t="str">
        <f aca="false">IF(G189&gt;D189,"Omhoog",IF(G189&lt;D189,"Omlaag","Gelijk"))</f>
        <v>Gelijk</v>
      </c>
      <c r="K189" s="18" t="str">
        <f aca="false">IF(ABS(I189)&gt;=0.2,"controleren","")</f>
        <v/>
      </c>
      <c r="L189" s="13" t="n">
        <v>145.36</v>
      </c>
      <c r="M189" s="17" t="n">
        <f aca="false">IFERROR(1-D189/L189,0)</f>
        <v>0.449986241056687</v>
      </c>
      <c r="N189" s="17" t="n">
        <f aca="false">IF(Tiers!$B$15="ja",Tiers!$B$16,M189)</f>
        <v>0.449986241056687</v>
      </c>
      <c r="O189" s="13" t="n">
        <f aca="false">ROUNDUP(G189/(1-N189),0)-0.05</f>
        <v>145.95</v>
      </c>
      <c r="P189" s="17" t="n">
        <f aca="false">IFERROR(1-G189/O189,0)</f>
        <v>0.452209660842754</v>
      </c>
      <c r="Q189" s="12" t="n">
        <v>22</v>
      </c>
    </row>
    <row r="190" customFormat="false" ht="15" hidden="false" customHeight="false" outlineLevel="0" collapsed="false">
      <c r="A190" s="12" t="s">
        <v>421</v>
      </c>
      <c r="B190" s="12" t="s">
        <v>422</v>
      </c>
      <c r="C190" s="12" t="s">
        <v>21</v>
      </c>
      <c r="D190" s="13" t="n">
        <v>74.95</v>
      </c>
      <c r="E190" s="13" t="n">
        <f aca="false">IFERROR(INDEX(Tiers!$B$4:$B$12,MATCH(C190,Tiers!$A$4:$A$12,0)),D190)</f>
        <v>79.95</v>
      </c>
      <c r="F190" s="14"/>
      <c r="G190" s="15" t="n">
        <f aca="false">IF(F190="",E190,F190)</f>
        <v>79.95</v>
      </c>
      <c r="H190" s="16" t="n">
        <f aca="false">G190-D190</f>
        <v>5</v>
      </c>
      <c r="I190" s="17" t="n">
        <f aca="false">IFERROR((G190-D190)/D190,0)</f>
        <v>0.066711140760507</v>
      </c>
      <c r="J190" s="12" t="str">
        <f aca="false">IF(G190&gt;D190,"Omhoog",IF(G190&lt;D190,"Omlaag","Gelijk"))</f>
        <v>Omhoog</v>
      </c>
      <c r="K190" s="18" t="str">
        <f aca="false">IF(ABS(I190)&gt;=0.2,"controleren","")</f>
        <v/>
      </c>
      <c r="L190" s="13" t="n">
        <v>136.27</v>
      </c>
      <c r="M190" s="17" t="n">
        <f aca="false">IFERROR(1-D190/L190,0)</f>
        <v>0.449988992441477</v>
      </c>
      <c r="N190" s="17" t="n">
        <f aca="false">IF(Tiers!$B$15="ja",Tiers!$B$16,M190)</f>
        <v>0.449988992441477</v>
      </c>
      <c r="O190" s="13" t="n">
        <f aca="false">ROUNDUP(G190/(1-N190),0)-0.05</f>
        <v>145.95</v>
      </c>
      <c r="P190" s="17" t="n">
        <f aca="false">IFERROR(1-G190/O190,0)</f>
        <v>0.452209660842754</v>
      </c>
      <c r="Q190" s="12" t="n">
        <v>56</v>
      </c>
    </row>
    <row r="191" customFormat="false" ht="15" hidden="false" customHeight="false" outlineLevel="0" collapsed="false">
      <c r="A191" s="12" t="s">
        <v>423</v>
      </c>
      <c r="B191" s="12" t="s">
        <v>424</v>
      </c>
      <c r="C191" s="12" t="s">
        <v>21</v>
      </c>
      <c r="D191" s="13" t="n">
        <v>64.95</v>
      </c>
      <c r="E191" s="13" t="n">
        <f aca="false">IFERROR(INDEX(Tiers!$B$4:$B$12,MATCH(C191,Tiers!$A$4:$A$12,0)),D191)</f>
        <v>79.95</v>
      </c>
      <c r="F191" s="14"/>
      <c r="G191" s="15" t="n">
        <f aca="false">IF(F191="",E191,F191)</f>
        <v>79.95</v>
      </c>
      <c r="H191" s="16" t="n">
        <f aca="false">G191-D191</f>
        <v>15</v>
      </c>
      <c r="I191" s="17" t="n">
        <f aca="false">IFERROR((G191-D191)/D191,0)</f>
        <v>0.23094688221709</v>
      </c>
      <c r="J191" s="12" t="str">
        <f aca="false">IF(G191&gt;D191,"Omhoog",IF(G191&lt;D191,"Omlaag","Gelijk"))</f>
        <v>Omhoog</v>
      </c>
      <c r="K191" s="18" t="str">
        <f aca="false">IF(ABS(I191)&gt;=0.2,"controleren","")</f>
        <v>controleren</v>
      </c>
      <c r="L191" s="13" t="n">
        <v>129.9</v>
      </c>
      <c r="M191" s="17" t="n">
        <f aca="false">IFERROR(1-D191/L191,0)</f>
        <v>0.5</v>
      </c>
      <c r="N191" s="17" t="n">
        <f aca="false">IF(Tiers!$B$15="ja",Tiers!$B$16,M191)</f>
        <v>0.5</v>
      </c>
      <c r="O191" s="13" t="n">
        <f aca="false">ROUNDUP(G191/(1-N191),0)-0.05</f>
        <v>159.95</v>
      </c>
      <c r="P191" s="17" t="n">
        <f aca="false">IFERROR(1-G191/O191,0)</f>
        <v>0.500156298843389</v>
      </c>
      <c r="Q191" s="12" t="n">
        <v>20</v>
      </c>
    </row>
    <row r="192" customFormat="false" ht="15" hidden="false" customHeight="false" outlineLevel="0" collapsed="false">
      <c r="A192" s="12" t="s">
        <v>425</v>
      </c>
      <c r="B192" s="12" t="s">
        <v>426</v>
      </c>
      <c r="C192" s="12" t="s">
        <v>21</v>
      </c>
      <c r="D192" s="13" t="n">
        <v>79.95</v>
      </c>
      <c r="E192" s="13" t="n">
        <f aca="false">IFERROR(INDEX(Tiers!$B$4:$B$12,MATCH(C192,Tiers!$A$4:$A$12,0)),D192)</f>
        <v>79.95</v>
      </c>
      <c r="F192" s="14"/>
      <c r="G192" s="15" t="n">
        <f aca="false">IF(F192="",E192,F192)</f>
        <v>79.95</v>
      </c>
      <c r="H192" s="16" t="n">
        <f aca="false">G192-D192</f>
        <v>0</v>
      </c>
      <c r="I192" s="17" t="n">
        <f aca="false">IFERROR((G192-D192)/D192,0)</f>
        <v>0</v>
      </c>
      <c r="J192" s="12" t="str">
        <f aca="false">IF(G192&gt;D192,"Omhoog",IF(G192&lt;D192,"Omlaag","Gelijk"))</f>
        <v>Gelijk</v>
      </c>
      <c r="K192" s="18" t="str">
        <f aca="false">IF(ABS(I192)&gt;=0.2,"controleren","")</f>
        <v/>
      </c>
      <c r="L192" s="13" t="n">
        <v>145.36</v>
      </c>
      <c r="M192" s="17" t="n">
        <f aca="false">IFERROR(1-D192/L192,0)</f>
        <v>0.449986241056687</v>
      </c>
      <c r="N192" s="17" t="n">
        <f aca="false">IF(Tiers!$B$15="ja",Tiers!$B$16,M192)</f>
        <v>0.449986241056687</v>
      </c>
      <c r="O192" s="13" t="n">
        <f aca="false">ROUNDUP(G192/(1-N192),0)-0.05</f>
        <v>145.95</v>
      </c>
      <c r="P192" s="17" t="n">
        <f aca="false">IFERROR(1-G192/O192,0)</f>
        <v>0.452209660842754</v>
      </c>
      <c r="Q192" s="12" t="n">
        <v>72</v>
      </c>
    </row>
    <row r="193" customFormat="false" ht="15" hidden="false" customHeight="false" outlineLevel="0" collapsed="false">
      <c r="A193" s="12" t="s">
        <v>427</v>
      </c>
      <c r="B193" s="12" t="s">
        <v>428</v>
      </c>
      <c r="C193" s="12" t="s">
        <v>21</v>
      </c>
      <c r="D193" s="13" t="n">
        <v>79.95</v>
      </c>
      <c r="E193" s="13" t="n">
        <f aca="false">IFERROR(INDEX(Tiers!$B$4:$B$12,MATCH(C193,Tiers!$A$4:$A$12,0)),D193)</f>
        <v>79.95</v>
      </c>
      <c r="F193" s="14"/>
      <c r="G193" s="15" t="n">
        <f aca="false">IF(F193="",E193,F193)</f>
        <v>79.95</v>
      </c>
      <c r="H193" s="16" t="n">
        <f aca="false">G193-D193</f>
        <v>0</v>
      </c>
      <c r="I193" s="17" t="n">
        <f aca="false">IFERROR((G193-D193)/D193,0)</f>
        <v>0</v>
      </c>
      <c r="J193" s="12" t="str">
        <f aca="false">IF(G193&gt;D193,"Omhoog",IF(G193&lt;D193,"Omlaag","Gelijk"))</f>
        <v>Gelijk</v>
      </c>
      <c r="K193" s="18" t="str">
        <f aca="false">IF(ABS(I193)&gt;=0.2,"controleren","")</f>
        <v/>
      </c>
      <c r="L193" s="13" t="n">
        <v>133.25</v>
      </c>
      <c r="M193" s="17" t="n">
        <f aca="false">IFERROR(1-D193/L193,0)</f>
        <v>0.4</v>
      </c>
      <c r="N193" s="17" t="n">
        <f aca="false">IF(Tiers!$B$15="ja",Tiers!$B$16,M193)</f>
        <v>0.4</v>
      </c>
      <c r="O193" s="13" t="n">
        <f aca="false">ROUNDUP(G193/(1-N193),0)-0.05</f>
        <v>133.95</v>
      </c>
      <c r="P193" s="17" t="n">
        <f aca="false">IFERROR(1-G193/O193,0)</f>
        <v>0.403135498320269</v>
      </c>
      <c r="Q193" s="12" t="n">
        <v>33</v>
      </c>
    </row>
    <row r="194" customFormat="false" ht="15" hidden="false" customHeight="false" outlineLevel="0" collapsed="false">
      <c r="A194" s="12" t="s">
        <v>429</v>
      </c>
      <c r="B194" s="12" t="s">
        <v>430</v>
      </c>
      <c r="C194" s="12" t="s">
        <v>21</v>
      </c>
      <c r="D194" s="13" t="n">
        <v>79.95</v>
      </c>
      <c r="E194" s="13" t="n">
        <f aca="false">IFERROR(INDEX(Tiers!$B$4:$B$12,MATCH(C194,Tiers!$A$4:$A$12,0)),D194)</f>
        <v>79.95</v>
      </c>
      <c r="F194" s="14"/>
      <c r="G194" s="15" t="n">
        <f aca="false">IF(F194="",E194,F194)</f>
        <v>79.95</v>
      </c>
      <c r="H194" s="16" t="n">
        <f aca="false">G194-D194</f>
        <v>0</v>
      </c>
      <c r="I194" s="17" t="n">
        <f aca="false">IFERROR((G194-D194)/D194,0)</f>
        <v>0</v>
      </c>
      <c r="J194" s="12" t="str">
        <f aca="false">IF(G194&gt;D194,"Omhoog",IF(G194&lt;D194,"Omlaag","Gelijk"))</f>
        <v>Gelijk</v>
      </c>
      <c r="K194" s="18" t="str">
        <f aca="false">IF(ABS(I194)&gt;=0.2,"controleren","")</f>
        <v/>
      </c>
      <c r="L194" s="13" t="n">
        <v>145.36</v>
      </c>
      <c r="M194" s="17" t="n">
        <f aca="false">IFERROR(1-D194/L194,0)</f>
        <v>0.449986241056687</v>
      </c>
      <c r="N194" s="17" t="n">
        <f aca="false">IF(Tiers!$B$15="ja",Tiers!$B$16,M194)</f>
        <v>0.449986241056687</v>
      </c>
      <c r="O194" s="13" t="n">
        <f aca="false">ROUNDUP(G194/(1-N194),0)-0.05</f>
        <v>145.95</v>
      </c>
      <c r="P194" s="17" t="n">
        <f aca="false">IFERROR(1-G194/O194,0)</f>
        <v>0.452209660842754</v>
      </c>
      <c r="Q194" s="12" t="n">
        <v>60</v>
      </c>
    </row>
    <row r="195" customFormat="false" ht="15" hidden="false" customHeight="false" outlineLevel="0" collapsed="false">
      <c r="A195" s="12" t="s">
        <v>431</v>
      </c>
      <c r="B195" s="12" t="s">
        <v>432</v>
      </c>
      <c r="C195" s="12" t="s">
        <v>21</v>
      </c>
      <c r="D195" s="13" t="n">
        <v>79.95</v>
      </c>
      <c r="E195" s="13" t="n">
        <f aca="false">IFERROR(INDEX(Tiers!$B$4:$B$12,MATCH(C195,Tiers!$A$4:$A$12,0)),D195)</f>
        <v>79.95</v>
      </c>
      <c r="F195" s="14"/>
      <c r="G195" s="15" t="n">
        <f aca="false">IF(F195="",E195,F195)</f>
        <v>79.95</v>
      </c>
      <c r="H195" s="16" t="n">
        <f aca="false">G195-D195</f>
        <v>0</v>
      </c>
      <c r="I195" s="17" t="n">
        <f aca="false">IFERROR((G195-D195)/D195,0)</f>
        <v>0</v>
      </c>
      <c r="J195" s="12" t="str">
        <f aca="false">IF(G195&gt;D195,"Omhoog",IF(G195&lt;D195,"Omlaag","Gelijk"))</f>
        <v>Gelijk</v>
      </c>
      <c r="K195" s="18" t="str">
        <f aca="false">IF(ABS(I195)&gt;=0.2,"controleren","")</f>
        <v/>
      </c>
      <c r="L195" s="13" t="n">
        <v>159.9</v>
      </c>
      <c r="M195" s="17" t="n">
        <f aca="false">IFERROR(1-D195/L195,0)</f>
        <v>0.5</v>
      </c>
      <c r="N195" s="17" t="n">
        <f aca="false">IF(Tiers!$B$15="ja",Tiers!$B$16,M195)</f>
        <v>0.5</v>
      </c>
      <c r="O195" s="13" t="n">
        <f aca="false">ROUNDUP(G195/(1-N195),0)-0.05</f>
        <v>159.95</v>
      </c>
      <c r="P195" s="17" t="n">
        <f aca="false">IFERROR(1-G195/O195,0)</f>
        <v>0.500156298843389</v>
      </c>
      <c r="Q195" s="12" t="n">
        <v>22</v>
      </c>
    </row>
    <row r="196" customFormat="false" ht="15" hidden="false" customHeight="false" outlineLevel="0" collapsed="false">
      <c r="A196" s="12" t="s">
        <v>433</v>
      </c>
      <c r="B196" s="12" t="s">
        <v>434</v>
      </c>
      <c r="C196" s="12" t="s">
        <v>21</v>
      </c>
      <c r="D196" s="13" t="n">
        <v>79.95</v>
      </c>
      <c r="E196" s="13" t="n">
        <f aca="false">IFERROR(INDEX(Tiers!$B$4:$B$12,MATCH(C196,Tiers!$A$4:$A$12,0)),D196)</f>
        <v>79.95</v>
      </c>
      <c r="F196" s="14"/>
      <c r="G196" s="15" t="n">
        <f aca="false">IF(F196="",E196,F196)</f>
        <v>79.95</v>
      </c>
      <c r="H196" s="16" t="n">
        <f aca="false">G196-D196</f>
        <v>0</v>
      </c>
      <c r="I196" s="17" t="n">
        <f aca="false">IFERROR((G196-D196)/D196,0)</f>
        <v>0</v>
      </c>
      <c r="J196" s="12" t="str">
        <f aca="false">IF(G196&gt;D196,"Omhoog",IF(G196&lt;D196,"Omlaag","Gelijk"))</f>
        <v>Gelijk</v>
      </c>
      <c r="K196" s="18" t="str">
        <f aca="false">IF(ABS(I196)&gt;=0.2,"controleren","")</f>
        <v/>
      </c>
      <c r="L196" s="13" t="n">
        <v>133.25</v>
      </c>
      <c r="M196" s="17" t="n">
        <f aca="false">IFERROR(1-D196/L196,0)</f>
        <v>0.4</v>
      </c>
      <c r="N196" s="17" t="n">
        <f aca="false">IF(Tiers!$B$15="ja",Tiers!$B$16,M196)</f>
        <v>0.4</v>
      </c>
      <c r="O196" s="13" t="n">
        <f aca="false">ROUNDUP(G196/(1-N196),0)-0.05</f>
        <v>133.95</v>
      </c>
      <c r="P196" s="17" t="n">
        <f aca="false">IFERROR(1-G196/O196,0)</f>
        <v>0.403135498320269</v>
      </c>
      <c r="Q196" s="12" t="n">
        <v>26</v>
      </c>
    </row>
    <row r="197" customFormat="false" ht="15" hidden="false" customHeight="false" outlineLevel="0" collapsed="false">
      <c r="A197" s="12" t="s">
        <v>435</v>
      </c>
      <c r="B197" s="12" t="s">
        <v>436</v>
      </c>
      <c r="C197" s="12" t="s">
        <v>21</v>
      </c>
      <c r="D197" s="13" t="n">
        <v>79.95</v>
      </c>
      <c r="E197" s="13" t="n">
        <f aca="false">IFERROR(INDEX(Tiers!$B$4:$B$12,MATCH(C197,Tiers!$A$4:$A$12,0)),D197)</f>
        <v>79.95</v>
      </c>
      <c r="F197" s="14"/>
      <c r="G197" s="15" t="n">
        <f aca="false">IF(F197="",E197,F197)</f>
        <v>79.95</v>
      </c>
      <c r="H197" s="16" t="n">
        <f aca="false">G197-D197</f>
        <v>0</v>
      </c>
      <c r="I197" s="17" t="n">
        <f aca="false">IFERROR((G197-D197)/D197,0)</f>
        <v>0</v>
      </c>
      <c r="J197" s="12" t="str">
        <f aca="false">IF(G197&gt;D197,"Omhoog",IF(G197&lt;D197,"Omlaag","Gelijk"))</f>
        <v>Gelijk</v>
      </c>
      <c r="K197" s="18" t="str">
        <f aca="false">IF(ABS(I197)&gt;=0.2,"controleren","")</f>
        <v/>
      </c>
      <c r="L197" s="13" t="n">
        <v>145.36</v>
      </c>
      <c r="M197" s="17" t="n">
        <f aca="false">IFERROR(1-D197/L197,0)</f>
        <v>0.449986241056687</v>
      </c>
      <c r="N197" s="17" t="n">
        <f aca="false">IF(Tiers!$B$15="ja",Tiers!$B$16,M197)</f>
        <v>0.449986241056687</v>
      </c>
      <c r="O197" s="13" t="n">
        <f aca="false">ROUNDUP(G197/(1-N197),0)-0.05</f>
        <v>145.95</v>
      </c>
      <c r="P197" s="17" t="n">
        <f aca="false">IFERROR(1-G197/O197,0)</f>
        <v>0.452209660842754</v>
      </c>
      <c r="Q197" s="12" t="n">
        <v>54</v>
      </c>
    </row>
    <row r="198" customFormat="false" ht="15" hidden="false" customHeight="false" outlineLevel="0" collapsed="false">
      <c r="A198" s="12" t="s">
        <v>437</v>
      </c>
      <c r="B198" s="12" t="s">
        <v>438</v>
      </c>
      <c r="C198" s="12" t="s">
        <v>21</v>
      </c>
      <c r="D198" s="13" t="n">
        <v>59.95</v>
      </c>
      <c r="E198" s="13" t="n">
        <f aca="false">IFERROR(INDEX(Tiers!$B$4:$B$12,MATCH(C198,Tiers!$A$4:$A$12,0)),D198)</f>
        <v>79.95</v>
      </c>
      <c r="F198" s="14"/>
      <c r="G198" s="15" t="n">
        <f aca="false">IF(F198="",E198,F198)</f>
        <v>79.95</v>
      </c>
      <c r="H198" s="16" t="n">
        <f aca="false">G198-D198</f>
        <v>20</v>
      </c>
      <c r="I198" s="17" t="n">
        <f aca="false">IFERROR((G198-D198)/D198,0)</f>
        <v>0.333611342785655</v>
      </c>
      <c r="J198" s="12" t="str">
        <f aca="false">IF(G198&gt;D198,"Omhoog",IF(G198&lt;D198,"Omlaag","Gelijk"))</f>
        <v>Omhoog</v>
      </c>
      <c r="K198" s="18" t="str">
        <f aca="false">IF(ABS(I198)&gt;=0.2,"controleren","")</f>
        <v>controleren</v>
      </c>
      <c r="L198" s="13" t="n">
        <v>99.92</v>
      </c>
      <c r="M198" s="17" t="n">
        <f aca="false">IFERROR(1-D198/L198,0)</f>
        <v>0.40002001601281</v>
      </c>
      <c r="N198" s="17" t="n">
        <f aca="false">IF(Tiers!$B$15="ja",Tiers!$B$16,M198)</f>
        <v>0.40002001601281</v>
      </c>
      <c r="O198" s="13" t="n">
        <f aca="false">ROUNDUP(G198/(1-N198),0)-0.05</f>
        <v>133.95</v>
      </c>
      <c r="P198" s="17" t="n">
        <f aca="false">IFERROR(1-G198/O198,0)</f>
        <v>0.403135498320269</v>
      </c>
      <c r="Q198" s="12" t="n">
        <v>24</v>
      </c>
    </row>
    <row r="199" customFormat="false" ht="15" hidden="false" customHeight="false" outlineLevel="0" collapsed="false">
      <c r="A199" s="12" t="s">
        <v>439</v>
      </c>
      <c r="B199" s="12" t="s">
        <v>440</v>
      </c>
      <c r="C199" s="12" t="s">
        <v>21</v>
      </c>
      <c r="D199" s="13" t="n">
        <v>59.95</v>
      </c>
      <c r="E199" s="13" t="n">
        <f aca="false">IFERROR(INDEX(Tiers!$B$4:$B$12,MATCH(C199,Tiers!$A$4:$A$12,0)),D199)</f>
        <v>79.95</v>
      </c>
      <c r="F199" s="14"/>
      <c r="G199" s="15" t="n">
        <f aca="false">IF(F199="",E199,F199)</f>
        <v>79.95</v>
      </c>
      <c r="H199" s="16" t="n">
        <f aca="false">G199-D199</f>
        <v>20</v>
      </c>
      <c r="I199" s="17" t="n">
        <f aca="false">IFERROR((G199-D199)/D199,0)</f>
        <v>0.333611342785655</v>
      </c>
      <c r="J199" s="12" t="str">
        <f aca="false">IF(G199&gt;D199,"Omhoog",IF(G199&lt;D199,"Omlaag","Gelijk"))</f>
        <v>Omhoog</v>
      </c>
      <c r="K199" s="18" t="str">
        <f aca="false">IF(ABS(I199)&gt;=0.2,"controleren","")</f>
        <v>controleren</v>
      </c>
      <c r="L199" s="13" t="n">
        <v>119.9</v>
      </c>
      <c r="M199" s="17" t="n">
        <f aca="false">IFERROR(1-D199/L199,0)</f>
        <v>0.5</v>
      </c>
      <c r="N199" s="17" t="n">
        <f aca="false">IF(Tiers!$B$15="ja",Tiers!$B$16,M199)</f>
        <v>0.5</v>
      </c>
      <c r="O199" s="13" t="n">
        <f aca="false">ROUNDUP(G199/(1-N199),0)-0.05</f>
        <v>159.95</v>
      </c>
      <c r="P199" s="17" t="n">
        <f aca="false">IFERROR(1-G199/O199,0)</f>
        <v>0.500156298843389</v>
      </c>
      <c r="Q199" s="12" t="n">
        <v>35</v>
      </c>
    </row>
    <row r="200" customFormat="false" ht="15" hidden="false" customHeight="false" outlineLevel="0" collapsed="false">
      <c r="A200" s="12" t="s">
        <v>441</v>
      </c>
      <c r="B200" s="12" t="s">
        <v>442</v>
      </c>
      <c r="C200" s="12" t="s">
        <v>21</v>
      </c>
      <c r="D200" s="13" t="n">
        <v>59.95</v>
      </c>
      <c r="E200" s="13" t="n">
        <f aca="false">IFERROR(INDEX(Tiers!$B$4:$B$12,MATCH(C200,Tiers!$A$4:$A$12,0)),D200)</f>
        <v>79.95</v>
      </c>
      <c r="F200" s="14"/>
      <c r="G200" s="15" t="n">
        <f aca="false">IF(F200="",E200,F200)</f>
        <v>79.95</v>
      </c>
      <c r="H200" s="16" t="n">
        <f aca="false">G200-D200</f>
        <v>20</v>
      </c>
      <c r="I200" s="17" t="n">
        <f aca="false">IFERROR((G200-D200)/D200,0)</f>
        <v>0.333611342785655</v>
      </c>
      <c r="J200" s="12" t="str">
        <f aca="false">IF(G200&gt;D200,"Omhoog",IF(G200&lt;D200,"Omlaag","Gelijk"))</f>
        <v>Omhoog</v>
      </c>
      <c r="K200" s="18" t="str">
        <f aca="false">IF(ABS(I200)&gt;=0.2,"controleren","")</f>
        <v>controleren</v>
      </c>
      <c r="L200" s="13" t="n">
        <v>109</v>
      </c>
      <c r="M200" s="17" t="n">
        <f aca="false">IFERROR(1-D200/L200,0)</f>
        <v>0.45</v>
      </c>
      <c r="N200" s="17" t="n">
        <f aca="false">IF(Tiers!$B$15="ja",Tiers!$B$16,M200)</f>
        <v>0.45</v>
      </c>
      <c r="O200" s="13" t="n">
        <f aca="false">ROUNDUP(G200/(1-N200),0)-0.05</f>
        <v>145.95</v>
      </c>
      <c r="P200" s="17" t="n">
        <f aca="false">IFERROR(1-G200/O200,0)</f>
        <v>0.452209660842754</v>
      </c>
      <c r="Q200" s="12" t="n">
        <v>56</v>
      </c>
    </row>
    <row r="201" customFormat="false" ht="15" hidden="false" customHeight="false" outlineLevel="0" collapsed="false">
      <c r="A201" s="12" t="s">
        <v>443</v>
      </c>
      <c r="B201" s="12" t="s">
        <v>444</v>
      </c>
      <c r="C201" s="12" t="s">
        <v>21</v>
      </c>
      <c r="D201" s="13" t="n">
        <v>79.95</v>
      </c>
      <c r="E201" s="13" t="n">
        <f aca="false">IFERROR(INDEX(Tiers!$B$4:$B$12,MATCH(C201,Tiers!$A$4:$A$12,0)),D201)</f>
        <v>79.95</v>
      </c>
      <c r="F201" s="14"/>
      <c r="G201" s="15" t="n">
        <f aca="false">IF(F201="",E201,F201)</f>
        <v>79.95</v>
      </c>
      <c r="H201" s="16" t="n">
        <f aca="false">G201-D201</f>
        <v>0</v>
      </c>
      <c r="I201" s="17" t="n">
        <f aca="false">IFERROR((G201-D201)/D201,0)</f>
        <v>0</v>
      </c>
      <c r="J201" s="12" t="str">
        <f aca="false">IF(G201&gt;D201,"Omhoog",IF(G201&lt;D201,"Omlaag","Gelijk"))</f>
        <v>Gelijk</v>
      </c>
      <c r="K201" s="18" t="str">
        <f aca="false">IF(ABS(I201)&gt;=0.2,"controleren","")</f>
        <v/>
      </c>
      <c r="L201" s="13" t="n">
        <v>133.25</v>
      </c>
      <c r="M201" s="17" t="n">
        <f aca="false">IFERROR(1-D201/L201,0)</f>
        <v>0.4</v>
      </c>
      <c r="N201" s="17" t="n">
        <f aca="false">IF(Tiers!$B$15="ja",Tiers!$B$16,M201)</f>
        <v>0.4</v>
      </c>
      <c r="O201" s="13" t="n">
        <f aca="false">ROUNDUP(G201/(1-N201),0)-0.05</f>
        <v>133.95</v>
      </c>
      <c r="P201" s="17" t="n">
        <f aca="false">IFERROR(1-G201/O201,0)</f>
        <v>0.403135498320269</v>
      </c>
      <c r="Q201" s="12" t="n">
        <v>10</v>
      </c>
    </row>
    <row r="202" customFormat="false" ht="15" hidden="false" customHeight="false" outlineLevel="0" collapsed="false">
      <c r="A202" s="12" t="s">
        <v>445</v>
      </c>
      <c r="B202" s="12" t="s">
        <v>446</v>
      </c>
      <c r="C202" s="12" t="s">
        <v>21</v>
      </c>
      <c r="D202" s="13" t="n">
        <v>79.95</v>
      </c>
      <c r="E202" s="13" t="n">
        <f aca="false">IFERROR(INDEX(Tiers!$B$4:$B$12,MATCH(C202,Tiers!$A$4:$A$12,0)),D202)</f>
        <v>79.95</v>
      </c>
      <c r="F202" s="14"/>
      <c r="G202" s="15" t="n">
        <f aca="false">IF(F202="",E202,F202)</f>
        <v>79.95</v>
      </c>
      <c r="H202" s="16" t="n">
        <f aca="false">G202-D202</f>
        <v>0</v>
      </c>
      <c r="I202" s="17" t="n">
        <f aca="false">IFERROR((G202-D202)/D202,0)</f>
        <v>0</v>
      </c>
      <c r="J202" s="12" t="str">
        <f aca="false">IF(G202&gt;D202,"Omhoog",IF(G202&lt;D202,"Omlaag","Gelijk"))</f>
        <v>Gelijk</v>
      </c>
      <c r="K202" s="18" t="str">
        <f aca="false">IF(ABS(I202)&gt;=0.2,"controleren","")</f>
        <v/>
      </c>
      <c r="L202" s="13" t="n">
        <v>159.9</v>
      </c>
      <c r="M202" s="17" t="n">
        <f aca="false">IFERROR(1-D202/L202,0)</f>
        <v>0.5</v>
      </c>
      <c r="N202" s="17" t="n">
        <f aca="false">IF(Tiers!$B$15="ja",Tiers!$B$16,M202)</f>
        <v>0.5</v>
      </c>
      <c r="O202" s="13" t="n">
        <f aca="false">ROUNDUP(G202/(1-N202),0)-0.05</f>
        <v>159.95</v>
      </c>
      <c r="P202" s="17" t="n">
        <f aca="false">IFERROR(1-G202/O202,0)</f>
        <v>0.500156298843389</v>
      </c>
      <c r="Q202" s="12" t="n">
        <v>33</v>
      </c>
    </row>
    <row r="203" customFormat="false" ht="15" hidden="false" customHeight="false" outlineLevel="0" collapsed="false">
      <c r="A203" s="12" t="s">
        <v>447</v>
      </c>
      <c r="B203" s="12" t="s">
        <v>448</v>
      </c>
      <c r="C203" s="12" t="s">
        <v>21</v>
      </c>
      <c r="D203" s="13" t="n">
        <v>59.95</v>
      </c>
      <c r="E203" s="13" t="n">
        <f aca="false">IFERROR(INDEX(Tiers!$B$4:$B$12,MATCH(C203,Tiers!$A$4:$A$12,0)),D203)</f>
        <v>79.95</v>
      </c>
      <c r="F203" s="14"/>
      <c r="G203" s="15" t="n">
        <f aca="false">IF(F203="",E203,F203)</f>
        <v>79.95</v>
      </c>
      <c r="H203" s="16" t="n">
        <f aca="false">G203-D203</f>
        <v>20</v>
      </c>
      <c r="I203" s="17" t="n">
        <f aca="false">IFERROR((G203-D203)/D203,0)</f>
        <v>0.333611342785655</v>
      </c>
      <c r="J203" s="12" t="str">
        <f aca="false">IF(G203&gt;D203,"Omhoog",IF(G203&lt;D203,"Omlaag","Gelijk"))</f>
        <v>Omhoog</v>
      </c>
      <c r="K203" s="18" t="str">
        <f aca="false">IF(ABS(I203)&gt;=0.2,"controleren","")</f>
        <v>controleren</v>
      </c>
      <c r="L203" s="13" t="n">
        <v>109</v>
      </c>
      <c r="M203" s="17" t="n">
        <f aca="false">IFERROR(1-D203/L203,0)</f>
        <v>0.45</v>
      </c>
      <c r="N203" s="17" t="n">
        <f aca="false">IF(Tiers!$B$15="ja",Tiers!$B$16,M203)</f>
        <v>0.45</v>
      </c>
      <c r="O203" s="13" t="n">
        <f aca="false">ROUNDUP(G203/(1-N203),0)-0.05</f>
        <v>145.95</v>
      </c>
      <c r="P203" s="17" t="n">
        <f aca="false">IFERROR(1-G203/O203,0)</f>
        <v>0.452209660842754</v>
      </c>
      <c r="Q203" s="12" t="n">
        <v>64</v>
      </c>
    </row>
    <row r="204" customFormat="false" ht="15" hidden="false" customHeight="false" outlineLevel="0" collapsed="false">
      <c r="A204" s="12" t="s">
        <v>449</v>
      </c>
      <c r="B204" s="12" t="s">
        <v>450</v>
      </c>
      <c r="C204" s="12" t="s">
        <v>21</v>
      </c>
      <c r="D204" s="13" t="n">
        <v>59.95</v>
      </c>
      <c r="E204" s="13" t="n">
        <f aca="false">IFERROR(INDEX(Tiers!$B$4:$B$12,MATCH(C204,Tiers!$A$4:$A$12,0)),D204)</f>
        <v>79.95</v>
      </c>
      <c r="F204" s="14"/>
      <c r="G204" s="15" t="n">
        <f aca="false">IF(F204="",E204,F204)</f>
        <v>79.95</v>
      </c>
      <c r="H204" s="16" t="n">
        <f aca="false">G204-D204</f>
        <v>20</v>
      </c>
      <c r="I204" s="17" t="n">
        <f aca="false">IFERROR((G204-D204)/D204,0)</f>
        <v>0.333611342785655</v>
      </c>
      <c r="J204" s="12" t="str">
        <f aca="false">IF(G204&gt;D204,"Omhoog",IF(G204&lt;D204,"Omlaag","Gelijk"))</f>
        <v>Omhoog</v>
      </c>
      <c r="K204" s="18" t="str">
        <f aca="false">IF(ABS(I204)&gt;=0.2,"controleren","")</f>
        <v>controleren</v>
      </c>
      <c r="L204" s="13" t="n">
        <v>99.92</v>
      </c>
      <c r="M204" s="17" t="n">
        <f aca="false">IFERROR(1-D204/L204,0)</f>
        <v>0.40002001601281</v>
      </c>
      <c r="N204" s="17" t="n">
        <f aca="false">IF(Tiers!$B$15="ja",Tiers!$B$16,M204)</f>
        <v>0.40002001601281</v>
      </c>
      <c r="O204" s="13" t="n">
        <f aca="false">ROUNDUP(G204/(1-N204),0)-0.05</f>
        <v>133.95</v>
      </c>
      <c r="P204" s="17" t="n">
        <f aca="false">IFERROR(1-G204/O204,0)</f>
        <v>0.403135498320269</v>
      </c>
      <c r="Q204" s="12" t="n">
        <v>35</v>
      </c>
    </row>
    <row r="205" customFormat="false" ht="15" hidden="false" customHeight="false" outlineLevel="0" collapsed="false">
      <c r="A205" s="12" t="s">
        <v>451</v>
      </c>
      <c r="B205" s="12" t="s">
        <v>452</v>
      </c>
      <c r="C205" s="12" t="s">
        <v>21</v>
      </c>
      <c r="D205" s="13" t="n">
        <v>69.95</v>
      </c>
      <c r="E205" s="13" t="n">
        <f aca="false">IFERROR(INDEX(Tiers!$B$4:$B$12,MATCH(C205,Tiers!$A$4:$A$12,0)),D205)</f>
        <v>79.95</v>
      </c>
      <c r="F205" s="14"/>
      <c r="G205" s="15" t="n">
        <f aca="false">IF(F205="",E205,F205)</f>
        <v>79.95</v>
      </c>
      <c r="H205" s="16" t="n">
        <f aca="false">G205-D205</f>
        <v>10</v>
      </c>
      <c r="I205" s="17" t="n">
        <f aca="false">IFERROR((G205-D205)/D205,0)</f>
        <v>0.142959256611866</v>
      </c>
      <c r="J205" s="12" t="str">
        <f aca="false">IF(G205&gt;D205,"Omhoog",IF(G205&lt;D205,"Omlaag","Gelijk"))</f>
        <v>Omhoog</v>
      </c>
      <c r="K205" s="18" t="str">
        <f aca="false">IF(ABS(I205)&gt;=0.2,"controleren","")</f>
        <v/>
      </c>
      <c r="L205" s="13" t="n">
        <v>116.58</v>
      </c>
      <c r="M205" s="17" t="n">
        <f aca="false">IFERROR(1-D205/L205,0)</f>
        <v>0.399982844398696</v>
      </c>
      <c r="N205" s="17" t="n">
        <f aca="false">IF(Tiers!$B$15="ja",Tiers!$B$16,M205)</f>
        <v>0.399982844398696</v>
      </c>
      <c r="O205" s="13" t="n">
        <f aca="false">ROUNDUP(G205/(1-N205),0)-0.05</f>
        <v>133.95</v>
      </c>
      <c r="P205" s="17" t="n">
        <f aca="false">IFERROR(1-G205/O205,0)</f>
        <v>0.403135498320269</v>
      </c>
      <c r="Q205" s="12" t="n">
        <v>18</v>
      </c>
    </row>
    <row r="206" customFormat="false" ht="15" hidden="false" customHeight="false" outlineLevel="0" collapsed="false">
      <c r="A206" s="12" t="s">
        <v>453</v>
      </c>
      <c r="B206" s="12" t="s">
        <v>454</v>
      </c>
      <c r="C206" s="12" t="s">
        <v>21</v>
      </c>
      <c r="D206" s="13" t="n">
        <v>59.95</v>
      </c>
      <c r="E206" s="13" t="n">
        <f aca="false">IFERROR(INDEX(Tiers!$B$4:$B$12,MATCH(C206,Tiers!$A$4:$A$12,0)),D206)</f>
        <v>79.95</v>
      </c>
      <c r="F206" s="14"/>
      <c r="G206" s="15" t="n">
        <f aca="false">IF(F206="",E206,F206)</f>
        <v>79.95</v>
      </c>
      <c r="H206" s="16" t="n">
        <f aca="false">G206-D206</f>
        <v>20</v>
      </c>
      <c r="I206" s="17" t="n">
        <f aca="false">IFERROR((G206-D206)/D206,0)</f>
        <v>0.333611342785655</v>
      </c>
      <c r="J206" s="12" t="str">
        <f aca="false">IF(G206&gt;D206,"Omhoog",IF(G206&lt;D206,"Omlaag","Gelijk"))</f>
        <v>Omhoog</v>
      </c>
      <c r="K206" s="18" t="str">
        <f aca="false">IF(ABS(I206)&gt;=0.2,"controleren","")</f>
        <v>controleren</v>
      </c>
      <c r="L206" s="13" t="n">
        <v>109</v>
      </c>
      <c r="M206" s="17" t="n">
        <f aca="false">IFERROR(1-D206/L206,0)</f>
        <v>0.45</v>
      </c>
      <c r="N206" s="17" t="n">
        <f aca="false">IF(Tiers!$B$15="ja",Tiers!$B$16,M206)</f>
        <v>0.45</v>
      </c>
      <c r="O206" s="13" t="n">
        <f aca="false">ROUNDUP(G206/(1-N206),0)-0.05</f>
        <v>145.95</v>
      </c>
      <c r="P206" s="17" t="n">
        <f aca="false">IFERROR(1-G206/O206,0)</f>
        <v>0.452209660842754</v>
      </c>
      <c r="Q206" s="12" t="n">
        <v>28</v>
      </c>
    </row>
    <row r="207" customFormat="false" ht="15" hidden="false" customHeight="false" outlineLevel="0" collapsed="false">
      <c r="A207" s="12" t="s">
        <v>455</v>
      </c>
      <c r="B207" s="12" t="s">
        <v>456</v>
      </c>
      <c r="C207" s="12" t="s">
        <v>21</v>
      </c>
      <c r="D207" s="13" t="n">
        <v>79.95</v>
      </c>
      <c r="E207" s="13" t="n">
        <f aca="false">IFERROR(INDEX(Tiers!$B$4:$B$12,MATCH(C207,Tiers!$A$4:$A$12,0)),D207)</f>
        <v>79.95</v>
      </c>
      <c r="F207" s="14"/>
      <c r="G207" s="15" t="n">
        <f aca="false">IF(F207="",E207,F207)</f>
        <v>79.95</v>
      </c>
      <c r="H207" s="16" t="n">
        <f aca="false">G207-D207</f>
        <v>0</v>
      </c>
      <c r="I207" s="17" t="n">
        <f aca="false">IFERROR((G207-D207)/D207,0)</f>
        <v>0</v>
      </c>
      <c r="J207" s="12" t="str">
        <f aca="false">IF(G207&gt;D207,"Omhoog",IF(G207&lt;D207,"Omlaag","Gelijk"))</f>
        <v>Gelijk</v>
      </c>
      <c r="K207" s="18" t="str">
        <f aca="false">IF(ABS(I207)&gt;=0.2,"controleren","")</f>
        <v/>
      </c>
      <c r="L207" s="13" t="n">
        <v>145.36</v>
      </c>
      <c r="M207" s="17" t="n">
        <f aca="false">IFERROR(1-D207/L207,0)</f>
        <v>0.449986241056687</v>
      </c>
      <c r="N207" s="17" t="n">
        <f aca="false">IF(Tiers!$B$15="ja",Tiers!$B$16,M207)</f>
        <v>0.449986241056687</v>
      </c>
      <c r="O207" s="13" t="n">
        <f aca="false">ROUNDUP(G207/(1-N207),0)-0.05</f>
        <v>145.95</v>
      </c>
      <c r="P207" s="17" t="n">
        <f aca="false">IFERROR(1-G207/O207,0)</f>
        <v>0.452209660842754</v>
      </c>
      <c r="Q207" s="12" t="n">
        <v>36</v>
      </c>
    </row>
    <row r="208" customFormat="false" ht="15" hidden="false" customHeight="false" outlineLevel="0" collapsed="false">
      <c r="A208" s="12" t="s">
        <v>457</v>
      </c>
      <c r="B208" s="12" t="s">
        <v>458</v>
      </c>
      <c r="C208" s="12" t="s">
        <v>21</v>
      </c>
      <c r="D208" s="13" t="n">
        <v>59.95</v>
      </c>
      <c r="E208" s="13" t="n">
        <f aca="false">IFERROR(INDEX(Tiers!$B$4:$B$12,MATCH(C208,Tiers!$A$4:$A$12,0)),D208)</f>
        <v>79.95</v>
      </c>
      <c r="F208" s="14"/>
      <c r="G208" s="15" t="n">
        <f aca="false">IF(F208="",E208,F208)</f>
        <v>79.95</v>
      </c>
      <c r="H208" s="16" t="n">
        <f aca="false">G208-D208</f>
        <v>20</v>
      </c>
      <c r="I208" s="17" t="n">
        <f aca="false">IFERROR((G208-D208)/D208,0)</f>
        <v>0.333611342785655</v>
      </c>
      <c r="J208" s="12" t="str">
        <f aca="false">IF(G208&gt;D208,"Omhoog",IF(G208&lt;D208,"Omlaag","Gelijk"))</f>
        <v>Omhoog</v>
      </c>
      <c r="K208" s="18" t="str">
        <f aca="false">IF(ABS(I208)&gt;=0.2,"controleren","")</f>
        <v>controleren</v>
      </c>
      <c r="L208" s="13" t="n">
        <v>109</v>
      </c>
      <c r="M208" s="17" t="n">
        <f aca="false">IFERROR(1-D208/L208,0)</f>
        <v>0.45</v>
      </c>
      <c r="N208" s="17" t="n">
        <f aca="false">IF(Tiers!$B$15="ja",Tiers!$B$16,M208)</f>
        <v>0.45</v>
      </c>
      <c r="O208" s="13" t="n">
        <f aca="false">ROUNDUP(G208/(1-N208),0)-0.05</f>
        <v>145.95</v>
      </c>
      <c r="P208" s="17" t="n">
        <f aca="false">IFERROR(1-G208/O208,0)</f>
        <v>0.452209660842754</v>
      </c>
      <c r="Q208" s="12" t="n">
        <v>52</v>
      </c>
    </row>
    <row r="209" customFormat="false" ht="15" hidden="false" customHeight="false" outlineLevel="0" collapsed="false">
      <c r="A209" s="12" t="s">
        <v>459</v>
      </c>
      <c r="B209" s="12" t="s">
        <v>460</v>
      </c>
      <c r="C209" s="12" t="s">
        <v>21</v>
      </c>
      <c r="D209" s="13" t="n">
        <v>64.95</v>
      </c>
      <c r="E209" s="13" t="n">
        <f aca="false">IFERROR(INDEX(Tiers!$B$4:$B$12,MATCH(C209,Tiers!$A$4:$A$12,0)),D209)</f>
        <v>79.95</v>
      </c>
      <c r="F209" s="14"/>
      <c r="G209" s="15" t="n">
        <f aca="false">IF(F209="",E209,F209)</f>
        <v>79.95</v>
      </c>
      <c r="H209" s="16" t="n">
        <f aca="false">G209-D209</f>
        <v>15</v>
      </c>
      <c r="I209" s="17" t="n">
        <f aca="false">IFERROR((G209-D209)/D209,0)</f>
        <v>0.23094688221709</v>
      </c>
      <c r="J209" s="12" t="str">
        <f aca="false">IF(G209&gt;D209,"Omhoog",IF(G209&lt;D209,"Omlaag","Gelijk"))</f>
        <v>Omhoog</v>
      </c>
      <c r="K209" s="18" t="str">
        <f aca="false">IF(ABS(I209)&gt;=0.2,"controleren","")</f>
        <v>controleren</v>
      </c>
      <c r="L209" s="13" t="n">
        <v>129.9</v>
      </c>
      <c r="M209" s="17" t="n">
        <f aca="false">IFERROR(1-D209/L209,0)</f>
        <v>0.5</v>
      </c>
      <c r="N209" s="17" t="n">
        <f aca="false">IF(Tiers!$B$15="ja",Tiers!$B$16,M209)</f>
        <v>0.5</v>
      </c>
      <c r="O209" s="13" t="n">
        <f aca="false">ROUNDUP(G209/(1-N209),0)-0.05</f>
        <v>159.95</v>
      </c>
      <c r="P209" s="17" t="n">
        <f aca="false">IFERROR(1-G209/O209,0)</f>
        <v>0.500156298843389</v>
      </c>
      <c r="Q209" s="12" t="n">
        <v>36</v>
      </c>
    </row>
    <row r="210" customFormat="false" ht="15" hidden="false" customHeight="false" outlineLevel="0" collapsed="false">
      <c r="A210" s="12" t="s">
        <v>461</v>
      </c>
      <c r="B210" s="12" t="s">
        <v>462</v>
      </c>
      <c r="C210" s="12" t="s">
        <v>21</v>
      </c>
      <c r="D210" s="13" t="n">
        <v>59.95</v>
      </c>
      <c r="E210" s="13" t="n">
        <f aca="false">IFERROR(INDEX(Tiers!$B$4:$B$12,MATCH(C210,Tiers!$A$4:$A$12,0)),D210)</f>
        <v>79.95</v>
      </c>
      <c r="F210" s="14"/>
      <c r="G210" s="15" t="n">
        <f aca="false">IF(F210="",E210,F210)</f>
        <v>79.95</v>
      </c>
      <c r="H210" s="16" t="n">
        <f aca="false">G210-D210</f>
        <v>20</v>
      </c>
      <c r="I210" s="17" t="n">
        <f aca="false">IFERROR((G210-D210)/D210,0)</f>
        <v>0.333611342785655</v>
      </c>
      <c r="J210" s="12" t="str">
        <f aca="false">IF(G210&gt;D210,"Omhoog",IF(G210&lt;D210,"Omlaag","Gelijk"))</f>
        <v>Omhoog</v>
      </c>
      <c r="K210" s="18" t="str">
        <f aca="false">IF(ABS(I210)&gt;=0.2,"controleren","")</f>
        <v>controleren</v>
      </c>
      <c r="L210" s="13" t="n">
        <v>109</v>
      </c>
      <c r="M210" s="17" t="n">
        <f aca="false">IFERROR(1-D210/L210,0)</f>
        <v>0.45</v>
      </c>
      <c r="N210" s="17" t="n">
        <f aca="false">IF(Tiers!$B$15="ja",Tiers!$B$16,M210)</f>
        <v>0.45</v>
      </c>
      <c r="O210" s="13" t="n">
        <f aca="false">ROUNDUP(G210/(1-N210),0)-0.05</f>
        <v>145.95</v>
      </c>
      <c r="P210" s="17" t="n">
        <f aca="false">IFERROR(1-G210/O210,0)</f>
        <v>0.452209660842754</v>
      </c>
      <c r="Q210" s="12" t="n">
        <v>75</v>
      </c>
    </row>
    <row r="211" customFormat="false" ht="15" hidden="false" customHeight="false" outlineLevel="0" collapsed="false">
      <c r="A211" s="12" t="s">
        <v>463</v>
      </c>
      <c r="B211" s="12" t="s">
        <v>464</v>
      </c>
      <c r="C211" s="12" t="s">
        <v>21</v>
      </c>
      <c r="D211" s="13" t="n">
        <v>79.95</v>
      </c>
      <c r="E211" s="13" t="n">
        <f aca="false">IFERROR(INDEX(Tiers!$B$4:$B$12,MATCH(C211,Tiers!$A$4:$A$12,0)),D211)</f>
        <v>79.95</v>
      </c>
      <c r="F211" s="14"/>
      <c r="G211" s="15" t="n">
        <f aca="false">IF(F211="",E211,F211)</f>
        <v>79.95</v>
      </c>
      <c r="H211" s="16" t="n">
        <f aca="false">G211-D211</f>
        <v>0</v>
      </c>
      <c r="I211" s="17" t="n">
        <f aca="false">IFERROR((G211-D211)/D211,0)</f>
        <v>0</v>
      </c>
      <c r="J211" s="12" t="str">
        <f aca="false">IF(G211&gt;D211,"Omhoog",IF(G211&lt;D211,"Omlaag","Gelijk"))</f>
        <v>Gelijk</v>
      </c>
      <c r="K211" s="18" t="str">
        <f aca="false">IF(ABS(I211)&gt;=0.2,"controleren","")</f>
        <v/>
      </c>
      <c r="L211" s="13" t="n">
        <v>133.25</v>
      </c>
      <c r="M211" s="17" t="n">
        <f aca="false">IFERROR(1-D211/L211,0)</f>
        <v>0.4</v>
      </c>
      <c r="N211" s="17" t="n">
        <f aca="false">IF(Tiers!$B$15="ja",Tiers!$B$16,M211)</f>
        <v>0.4</v>
      </c>
      <c r="O211" s="13" t="n">
        <f aca="false">ROUNDUP(G211/(1-N211),0)-0.05</f>
        <v>133.95</v>
      </c>
      <c r="P211" s="17" t="n">
        <f aca="false">IFERROR(1-G211/O211,0)</f>
        <v>0.403135498320269</v>
      </c>
      <c r="Q211" s="12" t="n">
        <v>34</v>
      </c>
    </row>
    <row r="212" customFormat="false" ht="15" hidden="false" customHeight="false" outlineLevel="0" collapsed="false">
      <c r="A212" s="12" t="s">
        <v>465</v>
      </c>
      <c r="B212" s="12" t="s">
        <v>466</v>
      </c>
      <c r="C212" s="12" t="s">
        <v>21</v>
      </c>
      <c r="D212" s="13" t="n">
        <v>79.95</v>
      </c>
      <c r="E212" s="13" t="n">
        <f aca="false">IFERROR(INDEX(Tiers!$B$4:$B$12,MATCH(C212,Tiers!$A$4:$A$12,0)),D212)</f>
        <v>79.95</v>
      </c>
      <c r="F212" s="14"/>
      <c r="G212" s="15" t="n">
        <f aca="false">IF(F212="",E212,F212)</f>
        <v>79.95</v>
      </c>
      <c r="H212" s="16" t="n">
        <f aca="false">G212-D212</f>
        <v>0</v>
      </c>
      <c r="I212" s="17" t="n">
        <f aca="false">IFERROR((G212-D212)/D212,0)</f>
        <v>0</v>
      </c>
      <c r="J212" s="12" t="str">
        <f aca="false">IF(G212&gt;D212,"Omhoog",IF(G212&lt;D212,"Omlaag","Gelijk"))</f>
        <v>Gelijk</v>
      </c>
      <c r="K212" s="18" t="str">
        <f aca="false">IF(ABS(I212)&gt;=0.2,"controleren","")</f>
        <v/>
      </c>
      <c r="L212" s="13" t="n">
        <v>159.9</v>
      </c>
      <c r="M212" s="17" t="n">
        <f aca="false">IFERROR(1-D212/L212,0)</f>
        <v>0.5</v>
      </c>
      <c r="N212" s="17" t="n">
        <f aca="false">IF(Tiers!$B$15="ja",Tiers!$B$16,M212)</f>
        <v>0.5</v>
      </c>
      <c r="O212" s="13" t="n">
        <f aca="false">ROUNDUP(G212/(1-N212),0)-0.05</f>
        <v>159.95</v>
      </c>
      <c r="P212" s="17" t="n">
        <f aca="false">IFERROR(1-G212/O212,0)</f>
        <v>0.500156298843389</v>
      </c>
      <c r="Q212" s="12" t="n">
        <v>14</v>
      </c>
    </row>
    <row r="213" customFormat="false" ht="15" hidden="false" customHeight="false" outlineLevel="0" collapsed="false">
      <c r="A213" s="12" t="s">
        <v>467</v>
      </c>
      <c r="B213" s="12" t="s">
        <v>468</v>
      </c>
      <c r="C213" s="12" t="s">
        <v>21</v>
      </c>
      <c r="D213" s="13" t="n">
        <v>69.95</v>
      </c>
      <c r="E213" s="13" t="n">
        <f aca="false">IFERROR(INDEX(Tiers!$B$4:$B$12,MATCH(C213,Tiers!$A$4:$A$12,0)),D213)</f>
        <v>79.95</v>
      </c>
      <c r="F213" s="14"/>
      <c r="G213" s="15" t="n">
        <f aca="false">IF(F213="",E213,F213)</f>
        <v>79.95</v>
      </c>
      <c r="H213" s="16" t="n">
        <f aca="false">G213-D213</f>
        <v>10</v>
      </c>
      <c r="I213" s="17" t="n">
        <f aca="false">IFERROR((G213-D213)/D213,0)</f>
        <v>0.142959256611866</v>
      </c>
      <c r="J213" s="12" t="str">
        <f aca="false">IF(G213&gt;D213,"Omhoog",IF(G213&lt;D213,"Omlaag","Gelijk"))</f>
        <v>Omhoog</v>
      </c>
      <c r="K213" s="18" t="str">
        <f aca="false">IF(ABS(I213)&gt;=0.2,"controleren","")</f>
        <v/>
      </c>
      <c r="L213" s="13" t="n">
        <v>116.58</v>
      </c>
      <c r="M213" s="17" t="n">
        <f aca="false">IFERROR(1-D213/L213,0)</f>
        <v>0.399982844398696</v>
      </c>
      <c r="N213" s="17" t="n">
        <f aca="false">IF(Tiers!$B$15="ja",Tiers!$B$16,M213)</f>
        <v>0.399982844398696</v>
      </c>
      <c r="O213" s="13" t="n">
        <f aca="false">ROUNDUP(G213/(1-N213),0)-0.05</f>
        <v>133.95</v>
      </c>
      <c r="P213" s="17" t="n">
        <f aca="false">IFERROR(1-G213/O213,0)</f>
        <v>0.403135498320269</v>
      </c>
      <c r="Q213" s="12" t="n">
        <v>18</v>
      </c>
    </row>
    <row r="214" customFormat="false" ht="15" hidden="false" customHeight="false" outlineLevel="0" collapsed="false">
      <c r="A214" s="12" t="s">
        <v>469</v>
      </c>
      <c r="B214" s="12" t="s">
        <v>470</v>
      </c>
      <c r="C214" s="12" t="s">
        <v>21</v>
      </c>
      <c r="D214" s="13" t="n">
        <v>74.95</v>
      </c>
      <c r="E214" s="13" t="n">
        <f aca="false">IFERROR(INDEX(Tiers!$B$4:$B$12,MATCH(C214,Tiers!$A$4:$A$12,0)),D214)</f>
        <v>79.95</v>
      </c>
      <c r="F214" s="14"/>
      <c r="G214" s="15" t="n">
        <f aca="false">IF(F214="",E214,F214)</f>
        <v>79.95</v>
      </c>
      <c r="H214" s="16" t="n">
        <f aca="false">G214-D214</f>
        <v>5</v>
      </c>
      <c r="I214" s="17" t="n">
        <f aca="false">IFERROR((G214-D214)/D214,0)</f>
        <v>0.066711140760507</v>
      </c>
      <c r="J214" s="12" t="str">
        <f aca="false">IF(G214&gt;D214,"Omhoog",IF(G214&lt;D214,"Omlaag","Gelijk"))</f>
        <v>Omhoog</v>
      </c>
      <c r="K214" s="18" t="str">
        <f aca="false">IF(ABS(I214)&gt;=0.2,"controleren","")</f>
        <v/>
      </c>
      <c r="L214" s="13" t="n">
        <v>136.27</v>
      </c>
      <c r="M214" s="17" t="n">
        <f aca="false">IFERROR(1-D214/L214,0)</f>
        <v>0.449988992441477</v>
      </c>
      <c r="N214" s="17" t="n">
        <f aca="false">IF(Tiers!$B$15="ja",Tiers!$B$16,M214)</f>
        <v>0.449988992441477</v>
      </c>
      <c r="O214" s="13" t="n">
        <f aca="false">ROUNDUP(G214/(1-N214),0)-0.05</f>
        <v>145.95</v>
      </c>
      <c r="P214" s="17" t="n">
        <f aca="false">IFERROR(1-G214/O214,0)</f>
        <v>0.452209660842754</v>
      </c>
      <c r="Q214" s="12" t="n">
        <v>45</v>
      </c>
    </row>
    <row r="215" customFormat="false" ht="15" hidden="false" customHeight="false" outlineLevel="0" collapsed="false">
      <c r="A215" s="12" t="s">
        <v>471</v>
      </c>
      <c r="B215" s="12" t="s">
        <v>472</v>
      </c>
      <c r="C215" s="12" t="s">
        <v>21</v>
      </c>
      <c r="D215" s="13" t="n">
        <v>74.95</v>
      </c>
      <c r="E215" s="13" t="n">
        <f aca="false">IFERROR(INDEX(Tiers!$B$4:$B$12,MATCH(C215,Tiers!$A$4:$A$12,0)),D215)</f>
        <v>79.95</v>
      </c>
      <c r="F215" s="14"/>
      <c r="G215" s="15" t="n">
        <f aca="false">IF(F215="",E215,F215)</f>
        <v>79.95</v>
      </c>
      <c r="H215" s="16" t="n">
        <f aca="false">G215-D215</f>
        <v>5</v>
      </c>
      <c r="I215" s="17" t="n">
        <f aca="false">IFERROR((G215-D215)/D215,0)</f>
        <v>0.066711140760507</v>
      </c>
      <c r="J215" s="12" t="str">
        <f aca="false">IF(G215&gt;D215,"Omhoog",IF(G215&lt;D215,"Omlaag","Gelijk"))</f>
        <v>Omhoog</v>
      </c>
      <c r="K215" s="18" t="str">
        <f aca="false">IF(ABS(I215)&gt;=0.2,"controleren","")</f>
        <v/>
      </c>
      <c r="L215" s="13" t="n">
        <v>124.92</v>
      </c>
      <c r="M215" s="17" t="n">
        <f aca="false">IFERROR(1-D215/L215,0)</f>
        <v>0.400016010246558</v>
      </c>
      <c r="N215" s="17" t="n">
        <f aca="false">IF(Tiers!$B$15="ja",Tiers!$B$16,M215)</f>
        <v>0.400016010246558</v>
      </c>
      <c r="O215" s="13" t="n">
        <f aca="false">ROUNDUP(G215/(1-N215),0)-0.05</f>
        <v>133.95</v>
      </c>
      <c r="P215" s="17" t="n">
        <f aca="false">IFERROR(1-G215/O215,0)</f>
        <v>0.403135498320269</v>
      </c>
      <c r="Q215" s="12" t="n">
        <v>36</v>
      </c>
    </row>
    <row r="216" customFormat="false" ht="15" hidden="false" customHeight="false" outlineLevel="0" collapsed="false">
      <c r="A216" s="12" t="s">
        <v>473</v>
      </c>
      <c r="B216" s="12" t="s">
        <v>474</v>
      </c>
      <c r="C216" s="12" t="s">
        <v>21</v>
      </c>
      <c r="D216" s="13" t="n">
        <v>74.95</v>
      </c>
      <c r="E216" s="13" t="n">
        <f aca="false">IFERROR(INDEX(Tiers!$B$4:$B$12,MATCH(C216,Tiers!$A$4:$A$12,0)),D216)</f>
        <v>79.95</v>
      </c>
      <c r="F216" s="14"/>
      <c r="G216" s="15" t="n">
        <f aca="false">IF(F216="",E216,F216)</f>
        <v>79.95</v>
      </c>
      <c r="H216" s="16" t="n">
        <f aca="false">G216-D216</f>
        <v>5</v>
      </c>
      <c r="I216" s="17" t="n">
        <f aca="false">IFERROR((G216-D216)/D216,0)</f>
        <v>0.066711140760507</v>
      </c>
      <c r="J216" s="12" t="str">
        <f aca="false">IF(G216&gt;D216,"Omhoog",IF(G216&lt;D216,"Omlaag","Gelijk"))</f>
        <v>Omhoog</v>
      </c>
      <c r="K216" s="18" t="str">
        <f aca="false">IF(ABS(I216)&gt;=0.2,"controleren","")</f>
        <v/>
      </c>
      <c r="L216" s="13" t="n">
        <v>124.92</v>
      </c>
      <c r="M216" s="17" t="n">
        <f aca="false">IFERROR(1-D216/L216,0)</f>
        <v>0.400016010246558</v>
      </c>
      <c r="N216" s="17" t="n">
        <f aca="false">IF(Tiers!$B$15="ja",Tiers!$B$16,M216)</f>
        <v>0.400016010246558</v>
      </c>
      <c r="O216" s="13" t="n">
        <f aca="false">ROUNDUP(G216/(1-N216),0)-0.05</f>
        <v>133.95</v>
      </c>
      <c r="P216" s="17" t="n">
        <f aca="false">IFERROR(1-G216/O216,0)</f>
        <v>0.403135498320269</v>
      </c>
      <c r="Q216" s="12" t="n">
        <v>25</v>
      </c>
    </row>
    <row r="217" customFormat="false" ht="15" hidden="false" customHeight="false" outlineLevel="0" collapsed="false">
      <c r="A217" s="12" t="s">
        <v>475</v>
      </c>
      <c r="B217" s="12" t="s">
        <v>476</v>
      </c>
      <c r="C217" s="12" t="s">
        <v>21</v>
      </c>
      <c r="D217" s="13" t="n">
        <v>59.95</v>
      </c>
      <c r="E217" s="13" t="n">
        <f aca="false">IFERROR(INDEX(Tiers!$B$4:$B$12,MATCH(C217,Tiers!$A$4:$A$12,0)),D217)</f>
        <v>79.95</v>
      </c>
      <c r="F217" s="14"/>
      <c r="G217" s="15" t="n">
        <f aca="false">IF(F217="",E217,F217)</f>
        <v>79.95</v>
      </c>
      <c r="H217" s="16" t="n">
        <f aca="false">G217-D217</f>
        <v>20</v>
      </c>
      <c r="I217" s="17" t="n">
        <f aca="false">IFERROR((G217-D217)/D217,0)</f>
        <v>0.333611342785655</v>
      </c>
      <c r="J217" s="12" t="str">
        <f aca="false">IF(G217&gt;D217,"Omhoog",IF(G217&lt;D217,"Omlaag","Gelijk"))</f>
        <v>Omhoog</v>
      </c>
      <c r="K217" s="18" t="str">
        <f aca="false">IF(ABS(I217)&gt;=0.2,"controleren","")</f>
        <v>controleren</v>
      </c>
      <c r="L217" s="13" t="n">
        <v>109</v>
      </c>
      <c r="M217" s="17" t="n">
        <f aca="false">IFERROR(1-D217/L217,0)</f>
        <v>0.45</v>
      </c>
      <c r="N217" s="17" t="n">
        <f aca="false">IF(Tiers!$B$15="ja",Tiers!$B$16,M217)</f>
        <v>0.45</v>
      </c>
      <c r="O217" s="13" t="n">
        <f aca="false">ROUNDUP(G217/(1-N217),0)-0.05</f>
        <v>145.95</v>
      </c>
      <c r="P217" s="17" t="n">
        <f aca="false">IFERROR(1-G217/O217,0)</f>
        <v>0.452209660842754</v>
      </c>
      <c r="Q217" s="12" t="n">
        <v>40</v>
      </c>
    </row>
    <row r="218" customFormat="false" ht="15" hidden="false" customHeight="false" outlineLevel="0" collapsed="false">
      <c r="A218" s="12" t="s">
        <v>477</v>
      </c>
      <c r="B218" s="12" t="s">
        <v>478</v>
      </c>
      <c r="C218" s="12" t="s">
        <v>21</v>
      </c>
      <c r="D218" s="13" t="n">
        <v>79.95</v>
      </c>
      <c r="E218" s="13" t="n">
        <f aca="false">IFERROR(INDEX(Tiers!$B$4:$B$12,MATCH(C218,Tiers!$A$4:$A$12,0)),D218)</f>
        <v>79.95</v>
      </c>
      <c r="F218" s="14"/>
      <c r="G218" s="15" t="n">
        <f aca="false">IF(F218="",E218,F218)</f>
        <v>79.95</v>
      </c>
      <c r="H218" s="16" t="n">
        <f aca="false">G218-D218</f>
        <v>0</v>
      </c>
      <c r="I218" s="17" t="n">
        <f aca="false">IFERROR((G218-D218)/D218,0)</f>
        <v>0</v>
      </c>
      <c r="J218" s="12" t="str">
        <f aca="false">IF(G218&gt;D218,"Omhoog",IF(G218&lt;D218,"Omlaag","Gelijk"))</f>
        <v>Gelijk</v>
      </c>
      <c r="K218" s="18" t="str">
        <f aca="false">IF(ABS(I218)&gt;=0.2,"controleren","")</f>
        <v/>
      </c>
      <c r="L218" s="13" t="n">
        <v>133.25</v>
      </c>
      <c r="M218" s="17" t="n">
        <f aca="false">IFERROR(1-D218/L218,0)</f>
        <v>0.4</v>
      </c>
      <c r="N218" s="17" t="n">
        <f aca="false">IF(Tiers!$B$15="ja",Tiers!$B$16,M218)</f>
        <v>0.4</v>
      </c>
      <c r="O218" s="13" t="n">
        <f aca="false">ROUNDUP(G218/(1-N218),0)-0.05</f>
        <v>133.95</v>
      </c>
      <c r="P218" s="17" t="n">
        <f aca="false">IFERROR(1-G218/O218,0)</f>
        <v>0.403135498320269</v>
      </c>
      <c r="Q218" s="12" t="n">
        <v>16</v>
      </c>
    </row>
    <row r="219" customFormat="false" ht="15" hidden="false" customHeight="false" outlineLevel="0" collapsed="false">
      <c r="A219" s="12" t="s">
        <v>479</v>
      </c>
      <c r="B219" s="12" t="s">
        <v>480</v>
      </c>
      <c r="C219" s="12" t="s">
        <v>21</v>
      </c>
      <c r="D219" s="13" t="n">
        <v>79.95</v>
      </c>
      <c r="E219" s="13" t="n">
        <f aca="false">IFERROR(INDEX(Tiers!$B$4:$B$12,MATCH(C219,Tiers!$A$4:$A$12,0)),D219)</f>
        <v>79.95</v>
      </c>
      <c r="F219" s="14"/>
      <c r="G219" s="15" t="n">
        <f aca="false">IF(F219="",E219,F219)</f>
        <v>79.95</v>
      </c>
      <c r="H219" s="16" t="n">
        <f aca="false">G219-D219</f>
        <v>0</v>
      </c>
      <c r="I219" s="17" t="n">
        <f aca="false">IFERROR((G219-D219)/D219,0)</f>
        <v>0</v>
      </c>
      <c r="J219" s="12" t="str">
        <f aca="false">IF(G219&gt;D219,"Omhoog",IF(G219&lt;D219,"Omlaag","Gelijk"))</f>
        <v>Gelijk</v>
      </c>
      <c r="K219" s="18" t="str">
        <f aca="false">IF(ABS(I219)&gt;=0.2,"controleren","")</f>
        <v/>
      </c>
      <c r="L219" s="13" t="n">
        <v>145.36</v>
      </c>
      <c r="M219" s="17" t="n">
        <f aca="false">IFERROR(1-D219/L219,0)</f>
        <v>0.449986241056687</v>
      </c>
      <c r="N219" s="17" t="n">
        <f aca="false">IF(Tiers!$B$15="ja",Tiers!$B$16,M219)</f>
        <v>0.449986241056687</v>
      </c>
      <c r="O219" s="13" t="n">
        <f aca="false">ROUNDUP(G219/(1-N219),0)-0.05</f>
        <v>145.95</v>
      </c>
      <c r="P219" s="17" t="n">
        <f aca="false">IFERROR(1-G219/O219,0)</f>
        <v>0.452209660842754</v>
      </c>
      <c r="Q219" s="12" t="n">
        <v>40</v>
      </c>
    </row>
    <row r="220" customFormat="false" ht="15" hidden="false" customHeight="false" outlineLevel="0" collapsed="false">
      <c r="A220" s="12" t="s">
        <v>481</v>
      </c>
      <c r="B220" s="12" t="s">
        <v>482</v>
      </c>
      <c r="C220" s="12" t="s">
        <v>21</v>
      </c>
      <c r="D220" s="13" t="n">
        <v>79.95</v>
      </c>
      <c r="E220" s="13" t="n">
        <f aca="false">IFERROR(INDEX(Tiers!$B$4:$B$12,MATCH(C220,Tiers!$A$4:$A$12,0)),D220)</f>
        <v>79.95</v>
      </c>
      <c r="F220" s="14"/>
      <c r="G220" s="15" t="n">
        <f aca="false">IF(F220="",E220,F220)</f>
        <v>79.95</v>
      </c>
      <c r="H220" s="16" t="n">
        <f aca="false">G220-D220</f>
        <v>0</v>
      </c>
      <c r="I220" s="17" t="n">
        <f aca="false">IFERROR((G220-D220)/D220,0)</f>
        <v>0</v>
      </c>
      <c r="J220" s="12" t="str">
        <f aca="false">IF(G220&gt;D220,"Omhoog",IF(G220&lt;D220,"Omlaag","Gelijk"))</f>
        <v>Gelijk</v>
      </c>
      <c r="K220" s="18" t="str">
        <f aca="false">IF(ABS(I220)&gt;=0.2,"controleren","")</f>
        <v/>
      </c>
      <c r="L220" s="13" t="n">
        <v>145.36</v>
      </c>
      <c r="M220" s="17" t="n">
        <f aca="false">IFERROR(1-D220/L220,0)</f>
        <v>0.449986241056687</v>
      </c>
      <c r="N220" s="17" t="n">
        <f aca="false">IF(Tiers!$B$15="ja",Tiers!$B$16,M220)</f>
        <v>0.449986241056687</v>
      </c>
      <c r="O220" s="13" t="n">
        <f aca="false">ROUNDUP(G220/(1-N220),0)-0.05</f>
        <v>145.95</v>
      </c>
      <c r="P220" s="17" t="n">
        <f aca="false">IFERROR(1-G220/O220,0)</f>
        <v>0.452209660842754</v>
      </c>
      <c r="Q220" s="12" t="n">
        <v>51</v>
      </c>
    </row>
    <row r="221" customFormat="false" ht="15" hidden="false" customHeight="false" outlineLevel="0" collapsed="false">
      <c r="A221" s="12" t="s">
        <v>483</v>
      </c>
      <c r="B221" s="12" t="s">
        <v>484</v>
      </c>
      <c r="C221" s="12" t="s">
        <v>21</v>
      </c>
      <c r="D221" s="13" t="n">
        <v>59.95</v>
      </c>
      <c r="E221" s="13" t="n">
        <f aca="false">IFERROR(INDEX(Tiers!$B$4:$B$12,MATCH(C221,Tiers!$A$4:$A$12,0)),D221)</f>
        <v>79.95</v>
      </c>
      <c r="F221" s="14"/>
      <c r="G221" s="15" t="n">
        <f aca="false">IF(F221="",E221,F221)</f>
        <v>79.95</v>
      </c>
      <c r="H221" s="16" t="n">
        <f aca="false">G221-D221</f>
        <v>20</v>
      </c>
      <c r="I221" s="17" t="n">
        <f aca="false">IFERROR((G221-D221)/D221,0)</f>
        <v>0.333611342785655</v>
      </c>
      <c r="J221" s="12" t="str">
        <f aca="false">IF(G221&gt;D221,"Omhoog",IF(G221&lt;D221,"Omlaag","Gelijk"))</f>
        <v>Omhoog</v>
      </c>
      <c r="K221" s="18" t="str">
        <f aca="false">IF(ABS(I221)&gt;=0.2,"controleren","")</f>
        <v>controleren</v>
      </c>
      <c r="L221" s="13" t="n">
        <v>99.92</v>
      </c>
      <c r="M221" s="17" t="n">
        <f aca="false">IFERROR(1-D221/L221,0)</f>
        <v>0.40002001601281</v>
      </c>
      <c r="N221" s="17" t="n">
        <f aca="false">IF(Tiers!$B$15="ja",Tiers!$B$16,M221)</f>
        <v>0.40002001601281</v>
      </c>
      <c r="O221" s="13" t="n">
        <f aca="false">ROUNDUP(G221/(1-N221),0)-0.05</f>
        <v>133.95</v>
      </c>
      <c r="P221" s="17" t="n">
        <f aca="false">IFERROR(1-G221/O221,0)</f>
        <v>0.403135498320269</v>
      </c>
      <c r="Q221" s="12" t="n">
        <v>7</v>
      </c>
    </row>
    <row r="222" customFormat="false" ht="15" hidden="false" customHeight="false" outlineLevel="0" collapsed="false">
      <c r="A222" s="12" t="s">
        <v>485</v>
      </c>
      <c r="B222" s="12" t="s">
        <v>486</v>
      </c>
      <c r="C222" s="12" t="s">
        <v>21</v>
      </c>
      <c r="D222" s="13" t="n">
        <v>79.95</v>
      </c>
      <c r="E222" s="13" t="n">
        <f aca="false">IFERROR(INDEX(Tiers!$B$4:$B$12,MATCH(C222,Tiers!$A$4:$A$12,0)),D222)</f>
        <v>79.95</v>
      </c>
      <c r="F222" s="14"/>
      <c r="G222" s="15" t="n">
        <f aca="false">IF(F222="",E222,F222)</f>
        <v>79.95</v>
      </c>
      <c r="H222" s="16" t="n">
        <f aca="false">G222-D222</f>
        <v>0</v>
      </c>
      <c r="I222" s="17" t="n">
        <f aca="false">IFERROR((G222-D222)/D222,0)</f>
        <v>0</v>
      </c>
      <c r="J222" s="12" t="str">
        <f aca="false">IF(G222&gt;D222,"Omhoog",IF(G222&lt;D222,"Omlaag","Gelijk"))</f>
        <v>Gelijk</v>
      </c>
      <c r="K222" s="18" t="str">
        <f aca="false">IF(ABS(I222)&gt;=0.2,"controleren","")</f>
        <v/>
      </c>
      <c r="L222" s="13" t="n">
        <v>145.36</v>
      </c>
      <c r="M222" s="17" t="n">
        <f aca="false">IFERROR(1-D222/L222,0)</f>
        <v>0.449986241056687</v>
      </c>
      <c r="N222" s="17" t="n">
        <f aca="false">IF(Tiers!$B$15="ja",Tiers!$B$16,M222)</f>
        <v>0.449986241056687</v>
      </c>
      <c r="O222" s="13" t="n">
        <f aca="false">ROUNDUP(G222/(1-N222),0)-0.05</f>
        <v>145.95</v>
      </c>
      <c r="P222" s="17" t="n">
        <f aca="false">IFERROR(1-G222/O222,0)</f>
        <v>0.452209660842754</v>
      </c>
      <c r="Q222" s="12" t="n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2"/>
    <col collapsed="false" customWidth="true" hidden="false" outlineLevel="0" max="8" min="6" style="0" width="10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1" t="s">
        <v>487</v>
      </c>
    </row>
    <row r="3" customFormat="false" ht="15" hidden="false" customHeight="false" outlineLevel="0" collapsed="false">
      <c r="A3" s="3" t="s">
        <v>2</v>
      </c>
      <c r="B3" s="3" t="s">
        <v>488</v>
      </c>
      <c r="C3" s="3" t="s">
        <v>489</v>
      </c>
      <c r="D3" s="3" t="s">
        <v>490</v>
      </c>
      <c r="E3" s="3" t="s">
        <v>40</v>
      </c>
      <c r="F3" s="3" t="s">
        <v>491</v>
      </c>
      <c r="G3" s="3" t="s">
        <v>492</v>
      </c>
      <c r="H3" s="3" t="s">
        <v>493</v>
      </c>
      <c r="I3" s="3" t="s">
        <v>494</v>
      </c>
    </row>
    <row r="4" customFormat="false" ht="15" hidden="false" customHeight="false" outlineLevel="0" collapsed="false">
      <c r="A4" s="4" t="s">
        <v>5</v>
      </c>
      <c r="B4" s="4" t="n">
        <f aca="false">COUNTIF(Voorstel!$C$4:$C$222,A4)</f>
        <v>35</v>
      </c>
      <c r="C4" s="19" t="n">
        <f aca="false">IFERROR(AVERAGEIF(Voorstel!$C$4:$C$222,A4,Voorstel!$D$4:$D$222),0)</f>
        <v>40.8071428571429</v>
      </c>
      <c r="D4" s="19" t="n">
        <f aca="false">IFERROR(AVERAGEIF(Voorstel!$C$4:$C$222,A4,Voorstel!$G$4:$G$222),0)</f>
        <v>44.95</v>
      </c>
      <c r="E4" s="19" t="n">
        <f aca="false">D4-C4</f>
        <v>4.14285714285715</v>
      </c>
      <c r="F4" s="4" t="n">
        <f aca="false">COUNTIFS(Voorstel!$C$4:$C$222,A4,Voorstel!$J$4:$J$222,"Omhoog")</f>
        <v>17</v>
      </c>
      <c r="G4" s="4" t="n">
        <f aca="false">COUNTIFS(Voorstel!$C$4:$C$222,A4,Voorstel!$J$4:$J$222,"Omlaag")</f>
        <v>3</v>
      </c>
      <c r="H4" s="4" t="n">
        <f aca="false">COUNTIFS(Voorstel!$C$4:$C$222,A4,Voorstel!$J$4:$J$222,"Gelijk")</f>
        <v>15</v>
      </c>
      <c r="I4" s="4" t="n">
        <f aca="false">COUNTIFS(Voorstel!$C$4:$C$222,A4,Voorstel!$K$4:$K$222,"controleren")</f>
        <v>11</v>
      </c>
    </row>
    <row r="5" customFormat="false" ht="15" hidden="false" customHeight="false" outlineLevel="0" collapsed="false">
      <c r="A5" s="4" t="s">
        <v>7</v>
      </c>
      <c r="B5" s="4" t="n">
        <f aca="false">COUNTIF(Voorstel!$C$4:$C$222,A5)</f>
        <v>42</v>
      </c>
      <c r="C5" s="19" t="n">
        <f aca="false">IFERROR(AVERAGEIF(Voorstel!$C$4:$C$222,A5,Voorstel!$D$4:$D$222),0)</f>
        <v>55.1880952380952</v>
      </c>
      <c r="D5" s="19" t="n">
        <f aca="false">IFERROR(AVERAGEIF(Voorstel!$C$4:$C$222,A5,Voorstel!$G$4:$G$222),0)</f>
        <v>59.95</v>
      </c>
      <c r="E5" s="19" t="n">
        <f aca="false">D5-C5</f>
        <v>4.76190476190476</v>
      </c>
      <c r="F5" s="4" t="n">
        <f aca="false">COUNTIFS(Voorstel!$C$4:$C$222,A5,Voorstel!$J$4:$J$222,"Omhoog")</f>
        <v>20</v>
      </c>
      <c r="G5" s="4" t="n">
        <f aca="false">COUNTIFS(Voorstel!$C$4:$C$222,A5,Voorstel!$J$4:$J$222,"Omlaag")</f>
        <v>3</v>
      </c>
      <c r="H5" s="4" t="n">
        <f aca="false">COUNTIFS(Voorstel!$C$4:$C$222,A5,Voorstel!$J$4:$J$222,"Gelijk")</f>
        <v>19</v>
      </c>
      <c r="I5" s="4" t="n">
        <f aca="false">COUNTIFS(Voorstel!$C$4:$C$222,A5,Voorstel!$K$4:$K$222,"controleren")</f>
        <v>17</v>
      </c>
    </row>
    <row r="6" customFormat="false" ht="15" hidden="false" customHeight="false" outlineLevel="0" collapsed="false">
      <c r="A6" s="4" t="s">
        <v>9</v>
      </c>
      <c r="B6" s="4" t="n">
        <f aca="false">COUNTIF(Voorstel!$C$4:$C$222,A6)</f>
        <v>34</v>
      </c>
      <c r="C6" s="19" t="n">
        <f aca="false">IFERROR(AVERAGEIF(Voorstel!$C$4:$C$222,A6,Voorstel!$D$4:$D$222),0)</f>
        <v>56.4205882352941</v>
      </c>
      <c r="D6" s="19" t="n">
        <f aca="false">IFERROR(AVERAGEIF(Voorstel!$C$4:$C$222,A6,Voorstel!$G$4:$G$222),0)</f>
        <v>59.95</v>
      </c>
      <c r="E6" s="19" t="n">
        <f aca="false">D6-C6</f>
        <v>3.52941176470588</v>
      </c>
      <c r="F6" s="4" t="n">
        <f aca="false">COUNTIFS(Voorstel!$C$4:$C$222,A6,Voorstel!$J$4:$J$222,"Omhoog")</f>
        <v>16</v>
      </c>
      <c r="G6" s="4" t="n">
        <f aca="false">COUNTIFS(Voorstel!$C$4:$C$222,A6,Voorstel!$J$4:$J$222,"Omlaag")</f>
        <v>7</v>
      </c>
      <c r="H6" s="4" t="n">
        <f aca="false">COUNTIFS(Voorstel!$C$4:$C$222,A6,Voorstel!$J$4:$J$222,"Gelijk")</f>
        <v>11</v>
      </c>
      <c r="I6" s="4" t="n">
        <f aca="false">COUNTIFS(Voorstel!$C$4:$C$222,A6,Voorstel!$K$4:$K$222,"controleren")</f>
        <v>12</v>
      </c>
    </row>
    <row r="7" customFormat="false" ht="15" hidden="false" customHeight="false" outlineLevel="0" collapsed="false">
      <c r="A7" s="4" t="s">
        <v>11</v>
      </c>
      <c r="B7" s="4" t="n">
        <f aca="false">COUNTIF(Voorstel!$C$4:$C$222,A7)</f>
        <v>18</v>
      </c>
      <c r="C7" s="19" t="n">
        <f aca="false">IFERROR(AVERAGEIF(Voorstel!$C$4:$C$222,A7,Voorstel!$D$4:$D$222),0)</f>
        <v>62.1722222222222</v>
      </c>
      <c r="D7" s="19" t="n">
        <f aca="false">IFERROR(AVERAGEIF(Voorstel!$C$4:$C$222,A7,Voorstel!$G$4:$G$222),0)</f>
        <v>64.95</v>
      </c>
      <c r="E7" s="19" t="n">
        <f aca="false">D7-C7</f>
        <v>2.77777777777777</v>
      </c>
      <c r="F7" s="4" t="n">
        <f aca="false">COUNTIFS(Voorstel!$C$4:$C$222,A7,Voorstel!$J$4:$J$222,"Omhoog")</f>
        <v>10</v>
      </c>
      <c r="G7" s="4" t="n">
        <f aca="false">COUNTIFS(Voorstel!$C$4:$C$222,A7,Voorstel!$J$4:$J$222,"Omlaag")</f>
        <v>7</v>
      </c>
      <c r="H7" s="4" t="n">
        <f aca="false">COUNTIFS(Voorstel!$C$4:$C$222,A7,Voorstel!$J$4:$J$222,"Gelijk")</f>
        <v>1</v>
      </c>
      <c r="I7" s="4" t="n">
        <f aca="false">COUNTIFS(Voorstel!$C$4:$C$222,A7,Voorstel!$K$4:$K$222,"controleren")</f>
        <v>2</v>
      </c>
    </row>
    <row r="8" customFormat="false" ht="15" hidden="false" customHeight="false" outlineLevel="0" collapsed="false">
      <c r="A8" s="4" t="s">
        <v>13</v>
      </c>
      <c r="B8" s="4" t="n">
        <f aca="false">COUNTIF(Voorstel!$C$4:$C$222,A8)</f>
        <v>27</v>
      </c>
      <c r="C8" s="19" t="n">
        <f aca="false">IFERROR(AVERAGEIF(Voorstel!$C$4:$C$222,A8,Voorstel!$D$4:$D$222),0)</f>
        <v>81.6166666666667</v>
      </c>
      <c r="D8" s="19" t="n">
        <f aca="false">IFERROR(AVERAGEIF(Voorstel!$C$4:$C$222,A8,Voorstel!$G$4:$G$222),0)</f>
        <v>84.95</v>
      </c>
      <c r="E8" s="19" t="n">
        <f aca="false">D8-C8</f>
        <v>3.33333333333333</v>
      </c>
      <c r="F8" s="4" t="n">
        <f aca="false">COUNTIFS(Voorstel!$C$4:$C$222,A8,Voorstel!$J$4:$J$222,"Omhoog")</f>
        <v>17</v>
      </c>
      <c r="G8" s="4" t="n">
        <f aca="false">COUNTIFS(Voorstel!$C$4:$C$222,A8,Voorstel!$J$4:$J$222,"Omlaag")</f>
        <v>10</v>
      </c>
      <c r="H8" s="4" t="n">
        <f aca="false">COUNTIFS(Voorstel!$C$4:$C$222,A8,Voorstel!$J$4:$J$222,"Gelijk")</f>
        <v>0</v>
      </c>
      <c r="I8" s="4" t="n">
        <f aca="false">COUNTIFS(Voorstel!$C$4:$C$222,A8,Voorstel!$K$4:$K$222,"controleren")</f>
        <v>10</v>
      </c>
    </row>
    <row r="9" customFormat="false" ht="15" hidden="false" customHeight="false" outlineLevel="0" collapsed="false">
      <c r="A9" s="4" t="s">
        <v>15</v>
      </c>
      <c r="B9" s="4" t="n">
        <f aca="false">COUNTIF(Voorstel!$C$4:$C$222,A9)</f>
        <v>21</v>
      </c>
      <c r="C9" s="19" t="n">
        <f aca="false">IFERROR(AVERAGEIF(Voorstel!$C$4:$C$222,A9,Voorstel!$D$4:$D$222),0)</f>
        <v>54.7119047619048</v>
      </c>
      <c r="D9" s="19" t="n">
        <f aca="false">IFERROR(AVERAGEIF(Voorstel!$C$4:$C$222,A9,Voorstel!$G$4:$G$222),0)</f>
        <v>59.95</v>
      </c>
      <c r="E9" s="19" t="n">
        <f aca="false">D9-C9</f>
        <v>5.23809523809524</v>
      </c>
      <c r="F9" s="4" t="n">
        <f aca="false">COUNTIFS(Voorstel!$C$4:$C$222,A9,Voorstel!$J$4:$J$222,"Omhoog")</f>
        <v>10</v>
      </c>
      <c r="G9" s="4" t="n">
        <f aca="false">COUNTIFS(Voorstel!$C$4:$C$222,A9,Voorstel!$J$4:$J$222,"Omlaag")</f>
        <v>2</v>
      </c>
      <c r="H9" s="4" t="n">
        <f aca="false">COUNTIFS(Voorstel!$C$4:$C$222,A9,Voorstel!$J$4:$J$222,"Gelijk")</f>
        <v>9</v>
      </c>
      <c r="I9" s="4" t="n">
        <f aca="false">COUNTIFS(Voorstel!$C$4:$C$222,A9,Voorstel!$K$4:$K$222,"controleren")</f>
        <v>9</v>
      </c>
    </row>
    <row r="10" customFormat="false" ht="15" hidden="false" customHeight="false" outlineLevel="0" collapsed="false">
      <c r="A10" s="4" t="s">
        <v>17</v>
      </c>
      <c r="B10" s="4" t="n">
        <f aca="false">COUNTIF(Voorstel!$C$4:$C$222,A10)</f>
        <v>4</v>
      </c>
      <c r="C10" s="19" t="n">
        <f aca="false">IFERROR(AVERAGEIF(Voorstel!$C$4:$C$222,A10,Voorstel!$D$4:$D$222),0)</f>
        <v>63.7</v>
      </c>
      <c r="D10" s="19" t="n">
        <f aca="false">IFERROR(AVERAGEIF(Voorstel!$C$4:$C$222,A10,Voorstel!$G$4:$G$222),0)</f>
        <v>64.95</v>
      </c>
      <c r="E10" s="19" t="n">
        <f aca="false">D10-C10</f>
        <v>1.25</v>
      </c>
      <c r="F10" s="4" t="n">
        <f aca="false">COUNTIFS(Voorstel!$C$4:$C$222,A10,Voorstel!$J$4:$J$222,"Omhoog")</f>
        <v>2</v>
      </c>
      <c r="G10" s="4" t="n">
        <f aca="false">COUNTIFS(Voorstel!$C$4:$C$222,A10,Voorstel!$J$4:$J$222,"Omlaag")</f>
        <v>2</v>
      </c>
      <c r="H10" s="4" t="n">
        <f aca="false">COUNTIFS(Voorstel!$C$4:$C$222,A10,Voorstel!$J$4:$J$222,"Gelijk")</f>
        <v>0</v>
      </c>
      <c r="I10" s="4" t="n">
        <f aca="false">COUNTIFS(Voorstel!$C$4:$C$222,A10,Voorstel!$K$4:$K$222,"controleren")</f>
        <v>0</v>
      </c>
    </row>
    <row r="11" customFormat="false" ht="15" hidden="false" customHeight="false" outlineLevel="0" collapsed="false">
      <c r="A11" s="4" t="s">
        <v>19</v>
      </c>
      <c r="B11" s="4" t="n">
        <f aca="false">COUNTIF(Voorstel!$C$4:$C$222,A11)</f>
        <v>4</v>
      </c>
      <c r="C11" s="19" t="n">
        <f aca="false">IFERROR(AVERAGEIF(Voorstel!$C$4:$C$222,A11,Voorstel!$D$4:$D$222),0)</f>
        <v>63.7</v>
      </c>
      <c r="D11" s="19" t="n">
        <f aca="false">IFERROR(AVERAGEIF(Voorstel!$C$4:$C$222,A11,Voorstel!$G$4:$G$222),0)</f>
        <v>64.95</v>
      </c>
      <c r="E11" s="19" t="n">
        <f aca="false">D11-C11</f>
        <v>1.25</v>
      </c>
      <c r="F11" s="4" t="n">
        <f aca="false">COUNTIFS(Voorstel!$C$4:$C$222,A11,Voorstel!$J$4:$J$222,"Omhoog")</f>
        <v>1</v>
      </c>
      <c r="G11" s="4" t="n">
        <f aca="false">COUNTIFS(Voorstel!$C$4:$C$222,A11,Voorstel!$J$4:$J$222,"Omlaag")</f>
        <v>0</v>
      </c>
      <c r="H11" s="4" t="n">
        <f aca="false">COUNTIFS(Voorstel!$C$4:$C$222,A11,Voorstel!$J$4:$J$222,"Gelijk")</f>
        <v>3</v>
      </c>
      <c r="I11" s="4" t="n">
        <f aca="false">COUNTIFS(Voorstel!$C$4:$C$222,A11,Voorstel!$K$4:$K$222,"controleren")</f>
        <v>0</v>
      </c>
    </row>
    <row r="12" customFormat="false" ht="15" hidden="false" customHeight="false" outlineLevel="0" collapsed="false">
      <c r="A12" s="4" t="s">
        <v>21</v>
      </c>
      <c r="B12" s="4" t="n">
        <f aca="false">COUNTIF(Voorstel!$C$4:$C$222,A12)</f>
        <v>34</v>
      </c>
      <c r="C12" s="19" t="n">
        <f aca="false">IFERROR(AVERAGEIF(Voorstel!$C$4:$C$222,A12,Voorstel!$D$4:$D$222),0)</f>
        <v>72.0088235294118</v>
      </c>
      <c r="D12" s="19" t="n">
        <f aca="false">IFERROR(AVERAGEIF(Voorstel!$C$4:$C$222,A12,Voorstel!$G$4:$G$222),0)</f>
        <v>79.95</v>
      </c>
      <c r="E12" s="19" t="n">
        <f aca="false">D12-C12</f>
        <v>7.94117647058823</v>
      </c>
      <c r="F12" s="4" t="n">
        <f aca="false">COUNTIFS(Voorstel!$C$4:$C$222,A12,Voorstel!$J$4:$J$222,"Omhoog")</f>
        <v>18</v>
      </c>
      <c r="G12" s="4" t="n">
        <f aca="false">COUNTIFS(Voorstel!$C$4:$C$222,A12,Voorstel!$J$4:$J$222,"Omlaag")</f>
        <v>0</v>
      </c>
      <c r="H12" s="4" t="n">
        <f aca="false">COUNTIFS(Voorstel!$C$4:$C$222,A12,Voorstel!$J$4:$J$222,"Gelijk")</f>
        <v>16</v>
      </c>
      <c r="I12" s="4" t="n">
        <f aca="false">COUNTIFS(Voorstel!$C$4:$C$222,A12,Voorstel!$K$4:$K$222,"controleren")</f>
        <v>12</v>
      </c>
    </row>
    <row r="13" customFormat="false" ht="15" hidden="false" customHeight="false" outlineLevel="0" collapsed="false">
      <c r="A13" s="7" t="s">
        <v>495</v>
      </c>
      <c r="B13" s="7" t="n">
        <f aca="false">SUM(B4:B12)</f>
        <v>219</v>
      </c>
      <c r="C13" s="20" t="n">
        <f aca="false">IFERROR(AVERAGE(Voorstel!$D$4:$D$222),0)</f>
        <v>59.7901826484018</v>
      </c>
      <c r="D13" s="20" t="n">
        <f aca="false">IFERROR(AVERAGE(Voorstel!$G$4:$G$222),0)</f>
        <v>64.3335616438356</v>
      </c>
      <c r="E13" s="20" t="n">
        <f aca="false">D13-C13</f>
        <v>4.54337899543379</v>
      </c>
      <c r="F13" s="7" t="n">
        <f aca="false">SUM(F4:F12)</f>
        <v>111</v>
      </c>
      <c r="G13" s="7" t="n">
        <f aca="false">SUM(G4:G12)</f>
        <v>34</v>
      </c>
      <c r="H13" s="7" t="n">
        <f aca="false">SUM(H4:H12)</f>
        <v>74</v>
      </c>
      <c r="I13" s="7" t="n">
        <f aca="false">SUM(I4:I12)</f>
        <v>73</v>
      </c>
    </row>
    <row r="15" customFormat="false" ht="15" hidden="false" customHeight="false" outlineLevel="0" collapsed="false">
      <c r="A15" s="4" t="s">
        <v>496</v>
      </c>
      <c r="B15" s="19" t="n">
        <f aca="false">MIN(Voorstel!$D$4:$D$222)</f>
        <v>29.95</v>
      </c>
    </row>
    <row r="16" customFormat="false" ht="15" hidden="false" customHeight="false" outlineLevel="0" collapsed="false">
      <c r="A16" s="4" t="s">
        <v>497</v>
      </c>
      <c r="B16" s="19" t="n">
        <f aca="false">MAX(Voorstel!$D$4:$D$222)</f>
        <v>99.95</v>
      </c>
    </row>
    <row r="17" customFormat="false" ht="15" hidden="false" customHeight="false" outlineLevel="0" collapsed="false">
      <c r="A17" s="4" t="s">
        <v>498</v>
      </c>
      <c r="B17" s="19" t="n">
        <f aca="false">MIN(Voorstel!$G$4:$G$222)</f>
        <v>44.95</v>
      </c>
    </row>
    <row r="18" customFormat="false" ht="15" hidden="false" customHeight="false" outlineLevel="0" collapsed="false">
      <c r="A18" s="4" t="s">
        <v>499</v>
      </c>
      <c r="B18" s="19" t="n">
        <f aca="false">MAX(Voorstel!$G$4:$G$222)</f>
        <v>84.95</v>
      </c>
    </row>
    <row r="19" customFormat="false" ht="15" hidden="false" customHeight="false" outlineLevel="0" collapsed="false">
      <c r="A19" s="4" t="s">
        <v>500</v>
      </c>
      <c r="B19" s="21" t="n">
        <f aca="false">IFERROR(AVERAGE(Voorstel!$M$4:$M$222),0)</f>
        <v>0.446350438806915</v>
      </c>
    </row>
    <row r="20" customFormat="false" ht="15" hidden="false" customHeight="false" outlineLevel="0" collapsed="false">
      <c r="A20" s="4" t="s">
        <v>501</v>
      </c>
      <c r="B20" s="21" t="n">
        <f aca="false">IFERROR(AVERAGE(Voorstel!$P$4:$P$222),0)</f>
        <v>0.447649686653021</v>
      </c>
    </row>
    <row r="22" customFormat="false" ht="15" hidden="false" customHeight="false" outlineLevel="0" collapsed="false">
      <c r="A22" s="7" t="s">
        <v>502</v>
      </c>
    </row>
    <row r="23" customFormat="false" ht="15" hidden="false" customHeight="false" outlineLevel="0" collapsed="false">
      <c r="A23" s="10" t="s">
        <v>503</v>
      </c>
    </row>
    <row r="24" customFormat="false" ht="15" hidden="false" customHeight="false" outlineLevel="0" collapsed="false">
      <c r="A24" s="10" t="s">
        <v>504</v>
      </c>
    </row>
    <row r="25" customFormat="false" ht="15" hidden="false" customHeight="false" outlineLevel="0" collapsed="false">
      <c r="A25" s="10" t="s">
        <v>505</v>
      </c>
    </row>
    <row r="26" customFormat="false" ht="15" hidden="false" customHeight="false" outlineLevel="0" collapsed="false">
      <c r="A26" s="10" t="s">
        <v>506</v>
      </c>
    </row>
    <row r="27" customFormat="false" ht="15" hidden="false" customHeight="false" outlineLevel="0" collapsed="false">
      <c r="A27" s="10" t="s">
        <v>507</v>
      </c>
    </row>
    <row r="28" customFormat="false" ht="15" hidden="false" customHeight="false" outlineLevel="0" collapsed="false">
      <c r="A28" s="10" t="s">
        <v>508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2026-09-20T11:41:33Z</dcterms:created>
  <dc:creator>openpyxl</dc:creator>
  <dc:description/>
  <dc:language>en-US</dc:language>
  <cp:lastModifiedBy/>
  <dcterms:modified xsi:type="dcterms:W3CDTF">2026-09-20T11:41:33Z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