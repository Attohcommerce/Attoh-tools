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envatting" sheetId="1" state="visible" r:id="rId3"/>
    <sheet name="Voorstel" sheetId="2" state="visible" r:id="rId4"/>
  </sheets>
  <definedNames>
    <definedName function="false" hidden="true" localSheetId="1" name="_xlnm._FilterDatabase" vbProcedure="false">Voorstel!$A$1:$P$342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<sst xmlns="http://schemas.openxmlformats.org/spreadsheetml/2006/main" count="1767" uniqueCount="862">
  <si>
    <t xml:space="preserve">EMC — prijsvoorstel (AUD), 24-9-2026 — gedifferentieerd</t>
  </si>
  <si>
    <t xml:space="preserve">Benchmark: Julia Raven (juliaraven.com, AU/NZ, AUD), product export 24-9-2026. Let op: Julia Raven is een damesstore met 84 herenproducten — herencategorieën zijn dun (n 1–23). Waar herendata ontbreekt (shirts, polos, sweaters, sandalen, swimwear) is de damescategorie als proxy gebruikt; dat staat per regel in kolom L.</t>
  </si>
  <si>
    <t xml:space="preserve">Regel: per groep tussen het onderste kwartiel (P25) en de mediaan van Julia Raven, max +A$20 per product. Grootste stappen waar EMC het verst onder de markt zit (loafers, nette schoenen, overhemden, jeans). Shorts en swimwear ongewijzigd: Julia Raven zit daar zelf op A$54,95. T-shirts/polos +A$5. Compare-at houdt per product het huidige kortingspercentage.</t>
  </si>
  <si>
    <t xml:space="preserve">Gele cellen op tabblad Voorstel (kolom I) mag je aanpassen; compare-at, verhoging en "nog onder JR-mediaan" rekenen mee.</t>
  </si>
  <si>
    <t xml:space="preserve">Groep</t>
  </si>
  <si>
    <t xml:space="preserve">Aantal</t>
  </si>
  <si>
    <t xml:space="preserve">Prijs nu (gem.)</t>
  </si>
  <si>
    <t xml:space="preserve">Voorstel (gem.)</t>
  </si>
  <si>
    <t xml:space="preserve">Verhoging (gem.)</t>
  </si>
  <si>
    <t xml:space="preserve">JR P25</t>
  </si>
  <si>
    <t xml:space="preserve">JR mediaan</t>
  </si>
  <si>
    <t xml:space="preserve">Nog onder JR-mediaan</t>
  </si>
  <si>
    <t xml:space="preserve">Julia Raven-referentie</t>
  </si>
  <si>
    <t xml:space="preserve">JR n</t>
  </si>
  <si>
    <t xml:space="preserve">Men's Trousers</t>
  </si>
  <si>
    <t xml:space="preserve">JR men's trousers</t>
  </si>
  <si>
    <t xml:space="preserve">Men's Shorts</t>
  </si>
  <si>
    <t xml:space="preserve">JR men's shorts</t>
  </si>
  <si>
    <t xml:space="preserve">Shirts — T-shirts &amp; polos</t>
  </si>
  <si>
    <t xml:space="preserve">geen JR-herendata; proxy tank tops (dames)</t>
  </si>
  <si>
    <t xml:space="preserve">Shirts — Overhemden &amp; rugby</t>
  </si>
  <si>
    <t xml:space="preserve">JR men's shirt n=1 (64,95); proxy blouses (dames)</t>
  </si>
  <si>
    <t xml:space="preserve">Shoes — Loafers</t>
  </si>
  <si>
    <t xml:space="preserve">JR men's loafers (3: 99,95–124,95); dames flats &amp; loafers P25 94,95</t>
  </si>
  <si>
    <t xml:space="preserve">Men's Hoodies</t>
  </si>
  <si>
    <t xml:space="preserve">JR men's hoodies</t>
  </si>
  <si>
    <t xml:space="preserve">Men's Jeans</t>
  </si>
  <si>
    <t xml:space="preserve">JR men's jeans</t>
  </si>
  <si>
    <t xml:space="preserve">Men's Sandals</t>
  </si>
  <si>
    <t xml:space="preserve">JR men's sandals n=1 (94,95); proxy sandals (dames)</t>
  </si>
  <si>
    <t xml:space="preserve">Men's Jackets &amp; Coats</t>
  </si>
  <si>
    <t xml:space="preserve">JR men's jackets</t>
  </si>
  <si>
    <t xml:space="preserve">Shoes — Sneakers &amp; casual</t>
  </si>
  <si>
    <t xml:space="preserve">JR men's sneakers/casual</t>
  </si>
  <si>
    <t xml:space="preserve">Men's Swimwear</t>
  </si>
  <si>
    <t xml:space="preserve">geen JR-herendata; proxy swimwear (dames)</t>
  </si>
  <si>
    <t xml:space="preserve">Shoes — Dress shoes</t>
  </si>
  <si>
    <t xml:space="preserve">JR men's dress shoes (oxford/derby)</t>
  </si>
  <si>
    <t xml:space="preserve">Men's Sweaters</t>
  </si>
  <si>
    <t xml:space="preserve">geen JR-herendata; proxy sweaters (dames)</t>
  </si>
  <si>
    <t xml:space="preserve">Shorts — premium</t>
  </si>
  <si>
    <t xml:space="preserve">Sweaters — Knitted polos</t>
  </si>
  <si>
    <t xml:space="preserve">Shoes — Boots</t>
  </si>
  <si>
    <t xml:space="preserve">JR men's boots</t>
  </si>
  <si>
    <t xml:space="preserve">Trousers — instap</t>
  </si>
  <si>
    <t xml:space="preserve">Alle producten</t>
  </si>
  <si>
    <t xml:space="preserve">Gemiddelde verhoging</t>
  </si>
  <si>
    <t xml:space="preserve">Producten ongewijzigd</t>
  </si>
  <si>
    <t xml:space="preserve">Producten +A$5</t>
  </si>
  <si>
    <t xml:space="preserve">Producten +A$10</t>
  </si>
  <si>
    <t xml:space="preserve">Producten +A$15</t>
  </si>
  <si>
    <t xml:space="preserve">Kanttekeningen</t>
  </si>
  <si>
    <t xml:space="preserve">• EMC is op 21-9 al verlaagd (gem. A$72,75 → 64,20). Dit voorstel zet de groepen die het verst onder de markt zitten terug omhoog: loafers 74,95 → 89,95 (was 89,95 vóór 21-9), nette schoenen 84,95 → 99,95 (was 99,95), jeans 64,95 → 74,95, overhemden 59,95 → 69,95.</t>
  </si>
  <si>
    <t xml:space="preserve">• Julia Raven heeft slechts 84 herenproducten. Voor shorts (n=6, allemaal 49,95–54,95) en sneakers (P25 64,95) zit EMC al op hun niveau; daarom daar 0 of +5.</t>
  </si>
  <si>
    <t xml:space="preserve">• 2 damesschoenen in de herenstore ("Brown Slip On Shoe For Women", "Casual Shoe For Women") gaan mee in hun schoenengroep; nog steeds opruimen (zie doc 16).</t>
  </si>
  <si>
    <t xml:space="preserve">• Doorvoeren in één batch via de Shopify-connector (productVariantsBulkUpdate, prijs + compare-at, alle varianten). Daarna 14 dagen meten.</t>
  </si>
  <si>
    <t xml:space="preserve">Handle</t>
  </si>
  <si>
    <t xml:space="preserve">Titel</t>
  </si>
  <si>
    <t xml:space="preserve">Type (Shopify)</t>
  </si>
  <si>
    <t xml:space="preserve">Varianten</t>
  </si>
  <si>
    <t xml:space="preserve">Prijs nu</t>
  </si>
  <si>
    <t xml:space="preserve">Compare-at nu</t>
  </si>
  <si>
    <t xml:space="preserve">Korting nu</t>
  </si>
  <si>
    <t xml:space="preserve">Voorstel: prijs</t>
  </si>
  <si>
    <t xml:space="preserve">Voorstel: compare-at</t>
  </si>
  <si>
    <t xml:space="preserve">Verhoging</t>
  </si>
  <si>
    <t xml:space="preserve">mens-cable-knit-sweatshirt-quarter-zip-collar-ribbed-hem-knit</t>
  </si>
  <si>
    <t xml:space="preserve">Men's Cable Knit Sweatshirt | Quarter-Zip Collar Ribbed Hem Knit</t>
  </si>
  <si>
    <t xml:space="preserve">Hoodies</t>
  </si>
  <si>
    <t xml:space="preserve">mens-hooded-sweatshirt-full-zip-knit-relaxed-fit-pockets</t>
  </si>
  <si>
    <t xml:space="preserve">Men's Hooded Sweatshirt | Full Zip Knit Relaxed Fit Pockets</t>
  </si>
  <si>
    <t xml:space="preserve">mens-hoodie-half-zip-pullover-fleece-knit</t>
  </si>
  <si>
    <t xml:space="preserve">Men's Hoodie | Half Zip Pullover Fleece Knit</t>
  </si>
  <si>
    <t xml:space="preserve">Men's Jacket</t>
  </si>
  <si>
    <t xml:space="preserve">mens-hoodie-pullover-hood-drawstring-kangaroo-pocket-knit</t>
  </si>
  <si>
    <t xml:space="preserve">Men's Hoodie | Pullover Hood Drawstring Kangaroo Pocket Knit</t>
  </si>
  <si>
    <t xml:space="preserve">Hoodie</t>
  </si>
  <si>
    <t xml:space="preserve">mens-hoodie-quarter-button-ribbed-knit-elbow-patch</t>
  </si>
  <si>
    <t xml:space="preserve">Men's Hoodie | Quarter-Button Ribbed Knit Elbow Patch</t>
  </si>
  <si>
    <t xml:space="preserve">Sweatshirts</t>
  </si>
  <si>
    <t xml:space="preserve">mens-hoodie-quarter-zip-hood-cargo-pockets-knit</t>
  </si>
  <si>
    <t xml:space="preserve">Men's Hoodie | Quarter-Zip Hood Cargo Pockets Knit</t>
  </si>
  <si>
    <t xml:space="preserve">mens-hoodie-zip-closure-hood-knit-reversible</t>
  </si>
  <si>
    <t xml:space="preserve">Men's Hoodie | Zip Closure Hood Knit Reversible</t>
  </si>
  <si>
    <t xml:space="preserve">Clothing</t>
  </si>
  <si>
    <t xml:space="preserve">mens-hoodie-zip-up-front-side-pockets-knit</t>
  </si>
  <si>
    <t xml:space="preserve">Men's Hoodie | Zip-Up Front Side Pockets Knit</t>
  </si>
  <si>
    <t xml:space="preserve">hoodies</t>
  </si>
  <si>
    <t xml:space="preserve">mens-hoodie-zip-up-knit-drawstring-hood-multiple-pockets</t>
  </si>
  <si>
    <t xml:space="preserve">Men's Hoodie | Zip-Up Knit Drawstring Hood Multiple Pockets</t>
  </si>
  <si>
    <t xml:space="preserve">mens-sweatshirt-fleece-zip-up-hooded-long-sleeve</t>
  </si>
  <si>
    <t xml:space="preserve">Men's Sweatshirt | Fleece Zip-Up Hooded Long Sleeve</t>
  </si>
  <si>
    <t xml:space="preserve">mens-sweatshirt-half-zip-high-neck-knit</t>
  </si>
  <si>
    <t xml:space="preserve">Men's Sweatshirt | Half Zip High Neck Knit</t>
  </si>
  <si>
    <t xml:space="preserve">mens-sweatshirt-polo-collar-drop-shoulder-garment-washed</t>
  </si>
  <si>
    <t xml:space="preserve">Men's Sweatshirt | Polo Collar Drop Shoulder Garment Washed</t>
  </si>
  <si>
    <t xml:space="preserve">mvbtool</t>
  </si>
  <si>
    <t xml:space="preserve">mens-sweatshirt-quarter-zip-collar-knit-textured</t>
  </si>
  <si>
    <t xml:space="preserve">Men's Sweatshirt | Quarter-Zip Collar Knit Textured</t>
  </si>
  <si>
    <t xml:space="preserve">mens-sweatshirt-quarter-zip-knit-waffle-textured</t>
  </si>
  <si>
    <t xml:space="preserve">Men's Sweatshirt | Quarter-Zip Knit Waffle Textured</t>
  </si>
  <si>
    <t xml:space="preserve">Sweaters</t>
  </si>
  <si>
    <t xml:space="preserve">mens-sweatshirt-quilted-knit-zip-full-closure</t>
  </si>
  <si>
    <t xml:space="preserve">Men's Sweatshirt | Quilted Knit Zip Full Closure</t>
  </si>
  <si>
    <t xml:space="preserve">Coats &amp; Jackets</t>
  </si>
  <si>
    <t xml:space="preserve">mens-sweatshirt-v-neck-knit-elbow-patch-relaxed-fit</t>
  </si>
  <si>
    <t xml:space="preserve">Men's Sweatshirt | V-Neck Knit Elbow Patch Relaxed Fit</t>
  </si>
  <si>
    <t xml:space="preserve">New</t>
  </si>
  <si>
    <t xml:space="preserve">unisex-hoodie-integrated-face-mask-zip-closure-cotton-blend</t>
  </si>
  <si>
    <t xml:space="preserve">Unisex Hoodie | Integrated Face Mask Zip Closure Cotton Blend</t>
  </si>
  <si>
    <t xml:space="preserve">mens-bomber-jacket-leather-zip-closure-ribbed-cuff</t>
  </si>
  <si>
    <t xml:space="preserve">Men's Bomber Jacket | Leather Zip Closure Ribbed Cuff</t>
  </si>
  <si>
    <t xml:space="preserve">mens-jacket-collared-zip-closure-leather-bomber</t>
  </si>
  <si>
    <t xml:space="preserve">Men's Jacket | Collared Zip Closure Leather Bomber</t>
  </si>
  <si>
    <t xml:space="preserve">mens-jacket-hood-relaxed-fit-softshell-pockets</t>
  </si>
  <si>
    <t xml:space="preserve">Men's Jacket | Hood Relaxed Fit Softshell Pockets</t>
  </si>
  <si>
    <t xml:space="preserve">Waterproof Jacket</t>
  </si>
  <si>
    <t xml:space="preserve">mens-jacket-hood-waterproof-long-sleeves-pockets</t>
  </si>
  <si>
    <t xml:space="preserve">Men's Jacket | Hood Waterproof Long Sleeves Pockets</t>
  </si>
  <si>
    <t xml:space="preserve">mens-jacket-sherpa-collar-button-denim</t>
  </si>
  <si>
    <t xml:space="preserve">Men's Jacket | Sherpa Collar Button Denim</t>
  </si>
  <si>
    <t xml:space="preserve">mutual</t>
  </si>
  <si>
    <t xml:space="preserve">mens-rain-jacket-hooded-waterproof-knee-length-relaxed-fit</t>
  </si>
  <si>
    <t xml:space="preserve">Men's Rain Jacket | Hooded Waterproof Knee Length Relaxed Fit</t>
  </si>
  <si>
    <t xml:space="preserve">mens-rain-jacket-hooded-windproof-full-zip</t>
  </si>
  <si>
    <t xml:space="preserve">Men's Rain Jacket | Hooded Windproof Full Zip</t>
  </si>
  <si>
    <t xml:space="preserve">Jackets</t>
  </si>
  <si>
    <t xml:space="preserve">mens-rain-jacket-hooded-windproof-water-repellent</t>
  </si>
  <si>
    <t xml:space="preserve">Men's Rain Jacket | Hooded Windproof Water-Repellent</t>
  </si>
  <si>
    <t xml:space="preserve">mens-rain-jacket-hooded-zip-pockets-relaxed-fit</t>
  </si>
  <si>
    <t xml:space="preserve">Men's Rain Jacket | Hooded Zip Pockets Relaxed Fit</t>
  </si>
  <si>
    <t xml:space="preserve">rain jacket</t>
  </si>
  <si>
    <t xml:space="preserve">mens-waterproof-jacket-adjustable-hood-relaxed-fit</t>
  </si>
  <si>
    <t xml:space="preserve">Men's Waterproof Jacket | Adjustable Hood Relaxed Fit</t>
  </si>
  <si>
    <t xml:space="preserve">mens-waterproof-jacket-hood-insulated-pockets-puffer</t>
  </si>
  <si>
    <t xml:space="preserve">Men's Waterproof Jacket | Hood Insulated Pockets Puffer</t>
  </si>
  <si>
    <t xml:space="preserve">Puffer Jacket</t>
  </si>
  <si>
    <t xml:space="preserve">mens-waterproof-jacket-hood-zip-pockets-long-sleeve</t>
  </si>
  <si>
    <t xml:space="preserve">Men's Waterproof Jacket | Hood Zip Pockets Long Sleeve</t>
  </si>
  <si>
    <t xml:space="preserve">mens-waterproof-jacket-hooded-full-zip-lightweight</t>
  </si>
  <si>
    <t xml:space="preserve">Men's Waterproof Jacket | Hooded Full Zip Lightweight</t>
  </si>
  <si>
    <t xml:space="preserve">mens-waterproof-jacket-hooded-windbreaker-nylon-zip-pockets</t>
  </si>
  <si>
    <t xml:space="preserve">Men's Waterproof Jacket | Hooded Windbreaker Nylon Zip Pockets</t>
  </si>
  <si>
    <t xml:space="preserve">mens-waterproof-jacket-hooded-windproof-canvas-zip</t>
  </si>
  <si>
    <t xml:space="preserve">Men's Waterproof Jacket | Hooded Windproof Canvas Zip</t>
  </si>
  <si>
    <t xml:space="preserve">mens-waterproof-jacket-hooded-zip-closure-canvas</t>
  </si>
  <si>
    <t xml:space="preserve">Men's Waterproof Jacket | Hooded Zip Closure Canvas</t>
  </si>
  <si>
    <t xml:space="preserve">mens-baggy-jeans-comfort-fit-denim-five-pocket-button-closure</t>
  </si>
  <si>
    <t xml:space="preserve">Men's Baggy Jeans | Comfort Fit Denim Five-Pocket Button Closure</t>
  </si>
  <si>
    <t xml:space="preserve">Men's Comfort Fit Cotton Jeans with Classic Five-Pocket Design</t>
  </si>
  <si>
    <t xml:space="preserve">mens-baggy-jeans-high-waist-loose-fit-denim</t>
  </si>
  <si>
    <t xml:space="preserve">Men's Baggy Jeans | High Waist Loose Fit Denim</t>
  </si>
  <si>
    <t xml:space="preserve">Wide Leg Pants</t>
  </si>
  <si>
    <t xml:space="preserve">mens-baggy-jeans-mid-rise-denim-full-length-relaxed</t>
  </si>
  <si>
    <t xml:space="preserve">Men's Baggy Jeans | Mid-Rise Denim Full-Length Relaxed</t>
  </si>
  <si>
    <t xml:space="preserve">Jeans</t>
  </si>
  <si>
    <t xml:space="preserve">mens-baggy-jeans-relaxed-fit-distressed-denim-acid-wash</t>
  </si>
  <si>
    <t xml:space="preserve">Men's Baggy Jeans | Relaxed Fit Distressed Denim Acid Wash</t>
  </si>
  <si>
    <t xml:space="preserve">mens-baggy-jeans-straight-leg-denim-loose-fit</t>
  </si>
  <si>
    <t xml:space="preserve">Men's Baggy Jeans | Straight Leg Denim Loose Fit</t>
  </si>
  <si>
    <t xml:space="preserve">Men Loose Fit Jeans | Straight Clean Modern Shape</t>
  </si>
  <si>
    <t xml:space="preserve">mens-baggy-jeans-wide-leg-relaxed-fit-denim</t>
  </si>
  <si>
    <t xml:space="preserve">Men's Baggy Jeans | Wide Leg Relaxed Fit Denim</t>
  </si>
  <si>
    <t xml:space="preserve">mens-baggy-jeans-wide-leg-relaxed-fit-denim-1</t>
  </si>
  <si>
    <t xml:space="preserve">mens-baggy-jeans-wide-leg-relaxed-fit-denim-2</t>
  </si>
  <si>
    <t xml:space="preserve">Men's Baggy Jeans | Wide-Leg Relaxed Fit Denim</t>
  </si>
  <si>
    <t xml:space="preserve">mens-denim-jogger-jeans-elastic-waist-tapered-leg-denim</t>
  </si>
  <si>
    <t xml:space="preserve">Men's Denim Jogger Jeans | Elastic Waist Tapered Leg Denim</t>
  </si>
  <si>
    <t xml:space="preserve">mens-jeans-distressed-skinny-fit-stretch-denim</t>
  </si>
  <si>
    <t xml:space="preserve">Men's Jeans | Distressed Skinny Fit Stretch Denim</t>
  </si>
  <si>
    <t xml:space="preserve">Pants</t>
  </si>
  <si>
    <t xml:space="preserve">mens-jeans-patchwork-wide-leg-baggy-denim</t>
  </si>
  <si>
    <t xml:space="preserve">Men's Jeans | Patchwork Wide Leg Baggy Denim</t>
  </si>
  <si>
    <t xml:space="preserve">jeans</t>
  </si>
  <si>
    <t xml:space="preserve">mens-jeans-relaxed-fit-denim-straight-leg</t>
  </si>
  <si>
    <t xml:space="preserve">Men's Jeans | Relaxed Fit Denim Straight Leg</t>
  </si>
  <si>
    <t xml:space="preserve">New4</t>
  </si>
  <si>
    <t xml:space="preserve">mens-jeans-skinny-fit-ripped-denim</t>
  </si>
  <si>
    <t xml:space="preserve">Men's Jeans | Skinny Fit Ripped Denim</t>
  </si>
  <si>
    <t xml:space="preserve">mens-jeans-slim-fit-denim-stretch-tapered</t>
  </si>
  <si>
    <t xml:space="preserve">Men's Jeans | Slim Fit Denim Stretch Tapered</t>
  </si>
  <si>
    <t xml:space="preserve">mens-jeans-slim-fit-denim-zip-fly-five-pocket</t>
  </si>
  <si>
    <t xml:space="preserve">Men's Jeans | Slim Fit Denim Zip Fly Five Pocket</t>
  </si>
  <si>
    <t xml:space="preserve">New3</t>
  </si>
  <si>
    <t xml:space="preserve">mens-slim-cargo-jeans-tapered-fit-stretch-denim-cargo-pockets</t>
  </si>
  <si>
    <t xml:space="preserve">Men's Slim Cargo Jeans | Tapered Fit Stretch Denim Cargo Pockets</t>
  </si>
  <si>
    <t xml:space="preserve">mens-leather-sandals-slip-on-flat-sole-stitched-detail</t>
  </si>
  <si>
    <t xml:space="preserve">Men's Leather Sandals | Slip-On Flat Sole Stitched Detail</t>
  </si>
  <si>
    <t xml:space="preserve">mens-sandals-closed-toe-leather-hand-stitched-adjustable</t>
  </si>
  <si>
    <t xml:space="preserve">Men's Sandals | Closed-Toe Leather Hand-Stitched Adjustable</t>
  </si>
  <si>
    <t xml:space="preserve">Men's Orthopedic Sandals</t>
  </si>
  <si>
    <t xml:space="preserve">mens-sandals-leather-straps-studded-open-toe-durable-sole</t>
  </si>
  <si>
    <t xml:space="preserve">Men's Sandals | Leather Straps Studded Open Toe Durable Sole</t>
  </si>
  <si>
    <t xml:space="preserve">Sandals</t>
  </si>
  <si>
    <t xml:space="preserve">mens-sandals-open-toe-adjustable-strap-leather</t>
  </si>
  <si>
    <t xml:space="preserve">Men's Sandals | Open Toe Adjustable Strap Leather</t>
  </si>
  <si>
    <t xml:space="preserve">Men's Footwear</t>
  </si>
  <si>
    <t xml:space="preserve">mens-sandals-open-toe-leather-adjustable-strap</t>
  </si>
  <si>
    <t xml:space="preserve">Men's Sandals | Open Toe Leather Adjustable Strap</t>
  </si>
  <si>
    <t xml:space="preserve">mens-sandals-open-toe-velcro-strap-leather</t>
  </si>
  <si>
    <t xml:space="preserve">Men's Sandals | Open Toe Velcro Strap Leather</t>
  </si>
  <si>
    <t xml:space="preserve">mens-sandals-slip-on-loafer-round-toe-cushioned</t>
  </si>
  <si>
    <t xml:space="preserve">Men's Sandals | Slip-On Loafer Round Toe Cushioned</t>
  </si>
  <si>
    <t xml:space="preserve">mens-sandals-thong-strap-leather-woven-sole</t>
  </si>
  <si>
    <t xml:space="preserve">Men's Sandals | Thong Strap Leather Woven Sole</t>
  </si>
  <si>
    <t xml:space="preserve">mens-slide-adjustable-straps-open-toe</t>
  </si>
  <si>
    <t xml:space="preserve">Men's Slide | Adjustable Straps Open Toe</t>
  </si>
  <si>
    <t xml:space="preserve">sandals</t>
  </si>
  <si>
    <t xml:space="preserve">mens-slide-closed-toe-leather-strappy-cushioned</t>
  </si>
  <si>
    <t xml:space="preserve">Men's Slide | Closed Toe Leather Strappy Cushioned</t>
  </si>
  <si>
    <t xml:space="preserve">Men's Shoes</t>
  </si>
  <si>
    <t xml:space="preserve">mens-slide-double-buckle-adjustable-sandal</t>
  </si>
  <si>
    <t xml:space="preserve">Men's Slide | Double Buckle Adjustable Sandal</t>
  </si>
  <si>
    <t xml:space="preserve">mens-slide-open-toe-buckle-velcro-leather</t>
  </si>
  <si>
    <t xml:space="preserve">Men's Slide | Open Toe Buckle Velcro Leather</t>
  </si>
  <si>
    <t xml:space="preserve">mens-slide-open-toe-hook-loop-closure-cushioned-footbed</t>
  </si>
  <si>
    <t xml:space="preserve">Men's Slide | Open Toe Hook Loop Closure Cushioned Footbed</t>
  </si>
  <si>
    <t xml:space="preserve">mens-slide-strapped-open-toe-leather</t>
  </si>
  <si>
    <t xml:space="preserve">Men's Slide | Strapped Open Toe Leather</t>
  </si>
  <si>
    <t xml:space="preserve">Men Sandals</t>
  </si>
  <si>
    <t xml:space="preserve">mens-thong-leather-arch-support-cushioned-sole</t>
  </si>
  <si>
    <t xml:space="preserve">Men's Thong | Leather Arch Support Cushioned Sole</t>
  </si>
  <si>
    <t xml:space="preserve">Slippers</t>
  </si>
  <si>
    <t xml:space="preserve">slide-for-men-buckle-strap-open-toe-lightweight</t>
  </si>
  <si>
    <t xml:space="preserve">Slide For Men | Buckle Strap Open Toe Lightweight</t>
  </si>
  <si>
    <t xml:space="preserve">mens-baggy-cargo-shorts-relaxed-fit-multi-pocket-canvas</t>
  </si>
  <si>
    <t xml:space="preserve">Men's Baggy Cargo Shorts | Relaxed Fit Multi-Pocket Canvas</t>
  </si>
  <si>
    <t xml:space="preserve">Shorts</t>
  </si>
  <si>
    <t xml:space="preserve">mens-baggy-cargo-shorts-relaxed-fit-multiple-pockets-cotton-blend</t>
  </si>
  <si>
    <t xml:space="preserve">Men's Baggy Cargo Shorts | Relaxed Fit Multiple Pockets Cotton Blend</t>
  </si>
  <si>
    <t xml:space="preserve">mens-beach-shorts-cargo-patch-pocket-drawstring</t>
  </si>
  <si>
    <t xml:space="preserve">Men's Beach Shorts | Cargo Patch Pocket Drawstring</t>
  </si>
  <si>
    <t xml:space="preserve">cargo shorts</t>
  </si>
  <si>
    <t xml:space="preserve">mens-beach-shorts-cargo-pockets-multiple-pockets-cotton</t>
  </si>
  <si>
    <t xml:space="preserve">Men's Beach Shorts | Cargo Pockets Multiple Pockets Cotton</t>
  </si>
  <si>
    <t xml:space="preserve">mens-beach-shorts-cargo-pockets-zip-closure</t>
  </si>
  <si>
    <t xml:space="preserve">Men's Beach Shorts | Cargo Pockets Zip Closure</t>
  </si>
  <si>
    <t xml:space="preserve">mens-beach-shorts-drawstring-linen-relaxed-fit</t>
  </si>
  <si>
    <t xml:space="preserve">Men's Beach Shorts | Drawstring Linen Relaxed Fit</t>
  </si>
  <si>
    <t xml:space="preserve">mens-beach-shorts-drawstring-waist-linen-relaxed-fit</t>
  </si>
  <si>
    <t xml:space="preserve">Men's Beach Shorts | Drawstring Waist Linen Relaxed Fit</t>
  </si>
  <si>
    <t xml:space="preserve">Mens shorts</t>
  </si>
  <si>
    <t xml:space="preserve">mens-beach-shorts-elastic-waist-drawstring-quick-dry</t>
  </si>
  <si>
    <t xml:space="preserve">Men's Beach Shorts | Elastic Waist Drawstring Quick Dry</t>
  </si>
  <si>
    <t xml:space="preserve">shorts</t>
  </si>
  <si>
    <t xml:space="preserve">mens-beach-shorts-relaxed-fit-linen-lightweight-breathable</t>
  </si>
  <si>
    <t xml:space="preserve">Men's Beach Shorts | Relaxed Fit Linen Lightweight Breathable</t>
  </si>
  <si>
    <t xml:space="preserve">mens-beach-shorts-short-sleeve-button-up-collared-linen</t>
  </si>
  <si>
    <t xml:space="preserve">Men's Beach Shorts | Short Sleeve Button-Up Collared Linen</t>
  </si>
  <si>
    <t xml:space="preserve">Outfit Sets</t>
  </si>
  <si>
    <t xml:space="preserve">mens-beach-shorts-tropical-print-drawstring-pocket</t>
  </si>
  <si>
    <t xml:space="preserve">Men's Beach Shorts | Tropical Print Drawstring Pocket</t>
  </si>
  <si>
    <t xml:space="preserve">mens-camo-cargo-shorts-knee-length-cargo-pockets-belt-loops</t>
  </si>
  <si>
    <t xml:space="preserve">Men's Camo Cargo Shorts | Knee Length Cargo Pockets Belt Loops</t>
  </si>
  <si>
    <t xml:space="preserve">mens-camo-cargo-shorts-knee-length-cargo-pockets-relaxed-fit</t>
  </si>
  <si>
    <t xml:space="preserve">Men's Camo Cargo Shorts | Knee Length Cargo Pockets Relaxed Fit</t>
  </si>
  <si>
    <t xml:space="preserve">Cargo Pants</t>
  </si>
  <si>
    <t xml:space="preserve">mens-camo-cargo-shorts-knee-length-multi-pocket-belted</t>
  </si>
  <si>
    <t xml:space="preserve">Men's Camo Cargo Shorts | Knee Length Multi Pocket Belted</t>
  </si>
  <si>
    <t xml:space="preserve">Camouflage</t>
  </si>
  <si>
    <t xml:space="preserve">mens-camo-cargo-shorts-multi-pocket-relaxed-fit</t>
  </si>
  <si>
    <t xml:space="preserve">Men's Camo Cargo Shorts | Multi Pocket Relaxed Fit</t>
  </si>
  <si>
    <t xml:space="preserve">mens-camo-cargo-shorts-relaxed-fit-multi-pocket-denim</t>
  </si>
  <si>
    <t xml:space="preserve">Men's Camo Cargo Shorts | Relaxed Fit Multi-Pocket Denim</t>
  </si>
  <si>
    <t xml:space="preserve">Camouflage Shorts</t>
  </si>
  <si>
    <t xml:space="preserve">mens-cargo-shorts-denim-cargo-pockets-belt</t>
  </si>
  <si>
    <t xml:space="preserve">Men's Cargo Shorts | Denim Cargo Pockets Belt</t>
  </si>
  <si>
    <t xml:space="preserve">mens-cargo-shorts-utility-multiple-pockets-button-closure</t>
  </si>
  <si>
    <t xml:space="preserve">Men's Cargo Shorts | Utility Multiple Pockets Button Closure</t>
  </si>
  <si>
    <t xml:space="preserve">mens-chino-shorts-elastic-waist-knee-length-relaxed-fit</t>
  </si>
  <si>
    <t xml:space="preserve">Men's Chino Shorts | Elastic Waist Knee Length Relaxed Fit</t>
  </si>
  <si>
    <t xml:space="preserve">Men’s Pull‑On Chino Shorts | Elastic Waist &amp; Knee‑Length Relaxed Silhouette</t>
  </si>
  <si>
    <t xml:space="preserve">mens-chino-shorts-elastic-waist-relaxed-fit-cotton</t>
  </si>
  <si>
    <t xml:space="preserve">Men's Chino Shorts | Elastic Waist Relaxed Fit Cotton</t>
  </si>
  <si>
    <t xml:space="preserve">Men’s Everyday Chino Shorts | Comfortable Elastic Waist</t>
  </si>
  <si>
    <t xml:space="preserve">mens-chino-shorts-relaxed-fit-drawstring-closure-linen</t>
  </si>
  <si>
    <t xml:space="preserve">Men's Chino Shorts | Relaxed Fit Drawstring Closure Linen</t>
  </si>
  <si>
    <t xml:space="preserve">Men’s Shorts</t>
  </si>
  <si>
    <t xml:space="preserve">mens-chino-shorts-straight-fit-cotton-twill-regular</t>
  </si>
  <si>
    <t xml:space="preserve">Men's Chino Shorts | Straight Fit Cotton Twill Regular</t>
  </si>
  <si>
    <t xml:space="preserve">mens-denim-shorts-above-knee-relaxed-fit-cargo-pockets</t>
  </si>
  <si>
    <t xml:space="preserve">Men's Denim Shorts | Above-Knee Relaxed Fit Cargo Pockets</t>
  </si>
  <si>
    <t xml:space="preserve">Men’s Denim Shorts with Pockets | Above‑Knee Everyday Fit</t>
  </si>
  <si>
    <t xml:space="preserve">mens-denim-shorts-cargo-pockets-button-closure-regular-fit</t>
  </si>
  <si>
    <t xml:space="preserve">Men's Denim Shorts | Cargo Pockets Button Closure Regular Fit</t>
  </si>
  <si>
    <t xml:space="preserve">Men's Denim Cargo Shorts with Utility Pockets for Casual Everyday Wear</t>
  </si>
  <si>
    <t xml:space="preserve">mens-denim-shorts-cargo-pockets-relaxed-fit-zip-closure</t>
  </si>
  <si>
    <t xml:space="preserve">Men's Denim Shorts | Cargo Pockets Relaxed Fit Zip Closure</t>
  </si>
  <si>
    <t xml:space="preserve">mens-denim-shorts-cargo-pockets-straight-fit-denim</t>
  </si>
  <si>
    <t xml:space="preserve">Men's Denim Shorts | Cargo Pockets Straight Fit Denim</t>
  </si>
  <si>
    <t xml:space="preserve">mens-denim-shorts-cargo-pockets-straight-relaxed-denim</t>
  </si>
  <si>
    <t xml:space="preserve">Men's Denim Shorts | Cargo Pockets Straight Relaxed Denim</t>
  </si>
  <si>
    <t xml:space="preserve">Men Rugged Cotton Cargo Shorts | Straight Shape &amp; Everyday Summer Ease</t>
  </si>
  <si>
    <t xml:space="preserve">mens-denim-shorts-regular-fit-five-pocket-denim</t>
  </si>
  <si>
    <t xml:space="preserve">Men's Denim Shorts | Regular Fit Five Pocket Denim</t>
  </si>
  <si>
    <t xml:space="preserve">Denim shorts</t>
  </si>
  <si>
    <t xml:space="preserve">mens-denim-shorts-slim-fit-ripped-above-knee</t>
  </si>
  <si>
    <t xml:space="preserve">Men's Denim Shorts | Slim Fit Ripped Above Knee</t>
  </si>
  <si>
    <t xml:space="preserve">mens-knee-length-shorts-pull-on-linen-relaxed-fit</t>
  </si>
  <si>
    <t xml:space="preserve">Men's Knee Length Shorts | Pull-On Linen Relaxed Fit</t>
  </si>
  <si>
    <t xml:space="preserve">mens-linen-shorts-cargo-pockets-drawstring-relaxed-fit</t>
  </si>
  <si>
    <t xml:space="preserve">Men's Linen Shorts | Cargo Pockets Drawstring Relaxed Fit</t>
  </si>
  <si>
    <t xml:space="preserve">Cargo Shorts</t>
  </si>
  <si>
    <t xml:space="preserve">mens-linen-shorts-elastic-waist-drawstring-relaxed-fit</t>
  </si>
  <si>
    <t xml:space="preserve">Men's Linen Shorts | Elastic Waist Drawstring Relaxed Fit</t>
  </si>
  <si>
    <t xml:space="preserve">mens-linen-shorts-relaxed-fit-cargo-pockets-drawstring</t>
  </si>
  <si>
    <t xml:space="preserve">Men's Linen Shorts | Relaxed Fit Cargo Pockets Drawstring</t>
  </si>
  <si>
    <t xml:space="preserve">mens-linen-shorts-relaxed-fit-drawstring-denim</t>
  </si>
  <si>
    <t xml:space="preserve">Men's Linen Shorts | Relaxed Fit Drawstring Denim</t>
  </si>
  <si>
    <t xml:space="preserve">mens-linen-shorts-relaxed-fit-drawstring-rolled-hem</t>
  </si>
  <si>
    <t xml:space="preserve">Men's Linen Shorts | Relaxed Fit Drawstring Rolled Hem</t>
  </si>
  <si>
    <t xml:space="preserve">Chino Shorts</t>
  </si>
  <si>
    <t xml:space="preserve">mens-long-surf-shorts-elastic-waistband-drawstring-quick-dry-pockets</t>
  </si>
  <si>
    <t xml:space="preserve">Men's Long Surf Shorts | Elastic Waistband Drawstring Quick-Dry Pockets</t>
  </si>
  <si>
    <t xml:space="preserve">mens-long-surf-shorts-quick-dry-elastic-waistband-drawstring</t>
  </si>
  <si>
    <t xml:space="preserve">Men's Long Surf Shorts | Quick Dry Elastic Waistband Drawstring</t>
  </si>
  <si>
    <t xml:space="preserve">mens-long-surf-shorts-striped-pattern-elastic-waist-quick-drying</t>
  </si>
  <si>
    <t xml:space="preserve">Men's Long Surf Shorts | Striped Pattern Elastic Waist Quick Drying</t>
  </si>
  <si>
    <t xml:space="preserve">Men's Striped Swim Shorts with Elastic Waist for Beach and Pool Days</t>
  </si>
  <si>
    <t xml:space="preserve">mens-long-surf-shorts-tropical-print-quick-dry-drawstring</t>
  </si>
  <si>
    <t xml:space="preserve">Men's Long Surf Shorts | Tropical Print Quick Dry Drawstring</t>
  </si>
  <si>
    <t xml:space="preserve">mens-shorts-cargo-pockets-elastic-waist-short-length</t>
  </si>
  <si>
    <t xml:space="preserve">Men's Shorts | Cargo Pockets Elastic Waist Short Length</t>
  </si>
  <si>
    <t xml:space="preserve">mens-shorts-elastic-waist-drawcord-relaxed-fit</t>
  </si>
  <si>
    <t xml:space="preserve">Men's Shorts | Elastic Waist Drawcord Relaxed Fit</t>
  </si>
  <si>
    <t xml:space="preserve">swimwear</t>
  </si>
  <si>
    <t xml:space="preserve">mens-shorts-printed-drawstring-mid-thigh-swim</t>
  </si>
  <si>
    <t xml:space="preserve">Men's Shorts | Printed Drawstring Mid-Thigh Swim</t>
  </si>
  <si>
    <t xml:space="preserve">mens-sport-shorts-adjustable-drawstring-quick-dry-elastic-waistband</t>
  </si>
  <si>
    <t xml:space="preserve">Men's Sport Shorts | Adjustable Drawstring Quick-Dry Elastic Waistband</t>
  </si>
  <si>
    <t xml:space="preserve">mens-sport-shorts-breathable-quick-dry-athletic-fit</t>
  </si>
  <si>
    <t xml:space="preserve">Men's Sport Shorts | Breathable Quick-Dry Athletic Fit</t>
  </si>
  <si>
    <t xml:space="preserve">Men's Summer Sets</t>
  </si>
  <si>
    <t xml:space="preserve">mens-sport-shorts-cargo-pockets-denim-relaxed-fit</t>
  </si>
  <si>
    <t xml:space="preserve">Men's Sport Shorts | Cargo Pockets Denim Relaxed Fit</t>
  </si>
  <si>
    <t xml:space="preserve">mens-sport-shorts-lightweight-relaxed-fit-perforated</t>
  </si>
  <si>
    <t xml:space="preserve">Men's Sport Shorts | Lightweight Relaxed Fit Perforated</t>
  </si>
  <si>
    <t xml:space="preserve">mens-striped-shorts-drawstring-waist-relaxed-fit</t>
  </si>
  <si>
    <t xml:space="preserve">Men's Striped Shorts | Drawstring Waist Relaxed Fit</t>
  </si>
  <si>
    <t xml:space="preserve">mens-tailored-shorts-pleated-front-relaxed-fit-button-closure</t>
  </si>
  <si>
    <t xml:space="preserve">Men's Tailored Shorts | Pleated Front Relaxed Fit Button Closure</t>
  </si>
  <si>
    <t xml:space="preserve">mens-tailored-shorts-regular-fit-woven-chino-pockets</t>
  </si>
  <si>
    <t xml:space="preserve">Men's Tailored Shorts | Regular Fit Woven Chino Pockets</t>
  </si>
  <si>
    <t xml:space="preserve">Men Refined Chino Suit Shorts | Clean Regular Shape &amp; Summer Smart Ease</t>
  </si>
  <si>
    <t xml:space="preserve">mens-tailored-shorts-relaxed-fit-elastic-waist-drawstring</t>
  </si>
  <si>
    <t xml:space="preserve">Men's Tailored Shorts | Relaxed Fit Elastic Waist Drawstring</t>
  </si>
  <si>
    <t xml:space="preserve">Men Casual Summer Shorts | Lightweight Polyester &amp; Relaxed Tailored Ease</t>
  </si>
  <si>
    <t xml:space="preserve">mens-tailored-shorts-relaxed-fit-linen-drawstring</t>
  </si>
  <si>
    <t xml:space="preserve">Men's Tailored Shorts | Relaxed Fit Linen Drawstring</t>
  </si>
  <si>
    <t xml:space="preserve">Men Tailored Summer Shorts | Breezy Polyester &amp; Relaxed Coastal Ease</t>
  </si>
  <si>
    <t xml:space="preserve">mens-tailored-shorts-zip-closure-mid-thigh-lightweight</t>
  </si>
  <si>
    <t xml:space="preserve">Men's Tailored Shorts | Zip Closure Mid-Thigh Lightweight</t>
  </si>
  <si>
    <t xml:space="preserve">mens-work-shorts-cargo-pockets-relaxed-fit-water-repellent</t>
  </si>
  <si>
    <t xml:space="preserve">Men's Work Shorts | Cargo Pockets Relaxed Fit Water-Repellent</t>
  </si>
  <si>
    <t xml:space="preserve">mens-work-shorts-cargo-relaxed-fit-knee-length</t>
  </si>
  <si>
    <t xml:space="preserve">Men's Work Shorts | Cargo Relaxed Fit Knee Length</t>
  </si>
  <si>
    <t xml:space="preserve">mens-work-shorts-knee-length-plaid-drawstring-side-stripe</t>
  </si>
  <si>
    <t xml:space="preserve">Men's Work Shorts | Knee-Length Plaid Drawstring Side Stripe</t>
  </si>
  <si>
    <t xml:space="preserve">mens-work-shorts-pleated-front-rolled-hem-linen-blend</t>
  </si>
  <si>
    <t xml:space="preserve">Men's Work Shorts | Pleated Front Rolled Hem Linen Blend</t>
  </si>
  <si>
    <t xml:space="preserve">mens-work-shorts-pleated-straight-leg-tailored-closure</t>
  </si>
  <si>
    <t xml:space="preserve">Men's Work Shorts | Pleated Straight-Leg Tailored Closure</t>
  </si>
  <si>
    <t xml:space="preserve">mens-work-shorts-relaxed-fit-cargo-knee-length</t>
  </si>
  <si>
    <t xml:space="preserve">Men's Work Shorts | Relaxed Fit Cargo Knee Length</t>
  </si>
  <si>
    <t xml:space="preserve">mens-sweater-vest-cable-knit-v-neck-ribbed-armholes</t>
  </si>
  <si>
    <t xml:space="preserve">Men's Sweater Vest | Cable Knit V-Neck Ribbed Armholes</t>
  </si>
  <si>
    <t xml:space="preserve">mens-sweater-vest-knit-zip-up-collar-closure</t>
  </si>
  <si>
    <t xml:space="preserve">Men's Sweater Vest | Knit Zip-Up Collar Closure</t>
  </si>
  <si>
    <t xml:space="preserve">Vests</t>
  </si>
  <si>
    <t xml:space="preserve">mens-sweater-vest-v-neck-argyle-knit-sleeveless</t>
  </si>
  <si>
    <t xml:space="preserve">Men's Sweater Vest | V-Neck Argyle Knit Sleeveless</t>
  </si>
  <si>
    <t xml:space="preserve">Sweater vest</t>
  </si>
  <si>
    <t xml:space="preserve">mens-sweater-vest-v-neck-cable-knit-sleeveless</t>
  </si>
  <si>
    <t xml:space="preserve">Men's Sweater Vest | V-Neck Cable Knit Sleeveless</t>
  </si>
  <si>
    <t xml:space="preserve">Knitwear Men</t>
  </si>
  <si>
    <t xml:space="preserve">mens-sweater-vest-v-neck-knit-textured-regular-fit</t>
  </si>
  <si>
    <t xml:space="preserve">Men's Sweater Vest | V-Neck Knit Textured Regular Fit</t>
  </si>
  <si>
    <t xml:space="preserve">mens-board-shorts-cargo-pockets-drawstring-relaxed-fit</t>
  </si>
  <si>
    <t xml:space="preserve">Men's Board Shorts | Cargo Pockets Drawstring Relaxed Fit</t>
  </si>
  <si>
    <t xml:space="preserve">mens-board-shorts-cargo-pockets-relaxed-fit-cotton</t>
  </si>
  <si>
    <t xml:space="preserve">Men's Board Shorts | Cargo Pockets Relaxed Fit Cotton</t>
  </si>
  <si>
    <t xml:space="preserve">mens-board-shorts-elastic-waist-drawstring-closure-quick-dry</t>
  </si>
  <si>
    <t xml:space="preserve">Men's Board Shorts | Elastic Waist Drawstring Closure Quick Dry</t>
  </si>
  <si>
    <t xml:space="preserve">mens-board-shorts-flamingo-print-inner-liner-pocket</t>
  </si>
  <si>
    <t xml:space="preserve">Men's Board Shorts | Flamingo Print Inner Liner Pocket</t>
  </si>
  <si>
    <t xml:space="preserve">mens-board-shorts-geometric-print-drawstring-swim</t>
  </si>
  <si>
    <t xml:space="preserve">Men's Board Shorts | Geometric Print Drawstring Swim</t>
  </si>
  <si>
    <t xml:space="preserve">Swimwear</t>
  </si>
  <si>
    <t xml:space="preserve">mens-board-shorts-patchwork-mid-waist-drawstring</t>
  </si>
  <si>
    <t xml:space="preserve">Men's Board Shorts | Patchwork Mid-Waist Drawstring</t>
  </si>
  <si>
    <t xml:space="preserve">Board shorts</t>
  </si>
  <si>
    <t xml:space="preserve">mens-board-shorts-quick-dry-nylon-drawstring-athletic-fit</t>
  </si>
  <si>
    <t xml:space="preserve">Men's Board Shorts | Quick-Dry Nylon Drawstring Athletic Fit</t>
  </si>
  <si>
    <t xml:space="preserve">Men Shorts</t>
  </si>
  <si>
    <t xml:space="preserve">mens-board-shorts-quick-drying-elastic-waistband-zip-pockets</t>
  </si>
  <si>
    <t xml:space="preserve">Men's Board Shorts | Quick-Drying Elastic Waistband Zip Pockets</t>
  </si>
  <si>
    <t xml:space="preserve">Men's Quick-Drying Board Shorts with Zip Pockets for Beach and Water Sports</t>
  </si>
  <si>
    <t xml:space="preserve">mens-board-shorts-relaxed-fit-drawstring-closure-side-pockets</t>
  </si>
  <si>
    <t xml:space="preserve">Men's Board Shorts | Relaxed Fit Drawstring Closure Side Pockets</t>
  </si>
  <si>
    <t xml:space="preserve">mens-board-shorts-striped-drawstring-mid-thigh</t>
  </si>
  <si>
    <t xml:space="preserve">Men's Board Shorts | Striped Drawstring Mid-Thigh</t>
  </si>
  <si>
    <t xml:space="preserve">mens-board-shorts-tropical-print-drawstring-quick-dry</t>
  </si>
  <si>
    <t xml:space="preserve">Men's Board Shorts | Tropical Print Drawstring Quick Dry</t>
  </si>
  <si>
    <t xml:space="preserve">mens-board-shorts-tropical-print-quick-dry-compression-liner</t>
  </si>
  <si>
    <t xml:space="preserve">Men's Board Shorts | Tropical Print Quick-Dry Compression Liner</t>
  </si>
  <si>
    <t xml:space="preserve">mvb26</t>
  </si>
  <si>
    <t xml:space="preserve">mens-camo-pants-cargo-pockets-jogging-cuff-denim</t>
  </si>
  <si>
    <t xml:space="preserve">Men's Camo Pants | Cargo Pockets Jogging Cuff Denim</t>
  </si>
  <si>
    <t xml:space="preserve">mens-camo-pants-cargo-pockets-relaxed-fit-jogger</t>
  </si>
  <si>
    <t xml:space="preserve">Men's Camo Pants | Cargo Pockets Relaxed Fit Jogger</t>
  </si>
  <si>
    <t xml:space="preserve">Men's Pants</t>
  </si>
  <si>
    <t xml:space="preserve">mens-camo-pants-tapered-leg-cargo-pockets-stretch</t>
  </si>
  <si>
    <t xml:space="preserve">Men's Camo Pants | Tapered Leg Cargo Pockets Stretch</t>
  </si>
  <si>
    <t xml:space="preserve">mens-cargo-pants-cargo-pockets-drawstring-jogger-cuffed</t>
  </si>
  <si>
    <t xml:space="preserve">Men's Cargo Pants | Cargo Pockets Drawstring Jogger Cuffed</t>
  </si>
  <si>
    <t xml:space="preserve">mens-cargo-pants-corduroy-relaxed-fit-cargo-pockets</t>
  </si>
  <si>
    <t xml:space="preserve">Men's Cargo Pants | Corduroy Relaxed Fit Cargo Pockets</t>
  </si>
  <si>
    <t xml:space="preserve">mens-cargo-pants-elastic-waist-tapered-leg-cargo-pockets</t>
  </si>
  <si>
    <t xml:space="preserve">Men's Cargo Pants | Elastic Waist Tapered Leg Cargo Pockets</t>
  </si>
  <si>
    <t xml:space="preserve">mens-cargo-pants-relaxed-fit-denim-functional-pockets</t>
  </si>
  <si>
    <t xml:space="preserve">Men's Cargo Pants | Relaxed Fit Denim Functional Pockets</t>
  </si>
  <si>
    <t xml:space="preserve">mens-cargo-pants-relaxed-fit-drawcord-hem-multiple-pockets</t>
  </si>
  <si>
    <t xml:space="preserve">Men's Cargo Pants | Relaxed Fit Drawcord Hem Multiple Pockets</t>
  </si>
  <si>
    <t xml:space="preserve">mens-cargo-pants-relaxed-fit-drawstring-waist-multiple-pockets</t>
  </si>
  <si>
    <t xml:space="preserve">Men's Cargo Pants | Relaxed Fit Drawstring Waist Multiple Pockets</t>
  </si>
  <si>
    <t xml:space="preserve">mens-cargo-pants-relaxed-fit-elastic-waist-cargo-pockets</t>
  </si>
  <si>
    <t xml:space="preserve">Men's Cargo Pants | Relaxed Fit Elastic Waist Cargo Pockets</t>
  </si>
  <si>
    <t xml:space="preserve">Trousers</t>
  </si>
  <si>
    <t xml:space="preserve">mens-cargo-pants-relaxed-fit-jogger-hem-utility-pockets</t>
  </si>
  <si>
    <t xml:space="preserve">Men's Cargo Pants | Relaxed Fit Jogger Hem Utility Pockets</t>
  </si>
  <si>
    <t xml:space="preserve">mens-cargo-pants-relaxed-fit-multiple-pockets-durable</t>
  </si>
  <si>
    <t xml:space="preserve">Men's Cargo Pants | Relaxed Fit Multiple Pockets Durable</t>
  </si>
  <si>
    <t xml:space="preserve">mens-cargo-pants-straight-leg-multiple-pockets-cotton</t>
  </si>
  <si>
    <t xml:space="preserve">Men's Cargo Pants | Straight Leg Multiple Pockets Cotton</t>
  </si>
  <si>
    <t xml:space="preserve">mens-cargo-pants-straight-leg-utility-pockets-cotton</t>
  </si>
  <si>
    <t xml:space="preserve">Men's Cargo Pants | Straight Leg Utility Pockets Cotton</t>
  </si>
  <si>
    <t xml:space="preserve">mens-cargo-pants-tapered-ankle-stretch-fit-multiple-pockets</t>
  </si>
  <si>
    <t xml:space="preserve">Men's Cargo Pants | Tapered Ankle Stretch Fit Multiple Pockets</t>
  </si>
  <si>
    <t xml:space="preserve">mens-cargo-pants-tapered-leg-jogger-drawstring-closure</t>
  </si>
  <si>
    <t xml:space="preserve">Men's Cargo Pants | Tapered Leg Jogger Drawstring Closure</t>
  </si>
  <si>
    <t xml:space="preserve">mens-chino-pants-slim-fit-linen-flat-front</t>
  </si>
  <si>
    <t xml:space="preserve">Men's Chino Pants | Slim Fit Linen Flat Front</t>
  </si>
  <si>
    <t xml:space="preserve">mens-chino-pants-straight-leg-loose-fit-zip-closure</t>
  </si>
  <si>
    <t xml:space="preserve">Men's Chino Pants | Straight Leg Loose Fit Zip Closure</t>
  </si>
  <si>
    <t xml:space="preserve">0</t>
  </si>
  <si>
    <t xml:space="preserve">mens-chino-pants-straight-leg-stretch-cotton-casual</t>
  </si>
  <si>
    <t xml:space="preserve">Men's Chino Pants | Straight Leg Stretch Cotton Casual</t>
  </si>
  <si>
    <t xml:space="preserve">men trousers</t>
  </si>
  <si>
    <t xml:space="preserve">mens-chino-pants-straight-leg-tailored-fit-cotton</t>
  </si>
  <si>
    <t xml:space="preserve">Men's Chino Pants | Straight Leg Tailored Fit Cotton</t>
  </si>
  <si>
    <t xml:space="preserve">Chinos</t>
  </si>
  <si>
    <t xml:space="preserve">mens-chino-pants-tapered-leg-stretch-waistband-casual</t>
  </si>
  <si>
    <t xml:space="preserve">Men's Chino Pants | Tapered Leg Stretch Waistband Casual</t>
  </si>
  <si>
    <t xml:space="preserve">mens-chino-corduroy-shorts-elastic-waist-drawstring</t>
  </si>
  <si>
    <t xml:space="preserve">Men's Chino | Corduroy Shorts Elastic Waist Drawstring</t>
  </si>
  <si>
    <t xml:space="preserve">mens-chino-pleated-tailored-regular-fit-rolled-hem</t>
  </si>
  <si>
    <t xml:space="preserve">Men's Chino | Pleated Tailored Regular Fit Rolled Hem</t>
  </si>
  <si>
    <t xml:space="preserve">mens-chino-regular-fit-straight-leg-zip-fly-button-closure</t>
  </si>
  <si>
    <t xml:space="preserve">Men's Chino | Regular Fit Straight Leg Zip Fly Button Closure</t>
  </si>
  <si>
    <t xml:space="preserve">mens-chino-slim-fit-flat-front-stretch</t>
  </si>
  <si>
    <t xml:space="preserve">Men's Chino | Slim Fit Flat Front Stretch</t>
  </si>
  <si>
    <t xml:space="preserve">mens-chino-slim-fit-plaid-tapered-closure</t>
  </si>
  <si>
    <t xml:space="preserve">Men's Chino | Slim Fit Plaid Tapered Closure</t>
  </si>
  <si>
    <t xml:space="preserve">mens-chino-slim-fit-mid-rise-button-closure</t>
  </si>
  <si>
    <t xml:space="preserve">Men's Chino | Slim-Fit Mid-Rise Button Closure</t>
  </si>
  <si>
    <t xml:space="preserve">pants</t>
  </si>
  <si>
    <t xml:space="preserve">mens-chino-tapered-drawstring-pleated-front</t>
  </si>
  <si>
    <t xml:space="preserve">Men's Chino | Tapered Drawstring Pleated Front</t>
  </si>
  <si>
    <t xml:space="preserve">mens-dress-pants-slim-fit-tapered-wool-blend</t>
  </si>
  <si>
    <t xml:space="preserve">Men's Dress Pants | Slim Fit Tapered Wool Blend</t>
  </si>
  <si>
    <t xml:space="preserve">mens-dress-pants-tapered-leg-pleated-front-wool-blend</t>
  </si>
  <si>
    <t xml:space="preserve">Men's Dress Pants | Tapered Leg Pleated Front Wool Blend</t>
  </si>
  <si>
    <t xml:space="preserve">Straight Leg Pants</t>
  </si>
  <si>
    <t xml:space="preserve">mens-dress-pants-tweed-relaxed-fit-straight-leg</t>
  </si>
  <si>
    <t xml:space="preserve">Men's Dress Pants | Tweed Relaxed Fit Straight Leg</t>
  </si>
  <si>
    <t xml:space="preserve">mens-dress-pants-waffle-knit-pleated-tapered</t>
  </si>
  <si>
    <t xml:space="preserve">Men's Dress Pants | Waffle Knit Pleated Tapered</t>
  </si>
  <si>
    <t xml:space="preserve">mens-high-waisted-pants-pleated-straight-fit-gurkha</t>
  </si>
  <si>
    <t xml:space="preserve">Men's High Waisted Pants | Pleated Straight Fit Gurkha</t>
  </si>
  <si>
    <t xml:space="preserve">mens-high-waisted-pants-pleated-straight-leg-tailored</t>
  </si>
  <si>
    <t xml:space="preserve">Men's High Waisted Pants | Pleated Straight Leg Tailored</t>
  </si>
  <si>
    <t xml:space="preserve">mens-high-waisted-pants-relaxed-fit-cargo-pockets-cotton</t>
  </si>
  <si>
    <t xml:space="preserve">Men's High Waisted Pants | Relaxed Fit Cargo Pockets Cotton</t>
  </si>
  <si>
    <t xml:space="preserve">mens-high-waisted-pants-relaxed-fit-linen-lightweight</t>
  </si>
  <si>
    <t xml:space="preserve">Men's High Waisted Pants | Relaxed Fit Linen Lightweight</t>
  </si>
  <si>
    <t xml:space="preserve">mens-hiking-pants-cargo-pockets-quick-dry-regular-fit</t>
  </si>
  <si>
    <t xml:space="preserve">Men's Hiking Pants | Cargo Pockets Quick Dry Regular Fit</t>
  </si>
  <si>
    <t xml:space="preserve">mens-hiking-pants-cargo-pockets-reinforced-knees-straight-leg</t>
  </si>
  <si>
    <t xml:space="preserve">Men's Hiking Pants | Cargo Pockets Reinforced Knees Straight Leg</t>
  </si>
  <si>
    <t xml:space="preserve">Broeken</t>
  </si>
  <si>
    <t xml:space="preserve">mens-hiking-pants-color-block-relaxed-fit-multiple-pockets</t>
  </si>
  <si>
    <t xml:space="preserve">Men's Hiking Pants | Color Block Relaxed Fit Multiple Pockets</t>
  </si>
  <si>
    <t xml:space="preserve">mens-hiking-pants-convertible-zip-off-cargo-pockets</t>
  </si>
  <si>
    <t xml:space="preserve">Men's Hiking Pants | Convertible Zip-Off Cargo Pockets</t>
  </si>
  <si>
    <t xml:space="preserve">mens-linen-pants-drawstring-closure-relaxed-fit-full-length</t>
  </si>
  <si>
    <t xml:space="preserve">Men's Linen Pants | Drawstring Closure Relaxed Fit Full Length</t>
  </si>
  <si>
    <t xml:space="preserve">mens-linen-pants-drawstring-waist-relaxed-fit-full-length</t>
  </si>
  <si>
    <t xml:space="preserve">Men's Linen Pants | Drawstring Waist Relaxed Fit Full Length</t>
  </si>
  <si>
    <t xml:space="preserve">mens-linen-pants-elastic-waistband-relaxed-fit-full-length</t>
  </si>
  <si>
    <t xml:space="preserve">Men's Linen Pants | Elastic Waistband Relaxed Fit Full Length</t>
  </si>
  <si>
    <t xml:space="preserve">Men Linen Pants</t>
  </si>
  <si>
    <t xml:space="preserve">mens-linen-pants-relaxed-fit-elastic-waist-lightweight</t>
  </si>
  <si>
    <t xml:space="preserve">Men's Linen Pants | Relaxed Fit Elastic Waist Lightweight</t>
  </si>
  <si>
    <t xml:space="preserve">mens-linen-pants-relaxed-fit-lightweight-breathable</t>
  </si>
  <si>
    <t xml:space="preserve">Men's Linen Pants | Relaxed Fit Lightweight Breathable</t>
  </si>
  <si>
    <t xml:space="preserve">mens-linen-pants-tapered-fit-ankle-cropped</t>
  </si>
  <si>
    <t xml:space="preserve">Men's Linen Pants | Tapered Fit Ankle Cropped</t>
  </si>
  <si>
    <t xml:space="preserve">mens-linen-slacks-drawstring-waist-relaxed-fit-linen</t>
  </si>
  <si>
    <t xml:space="preserve">Men's Linen Slacks | Drawstring Waist Relaxed Fit Linen</t>
  </si>
  <si>
    <t xml:space="preserve">mens-linen-slacks-loose-fit-drawstring-full-length</t>
  </si>
  <si>
    <t xml:space="preserve">Men's Linen Slacks | Loose Fit Drawstring Full Length</t>
  </si>
  <si>
    <t xml:space="preserve">Men Pants</t>
  </si>
  <si>
    <t xml:space="preserve">mens-linen-slacks-relaxed-fit-elastic-waist-ankle-length</t>
  </si>
  <si>
    <t xml:space="preserve">Men's Linen Slacks | Relaxed Fit Elastic Waist Ankle Length</t>
  </si>
  <si>
    <t xml:space="preserve">mens-linen-slacks-straight-fit-elastic-waist</t>
  </si>
  <si>
    <t xml:space="preserve">Men's Linen Slacks | Straight Fit Elastic Waist</t>
  </si>
  <si>
    <t xml:space="preserve">mens-pants-jogger-relaxed-fit-sherpa-lining-side-stripe</t>
  </si>
  <si>
    <t xml:space="preserve">Men's Pants | Jogger Relaxed Fit Sherpa Lining Side Stripe</t>
  </si>
  <si>
    <t xml:space="preserve">Jogger</t>
  </si>
  <si>
    <t xml:space="preserve">mens-pants-striped-side-seam-relaxed-fit</t>
  </si>
  <si>
    <t xml:space="preserve">Men's Pants | Striped Side Seam Relaxed Fit</t>
  </si>
  <si>
    <t xml:space="preserve">mens-relaxed-pants-wide-leg-elastic-waist-corduroy</t>
  </si>
  <si>
    <t xml:space="preserve">Men's Relaxed Pants | Wide Leg Elastic Waist Corduroy</t>
  </si>
  <si>
    <t xml:space="preserve">mens-slim-fit-jogger-pants-tapered-leg-drawstring-closure-linen</t>
  </si>
  <si>
    <t xml:space="preserve">Men's Slim-Fit Jogger Pants | Tapered Leg Drawstring Closure Linen</t>
  </si>
  <si>
    <t xml:space="preserve">mens-tapered-pants-cargo-pockets-jogger-drawstring</t>
  </si>
  <si>
    <t xml:space="preserve">Men's Tapered Pants | Cargo Pockets Jogger Drawstring</t>
  </si>
  <si>
    <t xml:space="preserve">mens-white-linen-slacks-drawstring-waist-relaxed-straight-leg</t>
  </si>
  <si>
    <t xml:space="preserve">Men's White Linen Slacks | Drawstring Waist Relaxed Straight Leg</t>
  </si>
  <si>
    <t xml:space="preserve">mens-white-linen-slacks-pleated-relaxed-fit-linen</t>
  </si>
  <si>
    <t xml:space="preserve">Men's White Linen Slacks | Pleated Relaxed Fit Linen</t>
  </si>
  <si>
    <t xml:space="preserve">mens-white-linen-slacks-relaxed-fit-drawstring-closure</t>
  </si>
  <si>
    <t xml:space="preserve">Men's White Linen Slacks | Relaxed Fit Drawstring Closure</t>
  </si>
  <si>
    <t xml:space="preserve">mens-wide-leg-dress-pants-high-waisted-relaxed-fit-belted</t>
  </si>
  <si>
    <t xml:space="preserve">Men's Wide Leg Dress Pants | High Waisted Relaxed Fit Belted</t>
  </si>
  <si>
    <t xml:space="preserve">mens-black-shirt-slim-fit-button-collar-long-sleeve</t>
  </si>
  <si>
    <t xml:space="preserve">Men's Black Shirt | Slim Fit Button Collar Long Sleeve</t>
  </si>
  <si>
    <t xml:space="preserve">Tops</t>
  </si>
  <si>
    <t xml:space="preserve">mens-button-up-shirt-collared-relaxed-fit-linen-short-sleeve</t>
  </si>
  <si>
    <t xml:space="preserve">Men's Button Up Shirt | Collared Relaxed Fit Linen Short Sleeve</t>
  </si>
  <si>
    <t xml:space="preserve">Shirts</t>
  </si>
  <si>
    <t xml:space="preserve">mens-button-up-shirt-long-sleeve-linen-collar-button-closure</t>
  </si>
  <si>
    <t xml:space="preserve">Men's Button Up Shirt | Long Sleeve Linen Collar Button Closure</t>
  </si>
  <si>
    <t xml:space="preserve">mens-button-up-shirt-long-sleeve-striped-collar-button</t>
  </si>
  <si>
    <t xml:space="preserve">Men's Button Up Shirt | Long Sleeve Striped Collar Button</t>
  </si>
  <si>
    <t xml:space="preserve">mens-button-up-shirt-slim-fit-long-sleeve-collared</t>
  </si>
  <si>
    <t xml:space="preserve">Men's Button Up Shirt | Slim Fit Long Sleeve Collared</t>
  </si>
  <si>
    <t xml:space="preserve">tight shirt</t>
  </si>
  <si>
    <t xml:space="preserve">mens-collared-shirt-gauze-knit-button-front-relaxed-fit</t>
  </si>
  <si>
    <t xml:space="preserve">Men's Collared Shirt | Gauze Knit Button Front Relaxed Fit</t>
  </si>
  <si>
    <t xml:space="preserve">mens-collared-shirt-textured-knit-stand-collar-long-sleeves</t>
  </si>
  <si>
    <t xml:space="preserve">Men's Collared Shirt | Textured Knit Stand Collar Long Sleeves</t>
  </si>
  <si>
    <t xml:space="preserve">mens-collared-shirt-three-quarter-sleeve-button-up</t>
  </si>
  <si>
    <t xml:space="preserve">Men's Collared Shirt | Three-Quarter Sleeve Button-Up</t>
  </si>
  <si>
    <t xml:space="preserve">mens-corduroy-shirt-relaxed-fit-button-front-chest-pocket</t>
  </si>
  <si>
    <t xml:space="preserve">Men's Corduroy Shirt | Relaxed Fit Button Front Chest Pocket</t>
  </si>
  <si>
    <t xml:space="preserve">Men Shirt</t>
  </si>
  <si>
    <t xml:space="preserve">mens-denim-shirt-camouflage-print-button-down-long-sleeve</t>
  </si>
  <si>
    <t xml:space="preserve">Men's Denim Shirt | Camouflage Print Button Down Long Sleeve</t>
  </si>
  <si>
    <t xml:space="preserve">Shirt</t>
  </si>
  <si>
    <t xml:space="preserve">mens-denim-shirt-collared-button-front-chest-pockets</t>
  </si>
  <si>
    <t xml:space="preserve">Men's Denim Shirt | Collared Button-Front Chest Pockets</t>
  </si>
  <si>
    <t xml:space="preserve">mens-denim-shirt-long-sleeve-button-closure-chest-pocket</t>
  </si>
  <si>
    <t xml:space="preserve">Men's Denim Shirt | Long Sleeve Button Closure Chest Pocket</t>
  </si>
  <si>
    <t xml:space="preserve">mens-denim-shirt-slim-fit-button-closure-long-sleeves</t>
  </si>
  <si>
    <t xml:space="preserve">Men's Denim Shirt | Slim Fit Button Closure Long Sleeves</t>
  </si>
  <si>
    <t xml:space="preserve">mens-linen-shirt-band-collar-long-sleeve</t>
  </si>
  <si>
    <t xml:space="preserve">Men's Linen Shirt | Band Collar Long Sleeve</t>
  </si>
  <si>
    <t xml:space="preserve">mens-linen-shirt-dropped-shoulder-long-sleeve-button-closure</t>
  </si>
  <si>
    <t xml:space="preserve">Men's Linen Shirt | Dropped Shoulder Long Sleeve Button Closure</t>
  </si>
  <si>
    <t xml:space="preserve">mens-linen-shirt-lapel-collar-button-front-relaxed-fit</t>
  </si>
  <si>
    <t xml:space="preserve">Men's Linen Shirt | Lapel Collar Button Front Relaxed Fit</t>
  </si>
  <si>
    <t xml:space="preserve">mens-linen-shirt-long-sleeves-button-front-relaxed-fit</t>
  </si>
  <si>
    <t xml:space="preserve">Men's Linen Shirt | Long Sleeves Button Front Relaxed Fit</t>
  </si>
  <si>
    <t xml:space="preserve">mens-linen-shirt-mandarin-collar-button-front-relaxed-fit</t>
  </si>
  <si>
    <t xml:space="preserve">Men's Linen Shirt | Mandarin Collar Button Front Relaxed Fit</t>
  </si>
  <si>
    <t xml:space="preserve">mens-linen-shirt-relaxed-fit-collared-long-sleeve</t>
  </si>
  <si>
    <t xml:space="preserve">Men's Linen Shirt | Relaxed Fit Collared Long Sleeve</t>
  </si>
  <si>
    <t xml:space="preserve">mens-linen-shirt-short-sleeve-collar-button-closure</t>
  </si>
  <si>
    <t xml:space="preserve">Men's Linen Shirt | Short Sleeve Collar Button Closure</t>
  </si>
  <si>
    <t xml:space="preserve">mens-long-sleeve-shirt-classic-collar-button-front-linen</t>
  </si>
  <si>
    <t xml:space="preserve">Men's Long Sleeve Shirt | Classic Collar Button Front Linen</t>
  </si>
  <si>
    <t xml:space="preserve">mens-no-sleeve-shirt-stand-collar-button-front-knit</t>
  </si>
  <si>
    <t xml:space="preserve">Men's No Sleeve Shirt | Stand Collar Button Front Knit</t>
  </si>
  <si>
    <t xml:space="preserve">Men's Shirts</t>
  </si>
  <si>
    <t xml:space="preserve">mens-no-sleeve-shirt-stand-collar-quilted-puffer</t>
  </si>
  <si>
    <t xml:space="preserve">Men's No Sleeve Shirt | Stand Collar Quilted Puffer</t>
  </si>
  <si>
    <t xml:space="preserve">Men Stand Collar Puffer Vest | Clean Sleek Everyday Layer</t>
  </si>
  <si>
    <t xml:space="preserve">mens-rugby-shirt-collared-polo-button-knit-long-sleeve</t>
  </si>
  <si>
    <t xml:space="preserve">Men's Rugby Shirt | Collared Polo Button Knit Long Sleeve</t>
  </si>
  <si>
    <t xml:space="preserve">Long Sleeve Polo shirt</t>
  </si>
  <si>
    <t xml:space="preserve">mens-t-shirt-crewneck-stripe-detail-knit</t>
  </si>
  <si>
    <t xml:space="preserve">Men's T Shirt | Crewneck Stripe Detail Knit</t>
  </si>
  <si>
    <t xml:space="preserve">T-Shirts</t>
  </si>
  <si>
    <t xml:space="preserve">mens-t-shirt-notch-neckline-long-sleeve-knit</t>
  </si>
  <si>
    <t xml:space="preserve">Men's T Shirt | Notch Neckline Long Sleeve Knit</t>
  </si>
  <si>
    <t xml:space="preserve">Men Herringbone Notch O‑Neck Long‑Sleeve Tee | Clean Modern Texture &amp; Light Everyday Comfort</t>
  </si>
  <si>
    <t xml:space="preserve">mens-t-shirt-v-neck-button-placket-long-sleeve</t>
  </si>
  <si>
    <t xml:space="preserve">Men's T Shirt | V Neck Button Placket Long Sleeve</t>
  </si>
  <si>
    <t xml:space="preserve">Men Cotton V‑Neck Long‑Sleeve Tee | Clean Everyday Comfort &amp; Light Relaxed Fit</t>
  </si>
  <si>
    <t xml:space="preserve">mens-white-shirt-collared-relaxed-fit-long-sleeve</t>
  </si>
  <si>
    <t xml:space="preserve">Men's White Shirt | Collared Relaxed Fit Long Sleeve</t>
  </si>
  <si>
    <t xml:space="preserve">Men Shirts Polos</t>
  </si>
  <si>
    <t xml:space="preserve">mens-white-shirt-short-sleeve-button-down-linen</t>
  </si>
  <si>
    <t xml:space="preserve">Men's White Shirt | Short Sleeve Button Down Linen</t>
  </si>
  <si>
    <t xml:space="preserve">mens-white-shirt-slim-fit-long-sleeve-button-up-collar</t>
  </si>
  <si>
    <t xml:space="preserve">Men's White Shirt | Slim Fit Long Sleeve Button-Up Collar</t>
  </si>
  <si>
    <t xml:space="preserve">mens-white-shirt-striped-long-sleeve-slim-fit-cotton</t>
  </si>
  <si>
    <t xml:space="preserve">Men's White Shirt | Striped Long Sleeve Slim Fit Cotton</t>
  </si>
  <si>
    <t xml:space="preserve">Striped</t>
  </si>
  <si>
    <t xml:space="preserve">mens-worker-shirt-collared-button-down-chest-pockets-regular-fit</t>
  </si>
  <si>
    <t xml:space="preserve">Men's Worker Shirt | Collared Button-Down Chest Pockets Regular Fit</t>
  </si>
  <si>
    <t xml:space="preserve">mens-worker-shirt-lapel-collar-button-front-striped</t>
  </si>
  <si>
    <t xml:space="preserve">Men's Worker Shirt | Lapel Collar Button-Front Striped</t>
  </si>
  <si>
    <t xml:space="preserve">mens-worker-shirt-lapel-collar-short-sleeve-linen-blend</t>
  </si>
  <si>
    <t xml:space="preserve">Men's Worker Shirt | Lapel Collar Short Sleeve Linen Blend</t>
  </si>
  <si>
    <t xml:space="preserve">mens-worker-shirt-long-sleeve-button-down-collared-linen-blend</t>
  </si>
  <si>
    <t xml:space="preserve">Men's Worker Shirt | Long Sleeve Button Down Collared Linen Blend</t>
  </si>
  <si>
    <t xml:space="preserve">mens-worker-shirt-spread-collar-long-sleeve-button-closure</t>
  </si>
  <si>
    <t xml:space="preserve">Men's Worker Shirt | Spread Collar Long Sleeve Button Closure</t>
  </si>
  <si>
    <t xml:space="preserve">CJ26</t>
  </si>
  <si>
    <t xml:space="preserve">mens-black-shirt-crew-neck-short-sleeve-cotton</t>
  </si>
  <si>
    <t xml:space="preserve">Men's Black Shirt | Crew Neck Short Sleeve Cotton</t>
  </si>
  <si>
    <t xml:space="preserve">mens-black-shirt-crew-neck-short-sleeve-relaxed-fit</t>
  </si>
  <si>
    <t xml:space="preserve">Men's Black Shirt | Crew Neck Short Sleeve Relaxed Fit</t>
  </si>
  <si>
    <t xml:space="preserve">T-Shirts &amp; Tops</t>
  </si>
  <si>
    <t xml:space="preserve">mens-black-shirt-polo-long-sleeve-slim-fit</t>
  </si>
  <si>
    <t xml:space="preserve">Men's Black Shirt | Polo Long Sleeve Slim Fit</t>
  </si>
  <si>
    <t xml:space="preserve">polo shirt</t>
  </si>
  <si>
    <t xml:space="preserve">mens-corporate-polo-shirt-collar-short-sleeve-button-closure-knit</t>
  </si>
  <si>
    <t xml:space="preserve">Men's Corporate Polo Shirt | Collar Short Sleeve Button Closure Knit</t>
  </si>
  <si>
    <t xml:space="preserve">mens-corporate-polo-shirt-collar-short-sleeve-button-linen</t>
  </si>
  <si>
    <t xml:space="preserve">Men's Corporate Polo Shirt | Collar Short Sleeve Button Linen</t>
  </si>
  <si>
    <t xml:space="preserve">Polos</t>
  </si>
  <si>
    <t xml:space="preserve">mens-corporate-polo-shirt-long-sleeve-collared-polo</t>
  </si>
  <si>
    <t xml:space="preserve">Men's Corporate Polo Shirt | Long Sleeve Collared Polo</t>
  </si>
  <si>
    <t xml:space="preserve">mens-corporate-polo-shirt-polo-collar-short-sleeve-knit</t>
  </si>
  <si>
    <t xml:space="preserve">Men's Corporate Polo Shirt | Polo Collar Short Sleeve Knit</t>
  </si>
  <si>
    <t xml:space="preserve">Blouse&amp;Shirts</t>
  </si>
  <si>
    <t xml:space="preserve">mens-corporate-polo-shirt-short-sleeve-collared-button-closure</t>
  </si>
  <si>
    <t xml:space="preserve">Men's Corporate Polo Shirt | Short Sleeve Collared Button Closure</t>
  </si>
  <si>
    <t xml:space="preserve">mens-denim-shirt-polo-collar-short-sleeve-button-closure</t>
  </si>
  <si>
    <t xml:space="preserve">Men's Denim Shirt | Polo Collar Short Sleeve Button Closure</t>
  </si>
  <si>
    <t xml:space="preserve">Men's Tops</t>
  </si>
  <si>
    <t xml:space="preserve">mens-graphic-oversized-tee-crew-neck-short-sleeve-print</t>
  </si>
  <si>
    <t xml:space="preserve">Men's Graphic Oversized Tee | Crew Neck Short Sleeve Print</t>
  </si>
  <si>
    <t xml:space="preserve">mens-graphic-oversized-tee-short-sleeve-crew-neck-print</t>
  </si>
  <si>
    <t xml:space="preserve">Men's Graphic Oversized Tee | Short Sleeve Crew Neck Print</t>
  </si>
  <si>
    <t xml:space="preserve">T-shirt and shorts set</t>
  </si>
  <si>
    <t xml:space="preserve">mens-graphic-oversized-tee-v-neck-short-sleeve-butterfly-print</t>
  </si>
  <si>
    <t xml:space="preserve">Men's Graphic Oversized Tee | V Neck Short Sleeve Butterfly Print</t>
  </si>
  <si>
    <t xml:space="preserve">mens-henley-long-sleeve-linen-relaxed-fit-v-neck</t>
  </si>
  <si>
    <t xml:space="preserve">Men's Henley | Long Sleeve Linen Relaxed Fit V-Neck</t>
  </si>
  <si>
    <t xml:space="preserve">mens-henley-short-sleeve-button-closure-linen</t>
  </si>
  <si>
    <t xml:space="preserve">Men's Henley | Short Sleeve Button Closure Linen</t>
  </si>
  <si>
    <t xml:space="preserve">mens-henley-short-sleeve-button-placket-knit</t>
  </si>
  <si>
    <t xml:space="preserve">Men's Henley | Short Sleeve Button Placket Knit</t>
  </si>
  <si>
    <t xml:space="preserve">mens-henley-short-sleeve-denim-button-closure</t>
  </si>
  <si>
    <t xml:space="preserve">Men's Henley | Short Sleeve Denim Button Closure</t>
  </si>
  <si>
    <t xml:space="preserve">mens-henley-short-sleeve-linen-button-placket</t>
  </si>
  <si>
    <t xml:space="preserve">Men's Henley | Short Sleeve Linen Button Placket</t>
  </si>
  <si>
    <t xml:space="preserve">mens-henley-three-button-placket-roll-tab-sleeves-linen</t>
  </si>
  <si>
    <t xml:space="preserve">Men's Henley | Three Button Placket Roll Tab Sleeves Linen</t>
  </si>
  <si>
    <t xml:space="preserve">mens-long-sleeve-henley-henley-neckline-button-closure-knit</t>
  </si>
  <si>
    <t xml:space="preserve">Men's Long Sleeve Henley | Henley Neckline Button Closure Knit</t>
  </si>
  <si>
    <t xml:space="preserve">mens-long-sleeve-henley-knit-blend-button-neckline-relaxed-fit</t>
  </si>
  <si>
    <t xml:space="preserve">Men's Long Sleeve Henley | Knit Blend Button Neckline Relaxed Fit</t>
  </si>
  <si>
    <t xml:space="preserve">Long Sleeve T-Shirt</t>
  </si>
  <si>
    <t xml:space="preserve">mens-long-sleeve-henley-raglan-crew-neck-knit</t>
  </si>
  <si>
    <t xml:space="preserve">Men's Long Sleeve Henley | Raglan Crew Neck Knit</t>
  </si>
  <si>
    <t xml:space="preserve">mens-long-sleeve-shirt-crew-neck-knit-breathable</t>
  </si>
  <si>
    <t xml:space="preserve">Men's Long Sleeve Shirt | Crew Neck Knit Breathable</t>
  </si>
  <si>
    <t xml:space="preserve">mens-no-sleeve-shirt-crew-neck-sleeveless-knit-athletic</t>
  </si>
  <si>
    <t xml:space="preserve">Men's No Sleeve Shirt | Crew Neck Sleeveless Knit Athletic</t>
  </si>
  <si>
    <t xml:space="preserve">mens-no-sleeve-shirt-henley-neckline-denim-pocket-sleeveless</t>
  </si>
  <si>
    <t xml:space="preserve">Men's No Sleeve Shirt | Henley Neckline Denim Pocket Sleeveless</t>
  </si>
  <si>
    <t xml:space="preserve">mens-no-sleeve-shirt-henley-neckline-knit-sleeveless</t>
  </si>
  <si>
    <t xml:space="preserve">Men's No Sleeve Shirt | Henley Neckline Knit Sleeveless</t>
  </si>
  <si>
    <t xml:space="preserve">T-Shirt</t>
  </si>
  <si>
    <t xml:space="preserve">mens-polo-top-collared-short-sleeve-button-pocket</t>
  </si>
  <si>
    <t xml:space="preserve">Men's Polo Top | Collared Short Sleeve Button Pocket</t>
  </si>
  <si>
    <t xml:space="preserve">mens-polo-top-short-sleeve-knit-button-closure-v-neck</t>
  </si>
  <si>
    <t xml:space="preserve">Men's Polo Top | Short Sleeve Knit Button Closure V-Neck</t>
  </si>
  <si>
    <t xml:space="preserve">Polo Shirts</t>
  </si>
  <si>
    <t xml:space="preserve">mens-polo-top-short-sleeve-knit-collared-button</t>
  </si>
  <si>
    <t xml:space="preserve">Men's Polo Top | Short Sleeve Knit Collared Button</t>
  </si>
  <si>
    <t xml:space="preserve">Polo shirt</t>
  </si>
  <si>
    <t xml:space="preserve">mens-polo-top-short-sleeve-collar-knit-breathable</t>
  </si>
  <si>
    <t xml:space="preserve">Men's Polo Top | Short-Sleeve Collar Knit Breathable</t>
  </si>
  <si>
    <t xml:space="preserve">Men Polo</t>
  </si>
  <si>
    <t xml:space="preserve">mens-shirt-ribbed-knit-short-sleeve-crew-neck</t>
  </si>
  <si>
    <t xml:space="preserve">Men's Shirt | Ribbed Knit Short Sleeve Crew Neck</t>
  </si>
  <si>
    <t xml:space="preserve">mens-t-shirt-crew-neck-short-sleeve-knit</t>
  </si>
  <si>
    <t xml:space="preserve">Men's T Shirt | Crew Neck Short Sleeve Knit</t>
  </si>
  <si>
    <t xml:space="preserve">mens-t-shirt-crew-neck-short-sleeve-knit-1</t>
  </si>
  <si>
    <t xml:space="preserve">Men Relaxed Summer Tee | Crew Neck &amp; Balanced Fit</t>
  </si>
  <si>
    <t xml:space="preserve">mens-t-shirt-henley-neckline-button-closure-short-sleeve</t>
  </si>
  <si>
    <t xml:space="preserve">Men's T Shirt | Henley Neckline Button Closure Short Sleeve</t>
  </si>
  <si>
    <t xml:space="preserve">Men Relaxed Henley Tee | Clean Button Neck &amp; Seasonal Everyday Shape</t>
  </si>
  <si>
    <t xml:space="preserve">mens-t-shirt-short-sleeve-crew-neck-regular-fit</t>
  </si>
  <si>
    <t xml:space="preserve">Men's T Shirt | Short Sleeve Crew Neck Regular Fit</t>
  </si>
  <si>
    <t xml:space="preserve">mens-t-shirt-v-neck-chest-pocket-short-sleeve</t>
  </si>
  <si>
    <t xml:space="preserve">Men's T Shirt | V-Neck Chest Pocket Short Sleeve</t>
  </si>
  <si>
    <t xml:space="preserve">mens-t-shirt-v-neck-long-sleeve-knit</t>
  </si>
  <si>
    <t xml:space="preserve">Men's T Shirt | V-Neck Long Sleeve Knit</t>
  </si>
  <si>
    <t xml:space="preserve">mens-t-shirt-v-neck-short-sleeve-relaxed-fit</t>
  </si>
  <si>
    <t xml:space="preserve">Men's T Shirt | V-Neck Short Sleeve Relaxed Fit</t>
  </si>
  <si>
    <t xml:space="preserve">mens-white-shirt-henley-collar-textured-knit-three-quarter-sleeve</t>
  </si>
  <si>
    <t xml:space="preserve">Men's White Shirt | Henley Collar Textured Knit Three Quarter Sleeve</t>
  </si>
  <si>
    <t xml:space="preserve">mens-white-shirt-polo-knit-short-sleeve-collar</t>
  </si>
  <si>
    <t xml:space="preserve">Men's White Shirt | Polo Knit Short Sleeve Collar</t>
  </si>
  <si>
    <t xml:space="preserve">mens-shoes-dress-buckle-strap-leather-ankle-boot</t>
  </si>
  <si>
    <t xml:space="preserve">Men's Shoes Dress | Buckle Strap Leather Ankle Boot</t>
  </si>
  <si>
    <t xml:space="preserve">Boots</t>
  </si>
  <si>
    <t xml:space="preserve">black-shoes-for-men-oxford-lace-up-leather-formal</t>
  </si>
  <si>
    <t xml:space="preserve">Black Shoes For Men | Oxford Lace-Up Leather Formal</t>
  </si>
  <si>
    <t xml:space="preserve">mens-casual-shoe-leather-lace-up-oxford-rounded-toe</t>
  </si>
  <si>
    <t xml:space="preserve">Men's Casual Shoe | Leather Lace-Up Oxford Rounded Toe</t>
  </si>
  <si>
    <t xml:space="preserve">Shoes</t>
  </si>
  <si>
    <t xml:space="preserve">mens-shoes-dress-leather-cap-toe-lace-up-oxford</t>
  </si>
  <si>
    <t xml:space="preserve">Men's Shoes Dress | Leather Cap Toe Lace Up Oxford</t>
  </si>
  <si>
    <t xml:space="preserve">mens-shoes-dress-leather-lace-up-oxford-flat</t>
  </si>
  <si>
    <t xml:space="preserve">Men's Shoes Dress | Leather Lace-Up Oxford Flat</t>
  </si>
  <si>
    <t xml:space="preserve">shoes</t>
  </si>
  <si>
    <t xml:space="preserve">mens-shoes-dress-leather-oxford-lace-up-platform</t>
  </si>
  <si>
    <t xml:space="preserve">Men's Shoes Dress | Leather Oxford Lace-Up Platform</t>
  </si>
  <si>
    <t xml:space="preserve">Men's Dress Shoes</t>
  </si>
  <si>
    <t xml:space="preserve">mens-shoes-dress-loafer-slip-on-leather-flat</t>
  </si>
  <si>
    <t xml:space="preserve">Men's Shoes Dress | Loafer Slip-On Leather Flat</t>
  </si>
  <si>
    <t xml:space="preserve">mens-shoes-dress-suede-lace-up-oxford-casual</t>
  </si>
  <si>
    <t xml:space="preserve">Men's Shoes Dress | Suede Lace-Up Oxford Casual</t>
  </si>
  <si>
    <t xml:space="preserve">mens-shoes-dress-suede-wingtip-lace-up-oxford-sole</t>
  </si>
  <si>
    <t xml:space="preserve">Men's Shoes Dress | Suede Wingtip Lace-Up Oxford Sole</t>
  </si>
  <si>
    <t xml:space="preserve">black-loafer-for-men-lace-up-leather-rounded-toe</t>
  </si>
  <si>
    <t xml:space="preserve">Black Loafer For Men | Lace-Up Leather Rounded Toe</t>
  </si>
  <si>
    <t xml:space="preserve">black-loafer-for-men-slip-on-suede-casual-comfortable</t>
  </si>
  <si>
    <t xml:space="preserve">Black Loafer For Men | Slip On Suede Casual Comfortable</t>
  </si>
  <si>
    <t xml:space="preserve">Loafer</t>
  </si>
  <si>
    <t xml:space="preserve">black-loafer-for-men-slip-on-leather-comfort</t>
  </si>
  <si>
    <t xml:space="preserve">Black Loafer For Men | Slip-On Leather Comfort</t>
  </si>
  <si>
    <t xml:space="preserve">black-loafer-for-men-slip-on-leather-moccasin-sole</t>
  </si>
  <si>
    <t xml:space="preserve">Black Loafer For Men | Slip-On Leather Moccasin Sole</t>
  </si>
  <si>
    <t xml:space="preserve">men loafers</t>
  </si>
  <si>
    <t xml:space="preserve">black-slip-on-loafers-for-men-round-toe-leather-moccasin</t>
  </si>
  <si>
    <t xml:space="preserve">Black Slip On Loafers For Men | Round Toe Leather Moccasin</t>
  </si>
  <si>
    <t xml:space="preserve">boat-shoe-for-men-lace-up-moc-toe-rubber-sole</t>
  </si>
  <si>
    <t xml:space="preserve">Boat Shoe For Men | Lace-Up Moc Toe Rubber Sole</t>
  </si>
  <si>
    <t xml:space="preserve">Boat Shoes</t>
  </si>
  <si>
    <t xml:space="preserve">brown-slip-on-shoe-for-men-croc-embossed-leather-loafer-closure</t>
  </si>
  <si>
    <t xml:space="preserve">Brown Slip On Shoe For Men | Croc Embossed Leather Loafer Closure</t>
  </si>
  <si>
    <t xml:space="preserve">brown-slip-on-shoe-for-men-rounded-toe-leather-tassel-loafer</t>
  </si>
  <si>
    <t xml:space="preserve">Brown Slip On Shoe For Men | Rounded Toe Leather Tassel Loafer</t>
  </si>
  <si>
    <t xml:space="preserve">brown-slip-on-shoe-for-women-round-toe-loafer-leather-flat</t>
  </si>
  <si>
    <t xml:space="preserve">Brown Slip On Shoe For Women | Round Toe Loafer Leather Flat</t>
  </si>
  <si>
    <t xml:space="preserve">mens-black-loafer-slip-on-leather-moc-toe</t>
  </si>
  <si>
    <t xml:space="preserve">Men's Black Loafer | Slip-On Leather Moc Toe</t>
  </si>
  <si>
    <t xml:space="preserve">Loafers</t>
  </si>
  <si>
    <t xml:space="preserve">mens-black-slip-on-loafers-leather-moc-toe-crepe-sole</t>
  </si>
  <si>
    <t xml:space="preserve">Men's Black Slip On Loafers | Leather Moc Toe Crepe Sole</t>
  </si>
  <si>
    <t xml:space="preserve">mens-black-slip-on-loafers-metal-buckle-closure-leather</t>
  </si>
  <si>
    <t xml:space="preserve">Men's Black Slip On Loafers | Metal Buckle Closure Leather</t>
  </si>
  <si>
    <t xml:space="preserve">mens-black-slip-on-loafers-metal-buckle-leather-moccasin</t>
  </si>
  <si>
    <t xml:space="preserve">Men's Black Slip On Loafers | Metal Buckle Leather Moccasin</t>
  </si>
  <si>
    <t xml:space="preserve">Flats</t>
  </si>
  <si>
    <t xml:space="preserve">mens-boat-shoe-lace-up-casual-leather-moccasin</t>
  </si>
  <si>
    <t xml:space="preserve">Men's Boat Shoe | Lace-Up Casual Leather Moccasin</t>
  </si>
  <si>
    <t xml:space="preserve">mens-boat-shoe-lace-up-moc-rounded-toe-rubber-sole</t>
  </si>
  <si>
    <t xml:space="preserve">Men's Boat Shoe | Lace-Up Moc Rounded Toe Rubber Sole</t>
  </si>
  <si>
    <t xml:space="preserve">mens-boat-shoe-leather-slip-on-flexible-sole</t>
  </si>
  <si>
    <t xml:space="preserve">Men's Boat Shoe | Leather Slip On Flexible Sole</t>
  </si>
  <si>
    <t xml:space="preserve">mens-boat-shoe-round-toe-lace-up-rubber-sole</t>
  </si>
  <si>
    <t xml:space="preserve">Men's Boat Shoe | Round Toe Lace Up Rubber Sole</t>
  </si>
  <si>
    <t xml:space="preserve">mens-boat-shoe-side-lace-stitched-toe-contrast-detail</t>
  </si>
  <si>
    <t xml:space="preserve">Men's Boat Shoe | Side Lace Stitched Toe Contrast Detail</t>
  </si>
  <si>
    <t xml:space="preserve">mens-brown-slip-on-shoe-leather-round-toe-slip-on-loafer</t>
  </si>
  <si>
    <t xml:space="preserve">Men's Brown Slip On Shoe | Leather Round Toe Slip-On Loafer</t>
  </si>
  <si>
    <t xml:space="preserve">mens-casual-penny-loafers-perforated-leather-slip-on-moccasin</t>
  </si>
  <si>
    <t xml:space="preserve">Men's Casual Penny Loafers | Perforated Leather Slip-On Moccasin</t>
  </si>
  <si>
    <t xml:space="preserve">mens-casual-penny-loafers-slip-on-suede-moccasin-comfort</t>
  </si>
  <si>
    <t xml:space="preserve">Men's Casual Penny Loafers | Slip-On Suede Moccasin Comfort</t>
  </si>
  <si>
    <t xml:space="preserve">men shoes</t>
  </si>
  <si>
    <t xml:space="preserve">mens-casual-penny-loafers-suede-slip-on-flat-heel</t>
  </si>
  <si>
    <t xml:space="preserve">Men's Casual Penny Loafers | Suede Slip On Flat Heel</t>
  </si>
  <si>
    <t xml:space="preserve">mens-penny-loafers-with-penny-moc-toe-hand-stitched-leather</t>
  </si>
  <si>
    <t xml:space="preserve">Men's Penny Loafers With Penny | Moc Toe Hand-Stitched Leather</t>
  </si>
  <si>
    <t xml:space="preserve">mens-penny-loafers-with-penny-suede-round-toe-slip-on</t>
  </si>
  <si>
    <t xml:space="preserve">Men's Penny Loafers With Penny | Suede Round Toe Slip On</t>
  </si>
  <si>
    <t xml:space="preserve">mens-penny-loafers-with-penny-suede-slip-on-loafer-flat-heel</t>
  </si>
  <si>
    <t xml:space="preserve">Men's Penny Loafers With Penny | Suede Slip On Loafer Flat Heel</t>
  </si>
  <si>
    <t xml:space="preserve">mens-penny-loafers-with-penny-suede-slip-on-low-profile-moc-toe</t>
  </si>
  <si>
    <t xml:space="preserve">Men's Penny Loafers With Penny | Suede Slip-On Low Profile Moc Toe</t>
  </si>
  <si>
    <t xml:space="preserve">mens-penny-loafers-with-penny-woven-leather-slip-on-flat</t>
  </si>
  <si>
    <t xml:space="preserve">Men's Penny Loafers With Penny | Woven Leather Slip-On Flat</t>
  </si>
  <si>
    <t xml:space="preserve">mens-shoes-loafer-round-toe-slip-on-metal-buckle</t>
  </si>
  <si>
    <t xml:space="preserve">Men's Shoes Loafer | Round Toe Slip On Metal Buckle</t>
  </si>
  <si>
    <t xml:space="preserve">mens-shoes-loafer-slip-on-suede-casual-driving</t>
  </si>
  <si>
    <t xml:space="preserve">Men's Shoes Loafer | Slip On Suede Casual Driving</t>
  </si>
  <si>
    <t xml:space="preserve">mens-shoes-loafer-slip-on-faux-leather-stitched-cushioned-sole</t>
  </si>
  <si>
    <t xml:space="preserve">Men's Shoes Loafer | Slip-On Faux Leather Stitched Cushioned Sole</t>
  </si>
  <si>
    <t xml:space="preserve">mens-shoes-loafer-slip-on-leather-round-toe-rubber-sole</t>
  </si>
  <si>
    <t xml:space="preserve">Men's Shoes Loafer | Slip-On Leather Round Toe Rubber Sole</t>
  </si>
  <si>
    <t xml:space="preserve">mens-shoes-loafer-suede-round-toe-slip-on-rubber-sole</t>
  </si>
  <si>
    <t xml:space="preserve">Men's Shoes Loafer | Suede Round Toe Slip-On Rubber Sole</t>
  </si>
  <si>
    <t xml:space="preserve">mens-shoes-loafer-suede-slip-on-flat-sole</t>
  </si>
  <si>
    <t xml:space="preserve">Men's Shoes Loafer | Suede Slip On Flat Sole</t>
  </si>
  <si>
    <t xml:space="preserve">mens-shoes-loafer-tassel-slip-on-leather-flat</t>
  </si>
  <si>
    <t xml:space="preserve">Men's Shoes Loafer | Tassel Slip-On Leather Flat</t>
  </si>
  <si>
    <t xml:space="preserve">penny-loafers-with-penny-for-men-rounded-toe-slip-on-suede</t>
  </si>
  <si>
    <t xml:space="preserve">Penny Loafers With Penny For Men | Rounded Toe Slip On Suede</t>
  </si>
  <si>
    <t xml:space="preserve">loafers</t>
  </si>
  <si>
    <t xml:space="preserve">black-shoes-for-men-lace-up-mesh-knit-non-slip</t>
  </si>
  <si>
    <t xml:space="preserve">Black Shoes For Men | Lace-Up Mesh Knit Non-Slip</t>
  </si>
  <si>
    <t xml:space="preserve">black-shoes-for-men-pointed-toe-western-embroidered-leather</t>
  </si>
  <si>
    <t xml:space="preserve">Black Shoes For Men | Pointed Toe Western Embroidered Leather</t>
  </si>
  <si>
    <t xml:space="preserve">cowboy boots</t>
  </si>
  <si>
    <t xml:space="preserve">black-shoes-for-men-toggle-lace-slip-on-work-safety-toe</t>
  </si>
  <si>
    <t xml:space="preserve">Black Shoes For Men | Toggle Lace Slip-On Work Safety Toe</t>
  </si>
  <si>
    <t xml:space="preserve">safety shoes</t>
  </si>
  <si>
    <t xml:space="preserve">casual-shoe-for-women-lace-up-mesh-knit-rounded-toe</t>
  </si>
  <si>
    <t xml:space="preserve">Casual Shoe For Women | Lace-Up Mesh Knit Rounded Toe</t>
  </si>
  <si>
    <t xml:space="preserve">mens-casual-shoe-lace-up-canvas-rounded-toe</t>
  </si>
  <si>
    <t xml:space="preserve">Men's Casual Shoe | Lace-Up Canvas Rounded Toe</t>
  </si>
  <si>
    <t xml:space="preserve">Sneakers</t>
  </si>
  <si>
    <t xml:space="preserve">mens-casual-shoe-lace-up-leather-round-toe</t>
  </si>
  <si>
    <t xml:space="preserve">Men's Casual Shoe | Lace-Up Leather Round Toe</t>
  </si>
  <si>
    <t xml:space="preserve">mens-casual-shoe-lace-up-lug-sole-mesh-upper</t>
  </si>
  <si>
    <t xml:space="preserve">Men's Casual Shoe | Lace-Up Lug Sole Mesh Upper</t>
  </si>
  <si>
    <t xml:space="preserve">mens-sneakers-high-top-chunky-mesh-lace-up-textured-sole</t>
  </si>
  <si>
    <t xml:space="preserve">Men's Sneakers High Top | Chunky Mesh Lace-Up Textured Sole</t>
  </si>
  <si>
    <t xml:space="preserve">mens-sneakers-high-top-knit-mesh-lace-up-trail</t>
  </si>
  <si>
    <t xml:space="preserve">Men's Sneakers High Top | Knit Mesh Lace Up Trail</t>
  </si>
  <si>
    <t xml:space="preserve">mens-sneakers-high-top-lace-up-closure-rubber-sole</t>
  </si>
  <si>
    <t xml:space="preserve">Men's Sneakers High Top | Lace-Up Closure Rubber Sole</t>
  </si>
  <si>
    <t xml:space="preserve">mens-sneakers-canvas-upper-lace-closure-padded-collar</t>
  </si>
  <si>
    <t xml:space="preserve">Men's Sneakers | Canvas Upper Lace Closure Padded Collar</t>
  </si>
  <si>
    <t xml:space="preserve">mens-sneakers-lace-up-casual-athletic-support</t>
  </si>
  <si>
    <t xml:space="preserve">Men's Sneakers | Lace-Up Casual Athletic Support</t>
  </si>
  <si>
    <t xml:space="preserve">men sneakers</t>
  </si>
  <si>
    <t xml:space="preserve">mens-sneakers-lace-up-knit-mesh-toe-guard-work</t>
  </si>
  <si>
    <t xml:space="preserve">Men's Sneakers | Lace-Up Knit Mesh Toe Guard Work</t>
  </si>
  <si>
    <t xml:space="preserve">mens-black-short-cargo-pants-elastic-waist-drawstring-cargo-pockets</t>
  </si>
  <si>
    <t xml:space="preserve">Men's Black Short Cargo Pants | Elastic Waist Drawstring Cargo Pockets</t>
  </si>
  <si>
    <t xml:space="preserve">Combat Style</t>
  </si>
  <si>
    <t xml:space="preserve">mens-black-short-cargo-pants-relaxed-fit-cargo-shorts-multi-pocket-denim</t>
  </si>
  <si>
    <t xml:space="preserve">Men's Black Short Cargo Pants | Relaxed Fit Cargo Shorts Multi-Pocket Denim</t>
  </si>
  <si>
    <t xml:space="preserve">mens-black-short-cargo-pants-relaxed-fit-multi-pocket-durable</t>
  </si>
  <si>
    <t xml:space="preserve">Men's Black Short Cargo Pants | Relaxed Fit Multi-Pocket Durable</t>
  </si>
  <si>
    <t xml:space="preserve">mens-black-short-cargo-pants-relaxed-fit-utility-pockets</t>
  </si>
  <si>
    <t xml:space="preserve">Men's Black Short Cargo Pants | Relaxed Fit Utility Pockets</t>
  </si>
  <si>
    <t xml:space="preserve">Men Rugged Cargo Shorts | Utility Pockets &amp; Relaxed Fit</t>
  </si>
  <si>
    <t xml:space="preserve">mens-black-short-cargo-pants-ripstop-nylon-relaxed-fit-multiple-pockets</t>
  </si>
  <si>
    <t xml:space="preserve">Men's Black Short Cargo Pants | Ripstop Nylon Relaxed Fit Multiple Pockets</t>
  </si>
  <si>
    <t xml:space="preserve">mens-knitted-polo-shirt-polo-collar-long-sleeve-cashmere-knit</t>
  </si>
  <si>
    <t xml:space="preserve">Men's Knitted Polo Shirt | Polo Collar Long Sleeve Cashmere Knit</t>
  </si>
  <si>
    <t xml:space="preserve">Knit Sweater</t>
  </si>
  <si>
    <t xml:space="preserve">mens-knitted-polo-shirt-short-sleeve-collar-knit</t>
  </si>
  <si>
    <t xml:space="preserve">Men's Knitted Polo Shirt | Short Sleeve Collar Knit</t>
  </si>
  <si>
    <t xml:space="preserve">mens-knitted-polo-shirt-textured-knit-collar-button-closure</t>
  </si>
  <si>
    <t xml:space="preserve">Men's Knitted Polo Shirt | Textured Knit Collar Button Closure</t>
  </si>
  <si>
    <t xml:space="preserve">mens-knitted-polo-shirt-textured-knit-collar-button-closure-1</t>
  </si>
  <si>
    <t xml:space="preserve">mens-linen-slacks-short-sleeve-button-closure-relaxed</t>
  </si>
  <si>
    <t xml:space="preserve">Men's Linen Slacks | Short Sleeve Button Closure Relaxed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</si>
</sst>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A$&quot;#,##0.00"/>
    <numFmt numFmtId="166" formatCode="0.0%"/>
    <numFmt numFmtId="167" formatCode="0"/>
    <numFmt numFmtId="168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EF1F6"/>
        <bgColor rgb="FFFFFFFF"/>
      </patternFill>
    </fill>
    <fill>
      <patternFill patternType="solid">
        <fgColor rgb="FFFFF2CC"/>
        <bgColor rgb="FFEEF1F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F1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44"/>
    <col collapsed="false" customWidth="true" hidden="false" outlineLevel="0" max="10" min="10" style="0" width="7"/>
  </cols>
  <sheetData>
    <row r="1" customFormat="false" ht="17.35" hidden="false" customHeight="false" outlineLevel="0" collapsed="false">
      <c r="A1" s="1" t="s">
        <v>0</v>
      </c>
    </row>
    <row r="2" customFormat="false" ht="4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43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21.7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31.5" hidden="false" customHeight="tru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</row>
    <row r="7" customFormat="false" ht="15" hidden="false" customHeight="false" outlineLevel="0" collapsed="false">
      <c r="A7" s="5" t="s">
        <v>14</v>
      </c>
      <c r="B7" s="5" t="n">
        <f aca="false">COUNTIF(Voorstel!$C$2:$C$342,A7)</f>
        <v>59</v>
      </c>
      <c r="C7" s="6" t="n">
        <f aca="false">AVERAGEIF(Voorstel!$C$2:$C$342,A7,Voorstel!$F$2:$F$342)</f>
        <v>64.95</v>
      </c>
      <c r="D7" s="6" t="n">
        <f aca="false">AVERAGEIF(Voorstel!$C$2:$C$342,A7,Voorstel!$I$2:$I$342)</f>
        <v>69.95</v>
      </c>
      <c r="E7" s="6" t="n">
        <f aca="false">D7-C7</f>
        <v>5</v>
      </c>
      <c r="F7" s="6" t="n">
        <v>66.2</v>
      </c>
      <c r="G7" s="6" t="n">
        <v>69.95</v>
      </c>
      <c r="H7" s="6" t="n">
        <f aca="false">G7-D7</f>
        <v>0</v>
      </c>
      <c r="I7" s="5" t="s">
        <v>15</v>
      </c>
      <c r="J7" s="5" t="n">
        <v>6</v>
      </c>
    </row>
    <row r="8" customFormat="false" ht="15" hidden="false" customHeight="false" outlineLevel="0" collapsed="false">
      <c r="A8" s="5" t="s">
        <v>16</v>
      </c>
      <c r="B8" s="5" t="n">
        <f aca="false">COUNTIF(Voorstel!$C$2:$C$342,A8)</f>
        <v>58</v>
      </c>
      <c r="C8" s="6" t="n">
        <f aca="false">AVERAGEIF(Voorstel!$C$2:$C$342,A8,Voorstel!$F$2:$F$342)</f>
        <v>54.95</v>
      </c>
      <c r="D8" s="6" t="n">
        <f aca="false">AVERAGEIF(Voorstel!$C$2:$C$342,A8,Voorstel!$I$2:$I$342)</f>
        <v>54.95</v>
      </c>
      <c r="E8" s="6" t="n">
        <f aca="false">D8-C8</f>
        <v>0</v>
      </c>
      <c r="F8" s="6" t="n">
        <v>54.95</v>
      </c>
      <c r="G8" s="6" t="n">
        <v>54.95</v>
      </c>
      <c r="H8" s="6" t="n">
        <f aca="false">G8-D8</f>
        <v>0</v>
      </c>
      <c r="I8" s="5" t="s">
        <v>17</v>
      </c>
      <c r="J8" s="5" t="n">
        <v>6</v>
      </c>
    </row>
    <row r="9" customFormat="false" ht="15" hidden="false" customHeight="false" outlineLevel="0" collapsed="false">
      <c r="A9" s="5" t="s">
        <v>18</v>
      </c>
      <c r="B9" s="5" t="n">
        <f aca="false">COUNTIF(Voorstel!$C$2:$C$342,A9)</f>
        <v>39</v>
      </c>
      <c r="C9" s="6" t="n">
        <f aca="false">AVERAGEIF(Voorstel!$C$2:$C$342,A9,Voorstel!$F$2:$F$342)</f>
        <v>57.0012820512821</v>
      </c>
      <c r="D9" s="6" t="n">
        <f aca="false">AVERAGEIF(Voorstel!$C$2:$C$342,A9,Voorstel!$I$2:$I$342)</f>
        <v>59.95</v>
      </c>
      <c r="E9" s="6" t="n">
        <f aca="false">D9-C9</f>
        <v>2.94871794871795</v>
      </c>
      <c r="F9" s="6" t="n">
        <v>64.95</v>
      </c>
      <c r="G9" s="6" t="n">
        <v>69.95</v>
      </c>
      <c r="H9" s="6" t="n">
        <f aca="false">G9-D9</f>
        <v>10</v>
      </c>
      <c r="I9" s="5" t="s">
        <v>19</v>
      </c>
      <c r="J9" s="5" t="n">
        <v>16</v>
      </c>
    </row>
    <row r="10" customFormat="false" ht="15" hidden="false" customHeight="false" outlineLevel="0" collapsed="false">
      <c r="A10" s="5" t="s">
        <v>20</v>
      </c>
      <c r="B10" s="5" t="n">
        <f aca="false">COUNTIF(Voorstel!$C$2:$C$342,A10)</f>
        <v>36</v>
      </c>
      <c r="C10" s="6" t="n">
        <f aca="false">AVERAGEIF(Voorstel!$C$2:$C$342,A10,Voorstel!$F$2:$F$342)</f>
        <v>59.5333333333333</v>
      </c>
      <c r="D10" s="6" t="n">
        <f aca="false">AVERAGEIF(Voorstel!$C$2:$C$342,A10,Voorstel!$I$2:$I$342)</f>
        <v>69.95</v>
      </c>
      <c r="E10" s="6" t="n">
        <f aca="false">D10-C10</f>
        <v>10.4166666666667</v>
      </c>
      <c r="F10" s="6" t="n">
        <v>79.95</v>
      </c>
      <c r="G10" s="6" t="n">
        <v>84.95</v>
      </c>
      <c r="H10" s="6" t="n">
        <f aca="false">G10-D10</f>
        <v>15</v>
      </c>
      <c r="I10" s="5" t="s">
        <v>21</v>
      </c>
      <c r="J10" s="5" t="n">
        <v>14</v>
      </c>
    </row>
    <row r="11" customFormat="false" ht="15" hidden="false" customHeight="false" outlineLevel="0" collapsed="false">
      <c r="A11" s="5" t="s">
        <v>22</v>
      </c>
      <c r="B11" s="5" t="n">
        <f aca="false">COUNTIF(Voorstel!$C$2:$C$342,A11)</f>
        <v>35</v>
      </c>
      <c r="C11" s="6" t="n">
        <f aca="false">AVERAGEIF(Voorstel!$C$2:$C$342,A11,Voorstel!$F$2:$F$342)</f>
        <v>74.95</v>
      </c>
      <c r="D11" s="6" t="n">
        <f aca="false">AVERAGEIF(Voorstel!$C$2:$C$342,A11,Voorstel!$I$2:$I$342)</f>
        <v>89.95</v>
      </c>
      <c r="E11" s="6" t="n">
        <f aca="false">D11-C11</f>
        <v>15</v>
      </c>
      <c r="F11" s="6" t="n">
        <v>112.45</v>
      </c>
      <c r="G11" s="6" t="n">
        <v>124.95</v>
      </c>
      <c r="H11" s="6" t="n">
        <f aca="false">G11-D11</f>
        <v>35</v>
      </c>
      <c r="I11" s="5" t="s">
        <v>23</v>
      </c>
      <c r="J11" s="5" t="n">
        <v>3</v>
      </c>
    </row>
    <row r="12" customFormat="false" ht="15" hidden="false" customHeight="false" outlineLevel="0" collapsed="false">
      <c r="A12" s="5" t="s">
        <v>24</v>
      </c>
      <c r="B12" s="5" t="n">
        <f aca="false">COUNTIF(Voorstel!$C$2:$C$342,A12)</f>
        <v>17</v>
      </c>
      <c r="C12" s="6" t="n">
        <f aca="false">AVERAGEIF(Voorstel!$C$2:$C$342,A12,Voorstel!$F$2:$F$342)</f>
        <v>69.95</v>
      </c>
      <c r="D12" s="6" t="n">
        <f aca="false">AVERAGEIF(Voorstel!$C$2:$C$342,A12,Voorstel!$I$2:$I$342)</f>
        <v>74.95</v>
      </c>
      <c r="E12" s="6" t="n">
        <f aca="false">D12-C12</f>
        <v>5</v>
      </c>
      <c r="F12" s="6" t="n">
        <v>69.95</v>
      </c>
      <c r="G12" s="6" t="n">
        <v>74.95</v>
      </c>
      <c r="H12" s="6" t="n">
        <f aca="false">G12-D12</f>
        <v>0</v>
      </c>
      <c r="I12" s="5" t="s">
        <v>25</v>
      </c>
      <c r="J12" s="5" t="n">
        <v>9</v>
      </c>
    </row>
    <row r="13" customFormat="false" ht="15" hidden="false" customHeight="false" outlineLevel="0" collapsed="false">
      <c r="A13" s="5" t="s">
        <v>26</v>
      </c>
      <c r="B13" s="5" t="n">
        <f aca="false">COUNTIF(Voorstel!$C$2:$C$342,A13)</f>
        <v>16</v>
      </c>
      <c r="C13" s="6" t="n">
        <f aca="false">AVERAGEIF(Voorstel!$C$2:$C$342,A13,Voorstel!$F$2:$F$342)</f>
        <v>64.95</v>
      </c>
      <c r="D13" s="6" t="n">
        <f aca="false">AVERAGEIF(Voorstel!$C$2:$C$342,A13,Voorstel!$I$2:$I$342)</f>
        <v>74.95</v>
      </c>
      <c r="E13" s="6" t="n">
        <f aca="false">D13-C13</f>
        <v>10</v>
      </c>
      <c r="F13" s="6" t="n">
        <v>68.7</v>
      </c>
      <c r="G13" s="6" t="n">
        <v>82.45</v>
      </c>
      <c r="H13" s="6" t="n">
        <f aca="false">G13-D13</f>
        <v>7.5</v>
      </c>
      <c r="I13" s="5" t="s">
        <v>27</v>
      </c>
      <c r="J13" s="5" t="n">
        <v>6</v>
      </c>
    </row>
    <row r="14" customFormat="false" ht="15" hidden="false" customHeight="false" outlineLevel="0" collapsed="false">
      <c r="A14" s="5" t="s">
        <v>28</v>
      </c>
      <c r="B14" s="5" t="n">
        <f aca="false">COUNTIF(Voorstel!$C$2:$C$342,A14)</f>
        <v>16</v>
      </c>
      <c r="C14" s="6" t="n">
        <f aca="false">AVERAGEIF(Voorstel!$C$2:$C$342,A14,Voorstel!$F$2:$F$342)</f>
        <v>54.95</v>
      </c>
      <c r="D14" s="6" t="n">
        <f aca="false">AVERAGEIF(Voorstel!$C$2:$C$342,A14,Voorstel!$I$2:$I$342)</f>
        <v>59.95</v>
      </c>
      <c r="E14" s="6" t="n">
        <f aca="false">D14-C14</f>
        <v>5</v>
      </c>
      <c r="F14" s="6" t="n">
        <v>64.95</v>
      </c>
      <c r="G14" s="6" t="n">
        <v>64.95</v>
      </c>
      <c r="H14" s="6" t="n">
        <f aca="false">G14-D14</f>
        <v>5</v>
      </c>
      <c r="I14" s="5" t="s">
        <v>29</v>
      </c>
      <c r="J14" s="5" t="n">
        <v>22</v>
      </c>
    </row>
    <row r="15" customFormat="false" ht="15" hidden="false" customHeight="false" outlineLevel="0" collapsed="false">
      <c r="A15" s="5" t="s">
        <v>30</v>
      </c>
      <c r="B15" s="5" t="n">
        <f aca="false">COUNTIF(Voorstel!$C$2:$C$342,A15)</f>
        <v>16</v>
      </c>
      <c r="C15" s="6" t="n">
        <f aca="false">AVERAGEIF(Voorstel!$C$2:$C$342,A15,Voorstel!$F$2:$F$342)</f>
        <v>89.95</v>
      </c>
      <c r="D15" s="6" t="n">
        <f aca="false">AVERAGEIF(Voorstel!$C$2:$C$342,A15,Voorstel!$I$2:$I$342)</f>
        <v>94.95</v>
      </c>
      <c r="E15" s="6" t="n">
        <f aca="false">D15-C15</f>
        <v>5</v>
      </c>
      <c r="F15" s="6" t="n">
        <v>89.95</v>
      </c>
      <c r="G15" s="6" t="n">
        <v>99.95</v>
      </c>
      <c r="H15" s="6" t="n">
        <f aca="false">G15-D15</f>
        <v>5</v>
      </c>
      <c r="I15" s="5" t="s">
        <v>31</v>
      </c>
      <c r="J15" s="5" t="n">
        <v>13</v>
      </c>
    </row>
    <row r="16" customFormat="false" ht="15" hidden="false" customHeight="false" outlineLevel="0" collapsed="false">
      <c r="A16" s="5" t="s">
        <v>32</v>
      </c>
      <c r="B16" s="5" t="n">
        <f aca="false">COUNTIF(Voorstel!$C$2:$C$342,A16)</f>
        <v>13</v>
      </c>
      <c r="C16" s="6" t="n">
        <f aca="false">AVERAGEIF(Voorstel!$C$2:$C$342,A16,Voorstel!$F$2:$F$342)</f>
        <v>72.6423076923077</v>
      </c>
      <c r="D16" s="6" t="n">
        <f aca="false">AVERAGEIF(Voorstel!$C$2:$C$342,A16,Voorstel!$I$2:$I$342)</f>
        <v>74.95</v>
      </c>
      <c r="E16" s="6" t="n">
        <f aca="false">D16-C16</f>
        <v>2.30769230769231</v>
      </c>
      <c r="F16" s="6" t="n">
        <v>64.95</v>
      </c>
      <c r="G16" s="6" t="n">
        <v>79.95</v>
      </c>
      <c r="H16" s="6" t="n">
        <f aca="false">G16-D16</f>
        <v>5</v>
      </c>
      <c r="I16" s="5" t="s">
        <v>33</v>
      </c>
      <c r="J16" s="5" t="n">
        <v>23</v>
      </c>
    </row>
    <row r="17" customFormat="false" ht="15" hidden="false" customHeight="false" outlineLevel="0" collapsed="false">
      <c r="A17" s="5" t="s">
        <v>34</v>
      </c>
      <c r="B17" s="5" t="n">
        <f aca="false">COUNTIF(Voorstel!$C$2:$C$342,A17)</f>
        <v>12</v>
      </c>
      <c r="C17" s="6" t="n">
        <f aca="false">AVERAGEIF(Voorstel!$C$2:$C$342,A17,Voorstel!$F$2:$F$342)</f>
        <v>54.95</v>
      </c>
      <c r="D17" s="6" t="n">
        <f aca="false">AVERAGEIF(Voorstel!$C$2:$C$342,A17,Voorstel!$I$2:$I$342)</f>
        <v>54.95</v>
      </c>
      <c r="E17" s="6" t="n">
        <f aca="false">D17-C17</f>
        <v>0</v>
      </c>
      <c r="F17" s="6" t="n">
        <v>49.95</v>
      </c>
      <c r="G17" s="6" t="n">
        <v>52.45</v>
      </c>
      <c r="H17" s="6" t="n">
        <f aca="false">G17-D17</f>
        <v>-2.50000000000001</v>
      </c>
      <c r="I17" s="5" t="s">
        <v>35</v>
      </c>
      <c r="J17" s="5" t="n">
        <v>6</v>
      </c>
    </row>
    <row r="18" customFormat="false" ht="15" hidden="false" customHeight="false" outlineLevel="0" collapsed="false">
      <c r="A18" s="5" t="s">
        <v>36</v>
      </c>
      <c r="B18" s="5" t="n">
        <f aca="false">COUNTIF(Voorstel!$C$2:$C$342,A18)</f>
        <v>8</v>
      </c>
      <c r="C18" s="6" t="n">
        <f aca="false">AVERAGEIF(Voorstel!$C$2:$C$342,A18,Voorstel!$F$2:$F$342)</f>
        <v>84.95</v>
      </c>
      <c r="D18" s="6" t="n">
        <f aca="false">AVERAGEIF(Voorstel!$C$2:$C$342,A18,Voorstel!$I$2:$I$342)</f>
        <v>99.95</v>
      </c>
      <c r="E18" s="6" t="n">
        <f aca="false">D18-C18</f>
        <v>15</v>
      </c>
      <c r="F18" s="6" t="n">
        <v>104.95</v>
      </c>
      <c r="G18" s="6" t="n">
        <v>104.95</v>
      </c>
      <c r="H18" s="6" t="n">
        <f aca="false">G18-D18</f>
        <v>5</v>
      </c>
      <c r="I18" s="5" t="s">
        <v>37</v>
      </c>
      <c r="J18" s="5" t="n">
        <v>3</v>
      </c>
    </row>
    <row r="19" customFormat="false" ht="15" hidden="false" customHeight="false" outlineLevel="0" collapsed="false">
      <c r="A19" s="5" t="s">
        <v>38</v>
      </c>
      <c r="B19" s="5" t="n">
        <f aca="false">COUNTIF(Voorstel!$C$2:$C$342,A19)</f>
        <v>5</v>
      </c>
      <c r="C19" s="6" t="n">
        <f aca="false">AVERAGEIF(Voorstel!$C$2:$C$342,A19,Voorstel!$F$2:$F$342)</f>
        <v>69.95</v>
      </c>
      <c r="D19" s="6" t="n">
        <f aca="false">AVERAGEIF(Voorstel!$C$2:$C$342,A19,Voorstel!$I$2:$I$342)</f>
        <v>74.95</v>
      </c>
      <c r="E19" s="6" t="n">
        <f aca="false">D19-C19</f>
        <v>5</v>
      </c>
      <c r="F19" s="6" t="n">
        <v>71.2</v>
      </c>
      <c r="G19" s="6" t="n">
        <v>79.95</v>
      </c>
      <c r="H19" s="6" t="n">
        <f aca="false">G19-D19</f>
        <v>5</v>
      </c>
      <c r="I19" s="5" t="s">
        <v>39</v>
      </c>
      <c r="J19" s="5" t="n">
        <v>22</v>
      </c>
    </row>
    <row r="20" customFormat="false" ht="15" hidden="false" customHeight="false" outlineLevel="0" collapsed="false">
      <c r="A20" s="5" t="s">
        <v>40</v>
      </c>
      <c r="B20" s="5" t="n">
        <f aca="false">COUNTIF(Voorstel!$C$2:$C$342,A20)</f>
        <v>5</v>
      </c>
      <c r="C20" s="6" t="n">
        <f aca="false">AVERAGEIF(Voorstel!$C$2:$C$342,A20,Voorstel!$F$2:$F$342)</f>
        <v>64.95</v>
      </c>
      <c r="D20" s="6" t="n">
        <f aca="false">AVERAGEIF(Voorstel!$C$2:$C$342,A20,Voorstel!$I$2:$I$342)</f>
        <v>64.95</v>
      </c>
      <c r="E20" s="6" t="n">
        <f aca="false">D20-C20</f>
        <v>0</v>
      </c>
      <c r="F20" s="6" t="n">
        <v>54.95</v>
      </c>
      <c r="G20" s="6" t="n">
        <v>54.95</v>
      </c>
      <c r="H20" s="6" t="n">
        <f aca="false">G20-D20</f>
        <v>-10</v>
      </c>
      <c r="I20" s="5" t="s">
        <v>17</v>
      </c>
      <c r="J20" s="5" t="n">
        <v>6</v>
      </c>
    </row>
    <row r="21" customFormat="false" ht="15" hidden="false" customHeight="false" outlineLevel="0" collapsed="false">
      <c r="A21" s="5" t="s">
        <v>41</v>
      </c>
      <c r="B21" s="5" t="n">
        <f aca="false">COUNTIF(Voorstel!$C$2:$C$342,A21)</f>
        <v>4</v>
      </c>
      <c r="C21" s="6" t="n">
        <f aca="false">AVERAGEIF(Voorstel!$C$2:$C$342,A21,Voorstel!$F$2:$F$342)</f>
        <v>59.95</v>
      </c>
      <c r="D21" s="6" t="n">
        <f aca="false">AVERAGEIF(Voorstel!$C$2:$C$342,A21,Voorstel!$I$2:$I$342)</f>
        <v>64.95</v>
      </c>
      <c r="E21" s="6" t="n">
        <f aca="false">D21-C21</f>
        <v>5</v>
      </c>
      <c r="F21" s="6" t="n">
        <v>71.2</v>
      </c>
      <c r="G21" s="6" t="n">
        <v>79.95</v>
      </c>
      <c r="H21" s="6" t="n">
        <f aca="false">G21-D21</f>
        <v>15</v>
      </c>
      <c r="I21" s="5" t="s">
        <v>39</v>
      </c>
      <c r="J21" s="5" t="n">
        <v>22</v>
      </c>
    </row>
    <row r="22" customFormat="false" ht="15" hidden="false" customHeight="false" outlineLevel="0" collapsed="false">
      <c r="A22" s="5" t="s">
        <v>42</v>
      </c>
      <c r="B22" s="5" t="n">
        <f aca="false">COUNTIF(Voorstel!$C$2:$C$342,A22)</f>
        <v>1</v>
      </c>
      <c r="C22" s="6" t="n">
        <f aca="false">AVERAGEIF(Voorstel!$C$2:$C$342,A22,Voorstel!$F$2:$F$342)</f>
        <v>84.95</v>
      </c>
      <c r="D22" s="6" t="n">
        <f aca="false">AVERAGEIF(Voorstel!$C$2:$C$342,A22,Voorstel!$I$2:$I$342)</f>
        <v>99.95</v>
      </c>
      <c r="E22" s="6" t="n">
        <f aca="false">D22-C22</f>
        <v>15</v>
      </c>
      <c r="F22" s="6" t="n">
        <v>88.7</v>
      </c>
      <c r="G22" s="6" t="n">
        <v>109.95</v>
      </c>
      <c r="H22" s="6" t="n">
        <f aca="false">G22-D22</f>
        <v>10</v>
      </c>
      <c r="I22" s="5" t="s">
        <v>43</v>
      </c>
      <c r="J22" s="5" t="n">
        <v>12</v>
      </c>
    </row>
    <row r="23" customFormat="false" ht="15" hidden="false" customHeight="false" outlineLevel="0" collapsed="false">
      <c r="A23" s="5" t="s">
        <v>44</v>
      </c>
      <c r="B23" s="5" t="n">
        <f aca="false">COUNTIF(Voorstel!$C$2:$C$342,A23)</f>
        <v>1</v>
      </c>
      <c r="C23" s="6" t="n">
        <f aca="false">AVERAGEIF(Voorstel!$C$2:$C$342,A23,Voorstel!$F$2:$F$342)</f>
        <v>54.95</v>
      </c>
      <c r="D23" s="6" t="n">
        <f aca="false">AVERAGEIF(Voorstel!$C$2:$C$342,A23,Voorstel!$I$2:$I$342)</f>
        <v>64.95</v>
      </c>
      <c r="E23" s="6" t="n">
        <f aca="false">D23-C23</f>
        <v>10</v>
      </c>
      <c r="F23" s="6" t="n">
        <v>66.2</v>
      </c>
      <c r="G23" s="6" t="n">
        <v>69.95</v>
      </c>
      <c r="H23" s="6" t="n">
        <f aca="false">G23-D23</f>
        <v>5</v>
      </c>
      <c r="I23" s="5" t="s">
        <v>15</v>
      </c>
      <c r="J23" s="5" t="n">
        <v>6</v>
      </c>
    </row>
    <row r="25" customFormat="false" ht="15" hidden="false" customHeight="false" outlineLevel="0" collapsed="false">
      <c r="A25" s="7" t="s">
        <v>45</v>
      </c>
      <c r="B25" s="7" t="n">
        <f aca="false">SUM(B7:B23)</f>
        <v>341</v>
      </c>
      <c r="C25" s="8" t="n">
        <f aca="false">AVERAGE(Voorstel!$F$2:$F$342)</f>
        <v>64.2021994134897</v>
      </c>
      <c r="D25" s="8" t="n">
        <f aca="false">AVERAGE(Voorstel!$I$2:$I$342)</f>
        <v>69.8766862170088</v>
      </c>
      <c r="E25" s="8" t="n">
        <f aca="false">D25-C25</f>
        <v>5.67448680351906</v>
      </c>
      <c r="F25" s="7"/>
      <c r="G25" s="8" t="n">
        <f aca="false">AVERAGE(Voorstel!$O$2:$O$342)</f>
        <v>77.3840175953079</v>
      </c>
      <c r="H25" s="8" t="n">
        <f aca="false">G25-D25</f>
        <v>7.50733137829913</v>
      </c>
      <c r="I25" s="7"/>
      <c r="J25" s="7"/>
    </row>
    <row r="27" customFormat="false" ht="15" hidden="false" customHeight="false" outlineLevel="0" collapsed="false">
      <c r="A27" s="5" t="s">
        <v>46</v>
      </c>
      <c r="C27" s="9" t="n">
        <f aca="false">D25/C25-1</f>
        <v>0.0883846169657354</v>
      </c>
    </row>
    <row r="28" customFormat="false" ht="15" hidden="false" customHeight="false" outlineLevel="0" collapsed="false">
      <c r="A28" s="5" t="s">
        <v>47</v>
      </c>
      <c r="C28" s="10" t="n">
        <f aca="false">COUNTIF(Voorstel!$K$2:$K$342,0)</f>
        <v>98</v>
      </c>
    </row>
    <row r="29" customFormat="false" ht="15" hidden="false" customHeight="false" outlineLevel="0" collapsed="false">
      <c r="A29" s="5" t="s">
        <v>48</v>
      </c>
      <c r="C29" s="10" t="n">
        <f aca="false">COUNTIF(Voorstel!$K$2:$K$342,5)</f>
        <v>146</v>
      </c>
    </row>
    <row r="30" customFormat="false" ht="15" hidden="false" customHeight="false" outlineLevel="0" collapsed="false">
      <c r="A30" s="5" t="s">
        <v>49</v>
      </c>
      <c r="C30" s="10" t="n">
        <f aca="false">COUNTIF(Voorstel!$K$2:$K$342,10)</f>
        <v>50</v>
      </c>
    </row>
    <row r="31" customFormat="false" ht="15" hidden="false" customHeight="false" outlineLevel="0" collapsed="false">
      <c r="A31" s="5" t="s">
        <v>50</v>
      </c>
      <c r="C31" s="10" t="n">
        <f aca="false">COUNTIF(Voorstel!$K$2:$K$342,15)</f>
        <v>47</v>
      </c>
    </row>
    <row r="33" customFormat="false" ht="15" hidden="false" customHeight="false" outlineLevel="0" collapsed="false">
      <c r="A33" s="11" t="s">
        <v>51</v>
      </c>
    </row>
    <row r="34" customFormat="false" ht="30" hidden="false" customHeight="true" outlineLevel="0" collapsed="false">
      <c r="A34" s="2" t="s">
        <v>52</v>
      </c>
      <c r="B34" s="2"/>
      <c r="C34" s="2"/>
      <c r="D34" s="2"/>
      <c r="E34" s="2"/>
      <c r="F34" s="2"/>
      <c r="G34" s="2"/>
      <c r="H34" s="2"/>
      <c r="I34" s="2"/>
      <c r="J34" s="2"/>
    </row>
    <row r="35" customFormat="false" ht="30" hidden="false" customHeight="true" outlineLevel="0" collapsed="false">
      <c r="A35" s="2" t="s">
        <v>53</v>
      </c>
      <c r="B35" s="2"/>
      <c r="C35" s="2"/>
      <c r="D35" s="2"/>
      <c r="E35" s="2"/>
      <c r="F35" s="2"/>
      <c r="G35" s="2"/>
      <c r="H35" s="2"/>
      <c r="I35" s="2"/>
      <c r="J35" s="2"/>
    </row>
    <row r="36" customFormat="false" ht="30" hidden="false" customHeight="true" outlineLevel="0" collapsed="false">
      <c r="A36" s="2" t="s">
        <v>54</v>
      </c>
      <c r="B36" s="2"/>
      <c r="C36" s="2"/>
      <c r="D36" s="2"/>
      <c r="E36" s="2"/>
      <c r="F36" s="2"/>
      <c r="G36" s="2"/>
      <c r="H36" s="2"/>
      <c r="I36" s="2"/>
      <c r="J36" s="2"/>
    </row>
    <row r="37" customFormat="false" ht="30" hidden="false" customHeight="true" outlineLevel="0" collapsed="false">
      <c r="A37" s="2" t="s">
        <v>55</v>
      </c>
      <c r="B37" s="2"/>
      <c r="C37" s="2"/>
      <c r="D37" s="2"/>
      <c r="E37" s="2"/>
      <c r="F37" s="2"/>
      <c r="G37" s="2"/>
      <c r="H37" s="2"/>
      <c r="I37" s="2"/>
      <c r="J37" s="2"/>
    </row>
  </sheetData>
  <mergeCells count="7">
    <mergeCell ref="A2:J2"/>
    <mergeCell ref="A3:J3"/>
    <mergeCell ref="A4:J4"/>
    <mergeCell ref="A34:J34"/>
    <mergeCell ref="A35:J35"/>
    <mergeCell ref="A36:J36"/>
    <mergeCell ref="A37:J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44"/>
    <col collapsed="false" customWidth="true" hidden="false" outlineLevel="0" max="13" min="13" style="0" width="7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14"/>
  </cols>
  <sheetData>
    <row r="1" customFormat="false" ht="31.5" hidden="false" customHeight="true" outlineLevel="0" collapsed="false">
      <c r="A1" s="4" t="s">
        <v>56</v>
      </c>
      <c r="B1" s="4" t="s">
        <v>57</v>
      </c>
      <c r="C1" s="4" t="s">
        <v>4</v>
      </c>
      <c r="D1" s="4" t="s">
        <v>58</v>
      </c>
      <c r="E1" s="4" t="s">
        <v>59</v>
      </c>
      <c r="F1" s="4" t="s">
        <v>60</v>
      </c>
      <c r="G1" s="4" t="s">
        <v>61</v>
      </c>
      <c r="H1" s="4" t="s">
        <v>62</v>
      </c>
      <c r="I1" s="4" t="s">
        <v>63</v>
      </c>
      <c r="J1" s="4" t="s">
        <v>64</v>
      </c>
      <c r="K1" s="4" t="s">
        <v>65</v>
      </c>
      <c r="L1" s="4" t="s">
        <v>12</v>
      </c>
      <c r="M1" s="4" t="s">
        <v>13</v>
      </c>
      <c r="N1" s="4" t="s">
        <v>9</v>
      </c>
      <c r="O1" s="4" t="s">
        <v>10</v>
      </c>
      <c r="P1" s="4" t="s">
        <v>11</v>
      </c>
    </row>
    <row r="2" customFormat="false" ht="15" hidden="false" customHeight="false" outlineLevel="0" collapsed="false">
      <c r="A2" s="5" t="s">
        <v>66</v>
      </c>
      <c r="B2" s="5" t="s">
        <v>67</v>
      </c>
      <c r="C2" s="5" t="s">
        <v>24</v>
      </c>
      <c r="D2" s="5" t="s">
        <v>68</v>
      </c>
      <c r="E2" s="5" t="n">
        <v>35</v>
      </c>
      <c r="F2" s="6" t="n">
        <v>69.95</v>
      </c>
      <c r="G2" s="6" t="n">
        <v>116.95</v>
      </c>
      <c r="H2" s="12" t="n">
        <f aca="false">1-F2/G2</f>
        <v>0.401881145788799</v>
      </c>
      <c r="I2" s="13" t="n">
        <v>74.95</v>
      </c>
      <c r="J2" s="6" t="n">
        <f aca="false">ROUNDUP(I2/(1-H2),0)-0.05</f>
        <v>125.95</v>
      </c>
      <c r="K2" s="6" t="n">
        <f aca="false">I2-F2</f>
        <v>5</v>
      </c>
      <c r="L2" s="5" t="s">
        <v>25</v>
      </c>
      <c r="M2" s="5" t="n">
        <v>9</v>
      </c>
      <c r="N2" s="6" t="n">
        <v>69.95</v>
      </c>
      <c r="O2" s="6" t="n">
        <v>74.95</v>
      </c>
      <c r="P2" s="6" t="n">
        <f aca="false">O2-I2</f>
        <v>0</v>
      </c>
    </row>
    <row r="3" customFormat="false" ht="15" hidden="false" customHeight="false" outlineLevel="0" collapsed="false">
      <c r="A3" s="5" t="s">
        <v>69</v>
      </c>
      <c r="B3" s="5" t="s">
        <v>70</v>
      </c>
      <c r="C3" s="5" t="s">
        <v>24</v>
      </c>
      <c r="D3" s="5" t="s">
        <v>68</v>
      </c>
      <c r="E3" s="5" t="n">
        <v>28</v>
      </c>
      <c r="F3" s="6" t="n">
        <v>69.95</v>
      </c>
      <c r="G3" s="6" t="n">
        <v>139.95</v>
      </c>
      <c r="H3" s="12" t="n">
        <f aca="false">1-F3/G3</f>
        <v>0.500178635226867</v>
      </c>
      <c r="I3" s="13" t="n">
        <v>74.95</v>
      </c>
      <c r="J3" s="6" t="n">
        <f aca="false">ROUNDUP(I3/(1-H3),0)-0.05</f>
        <v>149.95</v>
      </c>
      <c r="K3" s="6" t="n">
        <f aca="false">I3-F3</f>
        <v>5</v>
      </c>
      <c r="L3" s="5" t="s">
        <v>25</v>
      </c>
      <c r="M3" s="5" t="n">
        <v>9</v>
      </c>
      <c r="N3" s="6" t="n">
        <v>69.95</v>
      </c>
      <c r="O3" s="6" t="n">
        <v>74.95</v>
      </c>
      <c r="P3" s="6" t="n">
        <f aca="false">O3-I3</f>
        <v>0</v>
      </c>
    </row>
    <row r="4" customFormat="false" ht="15" hidden="false" customHeight="false" outlineLevel="0" collapsed="false">
      <c r="A4" s="5" t="s">
        <v>71</v>
      </c>
      <c r="B4" s="5" t="s">
        <v>72</v>
      </c>
      <c r="C4" s="5" t="s">
        <v>24</v>
      </c>
      <c r="D4" s="5" t="s">
        <v>73</v>
      </c>
      <c r="E4" s="5" t="n">
        <v>72</v>
      </c>
      <c r="F4" s="6" t="n">
        <v>69.95</v>
      </c>
      <c r="G4" s="6" t="n">
        <v>116.95</v>
      </c>
      <c r="H4" s="12" t="n">
        <f aca="false">1-F4/G4</f>
        <v>0.401881145788799</v>
      </c>
      <c r="I4" s="13" t="n">
        <v>74.95</v>
      </c>
      <c r="J4" s="6" t="n">
        <f aca="false">ROUNDUP(I4/(1-H4),0)-0.05</f>
        <v>125.95</v>
      </c>
      <c r="K4" s="6" t="n">
        <f aca="false">I4-F4</f>
        <v>5</v>
      </c>
      <c r="L4" s="5" t="s">
        <v>25</v>
      </c>
      <c r="M4" s="5" t="n">
        <v>9</v>
      </c>
      <c r="N4" s="6" t="n">
        <v>69.95</v>
      </c>
      <c r="O4" s="6" t="n">
        <v>74.95</v>
      </c>
      <c r="P4" s="6" t="n">
        <f aca="false">O4-I4</f>
        <v>0</v>
      </c>
    </row>
    <row r="5" customFormat="false" ht="15" hidden="false" customHeight="false" outlineLevel="0" collapsed="false">
      <c r="A5" s="5" t="s">
        <v>74</v>
      </c>
      <c r="B5" s="5" t="s">
        <v>75</v>
      </c>
      <c r="C5" s="5" t="s">
        <v>24</v>
      </c>
      <c r="D5" s="5" t="s">
        <v>76</v>
      </c>
      <c r="E5" s="5" t="n">
        <v>35</v>
      </c>
      <c r="F5" s="6" t="n">
        <v>69.95</v>
      </c>
      <c r="G5" s="6" t="n">
        <v>116.95</v>
      </c>
      <c r="H5" s="12" t="n">
        <f aca="false">1-F5/G5</f>
        <v>0.401881145788799</v>
      </c>
      <c r="I5" s="13" t="n">
        <v>74.95</v>
      </c>
      <c r="J5" s="6" t="n">
        <f aca="false">ROUNDUP(I5/(1-H5),0)-0.05</f>
        <v>125.95</v>
      </c>
      <c r="K5" s="6" t="n">
        <f aca="false">I5-F5</f>
        <v>5</v>
      </c>
      <c r="L5" s="5" t="s">
        <v>25</v>
      </c>
      <c r="M5" s="5" t="n">
        <v>9</v>
      </c>
      <c r="N5" s="6" t="n">
        <v>69.95</v>
      </c>
      <c r="O5" s="6" t="n">
        <v>74.95</v>
      </c>
      <c r="P5" s="6" t="n">
        <f aca="false">O5-I5</f>
        <v>0</v>
      </c>
    </row>
    <row r="6" customFormat="false" ht="15" hidden="false" customHeight="false" outlineLevel="0" collapsed="false">
      <c r="A6" s="5" t="s">
        <v>77</v>
      </c>
      <c r="B6" s="5" t="s">
        <v>78</v>
      </c>
      <c r="C6" s="5" t="s">
        <v>24</v>
      </c>
      <c r="D6" s="5" t="s">
        <v>79</v>
      </c>
      <c r="E6" s="5" t="n">
        <v>42</v>
      </c>
      <c r="F6" s="6" t="n">
        <v>69.95</v>
      </c>
      <c r="G6" s="6" t="n">
        <v>127.95</v>
      </c>
      <c r="H6" s="12" t="n">
        <f aca="false">1-F6/G6</f>
        <v>0.453302071121532</v>
      </c>
      <c r="I6" s="13" t="n">
        <v>74.95</v>
      </c>
      <c r="J6" s="6" t="n">
        <f aca="false">ROUNDUP(I6/(1-H6),0)-0.05</f>
        <v>137.95</v>
      </c>
      <c r="K6" s="6" t="n">
        <f aca="false">I6-F6</f>
        <v>5</v>
      </c>
      <c r="L6" s="5" t="s">
        <v>25</v>
      </c>
      <c r="M6" s="5" t="n">
        <v>9</v>
      </c>
      <c r="N6" s="6" t="n">
        <v>69.95</v>
      </c>
      <c r="O6" s="6" t="n">
        <v>74.95</v>
      </c>
      <c r="P6" s="6" t="n">
        <f aca="false">O6-I6</f>
        <v>0</v>
      </c>
    </row>
    <row r="7" customFormat="false" ht="15" hidden="false" customHeight="false" outlineLevel="0" collapsed="false">
      <c r="A7" s="5" t="s">
        <v>80</v>
      </c>
      <c r="B7" s="5" t="s">
        <v>81</v>
      </c>
      <c r="C7" s="5" t="s">
        <v>24</v>
      </c>
      <c r="D7" s="5" t="s">
        <v>68</v>
      </c>
      <c r="E7" s="5" t="n">
        <v>56</v>
      </c>
      <c r="F7" s="6" t="n">
        <v>69.95</v>
      </c>
      <c r="G7" s="6" t="n">
        <v>127.95</v>
      </c>
      <c r="H7" s="12" t="n">
        <f aca="false">1-F7/G7</f>
        <v>0.453302071121532</v>
      </c>
      <c r="I7" s="13" t="n">
        <v>74.95</v>
      </c>
      <c r="J7" s="6" t="n">
        <f aca="false">ROUNDUP(I7/(1-H7),0)-0.05</f>
        <v>137.95</v>
      </c>
      <c r="K7" s="6" t="n">
        <f aca="false">I7-F7</f>
        <v>5</v>
      </c>
      <c r="L7" s="5" t="s">
        <v>25</v>
      </c>
      <c r="M7" s="5" t="n">
        <v>9</v>
      </c>
      <c r="N7" s="6" t="n">
        <v>69.95</v>
      </c>
      <c r="O7" s="6" t="n">
        <v>74.95</v>
      </c>
      <c r="P7" s="6" t="n">
        <f aca="false">O7-I7</f>
        <v>0</v>
      </c>
    </row>
    <row r="8" customFormat="false" ht="15" hidden="false" customHeight="false" outlineLevel="0" collapsed="false">
      <c r="A8" s="5" t="s">
        <v>82</v>
      </c>
      <c r="B8" s="5" t="s">
        <v>83</v>
      </c>
      <c r="C8" s="5" t="s">
        <v>24</v>
      </c>
      <c r="D8" s="5" t="s">
        <v>84</v>
      </c>
      <c r="E8" s="5" t="n">
        <v>35</v>
      </c>
      <c r="F8" s="6" t="n">
        <v>69.95</v>
      </c>
      <c r="G8" s="6" t="n">
        <v>139.95</v>
      </c>
      <c r="H8" s="12" t="n">
        <f aca="false">1-F8/G8</f>
        <v>0.500178635226867</v>
      </c>
      <c r="I8" s="13" t="n">
        <v>74.95</v>
      </c>
      <c r="J8" s="6" t="n">
        <f aca="false">ROUNDUP(I8/(1-H8),0)-0.05</f>
        <v>149.95</v>
      </c>
      <c r="K8" s="6" t="n">
        <f aca="false">I8-F8</f>
        <v>5</v>
      </c>
      <c r="L8" s="5" t="s">
        <v>25</v>
      </c>
      <c r="M8" s="5" t="n">
        <v>9</v>
      </c>
      <c r="N8" s="6" t="n">
        <v>69.95</v>
      </c>
      <c r="O8" s="6" t="n">
        <v>74.95</v>
      </c>
      <c r="P8" s="6" t="n">
        <f aca="false">O8-I8</f>
        <v>0</v>
      </c>
    </row>
    <row r="9" customFormat="false" ht="15" hidden="false" customHeight="false" outlineLevel="0" collapsed="false">
      <c r="A9" s="5" t="s">
        <v>85</v>
      </c>
      <c r="B9" s="5" t="s">
        <v>86</v>
      </c>
      <c r="C9" s="5" t="s">
        <v>24</v>
      </c>
      <c r="D9" s="5" t="s">
        <v>87</v>
      </c>
      <c r="E9" s="5" t="n">
        <v>15</v>
      </c>
      <c r="F9" s="6" t="n">
        <v>69.95</v>
      </c>
      <c r="G9" s="6" t="n">
        <v>139.95</v>
      </c>
      <c r="H9" s="12" t="n">
        <f aca="false">1-F9/G9</f>
        <v>0.500178635226867</v>
      </c>
      <c r="I9" s="13" t="n">
        <v>74.95</v>
      </c>
      <c r="J9" s="6" t="n">
        <f aca="false">ROUNDUP(I9/(1-H9),0)-0.05</f>
        <v>149.95</v>
      </c>
      <c r="K9" s="6" t="n">
        <f aca="false">I9-F9</f>
        <v>5</v>
      </c>
      <c r="L9" s="5" t="s">
        <v>25</v>
      </c>
      <c r="M9" s="5" t="n">
        <v>9</v>
      </c>
      <c r="N9" s="6" t="n">
        <v>69.95</v>
      </c>
      <c r="O9" s="6" t="n">
        <v>74.95</v>
      </c>
      <c r="P9" s="6" t="n">
        <f aca="false">O9-I9</f>
        <v>0</v>
      </c>
    </row>
    <row r="10" customFormat="false" ht="15" hidden="false" customHeight="false" outlineLevel="0" collapsed="false">
      <c r="A10" s="5" t="s">
        <v>88</v>
      </c>
      <c r="B10" s="5" t="s">
        <v>89</v>
      </c>
      <c r="C10" s="5" t="s">
        <v>24</v>
      </c>
      <c r="D10" s="5" t="s">
        <v>68</v>
      </c>
      <c r="E10" s="5" t="n">
        <v>56</v>
      </c>
      <c r="F10" s="6" t="n">
        <v>69.95</v>
      </c>
      <c r="G10" s="6" t="n">
        <v>116.95</v>
      </c>
      <c r="H10" s="12" t="n">
        <f aca="false">1-F10/G10</f>
        <v>0.401881145788799</v>
      </c>
      <c r="I10" s="13" t="n">
        <v>74.95</v>
      </c>
      <c r="J10" s="6" t="n">
        <f aca="false">ROUNDUP(I10/(1-H10),0)-0.05</f>
        <v>125.95</v>
      </c>
      <c r="K10" s="6" t="n">
        <f aca="false">I10-F10</f>
        <v>5</v>
      </c>
      <c r="L10" s="5" t="s">
        <v>25</v>
      </c>
      <c r="M10" s="5" t="n">
        <v>9</v>
      </c>
      <c r="N10" s="6" t="n">
        <v>69.95</v>
      </c>
      <c r="O10" s="6" t="n">
        <v>74.95</v>
      </c>
      <c r="P10" s="6" t="n">
        <f aca="false">O10-I10</f>
        <v>0</v>
      </c>
    </row>
    <row r="11" customFormat="false" ht="15" hidden="false" customHeight="false" outlineLevel="0" collapsed="false">
      <c r="A11" s="5" t="s">
        <v>90</v>
      </c>
      <c r="B11" s="5" t="s">
        <v>91</v>
      </c>
      <c r="C11" s="5" t="s">
        <v>24</v>
      </c>
      <c r="D11" s="5" t="s">
        <v>73</v>
      </c>
      <c r="E11" s="5" t="n">
        <v>28</v>
      </c>
      <c r="F11" s="6" t="n">
        <v>69.95</v>
      </c>
      <c r="G11" s="6" t="n">
        <v>139.95</v>
      </c>
      <c r="H11" s="12" t="n">
        <f aca="false">1-F11/G11</f>
        <v>0.500178635226867</v>
      </c>
      <c r="I11" s="13" t="n">
        <v>74.95</v>
      </c>
      <c r="J11" s="6" t="n">
        <f aca="false">ROUNDUP(I11/(1-H11),0)-0.05</f>
        <v>149.95</v>
      </c>
      <c r="K11" s="6" t="n">
        <f aca="false">I11-F11</f>
        <v>5</v>
      </c>
      <c r="L11" s="5" t="s">
        <v>25</v>
      </c>
      <c r="M11" s="5" t="n">
        <v>9</v>
      </c>
      <c r="N11" s="6" t="n">
        <v>69.95</v>
      </c>
      <c r="O11" s="6" t="n">
        <v>74.95</v>
      </c>
      <c r="P11" s="6" t="n">
        <f aca="false">O11-I11</f>
        <v>0</v>
      </c>
    </row>
    <row r="12" customFormat="false" ht="15" hidden="false" customHeight="false" outlineLevel="0" collapsed="false">
      <c r="A12" s="5" t="s">
        <v>92</v>
      </c>
      <c r="B12" s="5" t="s">
        <v>93</v>
      </c>
      <c r="C12" s="5" t="s">
        <v>24</v>
      </c>
      <c r="D12" s="5" t="s">
        <v>68</v>
      </c>
      <c r="E12" s="5" t="n">
        <v>42</v>
      </c>
      <c r="F12" s="6" t="n">
        <v>69.95</v>
      </c>
      <c r="G12" s="6" t="n">
        <v>139.95</v>
      </c>
      <c r="H12" s="12" t="n">
        <f aca="false">1-F12/G12</f>
        <v>0.500178635226867</v>
      </c>
      <c r="I12" s="13" t="n">
        <v>74.95</v>
      </c>
      <c r="J12" s="6" t="n">
        <f aca="false">ROUNDUP(I12/(1-H12),0)-0.05</f>
        <v>149.95</v>
      </c>
      <c r="K12" s="6" t="n">
        <f aca="false">I12-F12</f>
        <v>5</v>
      </c>
      <c r="L12" s="5" t="s">
        <v>25</v>
      </c>
      <c r="M12" s="5" t="n">
        <v>9</v>
      </c>
      <c r="N12" s="6" t="n">
        <v>69.95</v>
      </c>
      <c r="O12" s="6" t="n">
        <v>74.95</v>
      </c>
      <c r="P12" s="6" t="n">
        <f aca="false">O12-I12</f>
        <v>0</v>
      </c>
    </row>
    <row r="13" customFormat="false" ht="15" hidden="false" customHeight="false" outlineLevel="0" collapsed="false">
      <c r="A13" s="5" t="s">
        <v>94</v>
      </c>
      <c r="B13" s="5" t="s">
        <v>95</v>
      </c>
      <c r="C13" s="5" t="s">
        <v>24</v>
      </c>
      <c r="D13" s="5" t="s">
        <v>96</v>
      </c>
      <c r="E13" s="5" t="n">
        <v>36</v>
      </c>
      <c r="F13" s="6" t="n">
        <v>69.95</v>
      </c>
      <c r="G13" s="6" t="n">
        <v>139.95</v>
      </c>
      <c r="H13" s="12" t="n">
        <f aca="false">1-F13/G13</f>
        <v>0.500178635226867</v>
      </c>
      <c r="I13" s="13" t="n">
        <v>74.95</v>
      </c>
      <c r="J13" s="6" t="n">
        <f aca="false">ROUNDUP(I13/(1-H13),0)-0.05</f>
        <v>149.95</v>
      </c>
      <c r="K13" s="6" t="n">
        <f aca="false">I13-F13</f>
        <v>5</v>
      </c>
      <c r="L13" s="5" t="s">
        <v>25</v>
      </c>
      <c r="M13" s="5" t="n">
        <v>9</v>
      </c>
      <c r="N13" s="6" t="n">
        <v>69.95</v>
      </c>
      <c r="O13" s="6" t="n">
        <v>74.95</v>
      </c>
      <c r="P13" s="6" t="n">
        <f aca="false">O13-I13</f>
        <v>0</v>
      </c>
    </row>
    <row r="14" customFormat="false" ht="15" hidden="false" customHeight="false" outlineLevel="0" collapsed="false">
      <c r="A14" s="5" t="s">
        <v>97</v>
      </c>
      <c r="B14" s="5" t="s">
        <v>98</v>
      </c>
      <c r="C14" s="5" t="s">
        <v>24</v>
      </c>
      <c r="D14" s="5" t="s">
        <v>68</v>
      </c>
      <c r="E14" s="5" t="n">
        <v>35</v>
      </c>
      <c r="F14" s="6" t="n">
        <v>69.95</v>
      </c>
      <c r="G14" s="6" t="n">
        <v>127.95</v>
      </c>
      <c r="H14" s="12" t="n">
        <f aca="false">1-F14/G14</f>
        <v>0.453302071121532</v>
      </c>
      <c r="I14" s="13" t="n">
        <v>74.95</v>
      </c>
      <c r="J14" s="6" t="n">
        <f aca="false">ROUNDUP(I14/(1-H14),0)-0.05</f>
        <v>137.95</v>
      </c>
      <c r="K14" s="6" t="n">
        <f aca="false">I14-F14</f>
        <v>5</v>
      </c>
      <c r="L14" s="5" t="s">
        <v>25</v>
      </c>
      <c r="M14" s="5" t="n">
        <v>9</v>
      </c>
      <c r="N14" s="6" t="n">
        <v>69.95</v>
      </c>
      <c r="O14" s="6" t="n">
        <v>74.95</v>
      </c>
      <c r="P14" s="6" t="n">
        <f aca="false">O14-I14</f>
        <v>0</v>
      </c>
    </row>
    <row r="15" customFormat="false" ht="15" hidden="false" customHeight="false" outlineLevel="0" collapsed="false">
      <c r="A15" s="5" t="s">
        <v>99</v>
      </c>
      <c r="B15" s="5" t="s">
        <v>100</v>
      </c>
      <c r="C15" s="5" t="s">
        <v>24</v>
      </c>
      <c r="D15" s="5" t="s">
        <v>101</v>
      </c>
      <c r="E15" s="5" t="n">
        <v>63</v>
      </c>
      <c r="F15" s="6" t="n">
        <v>69.95</v>
      </c>
      <c r="G15" s="6" t="n">
        <v>116.95</v>
      </c>
      <c r="H15" s="12" t="n">
        <f aca="false">1-F15/G15</f>
        <v>0.401881145788799</v>
      </c>
      <c r="I15" s="13" t="n">
        <v>74.95</v>
      </c>
      <c r="J15" s="6" t="n">
        <f aca="false">ROUNDUP(I15/(1-H15),0)-0.05</f>
        <v>125.95</v>
      </c>
      <c r="K15" s="6" t="n">
        <f aca="false">I15-F15</f>
        <v>5</v>
      </c>
      <c r="L15" s="5" t="s">
        <v>25</v>
      </c>
      <c r="M15" s="5" t="n">
        <v>9</v>
      </c>
      <c r="N15" s="6" t="n">
        <v>69.95</v>
      </c>
      <c r="O15" s="6" t="n">
        <v>74.95</v>
      </c>
      <c r="P15" s="6" t="n">
        <f aca="false">O15-I15</f>
        <v>0</v>
      </c>
    </row>
    <row r="16" customFormat="false" ht="15" hidden="false" customHeight="false" outlineLevel="0" collapsed="false">
      <c r="A16" s="5" t="s">
        <v>102</v>
      </c>
      <c r="B16" s="5" t="s">
        <v>103</v>
      </c>
      <c r="C16" s="5" t="s">
        <v>24</v>
      </c>
      <c r="D16" s="5" t="s">
        <v>104</v>
      </c>
      <c r="E16" s="5" t="n">
        <v>42</v>
      </c>
      <c r="F16" s="6" t="n">
        <v>69.95</v>
      </c>
      <c r="G16" s="6" t="n">
        <v>139.95</v>
      </c>
      <c r="H16" s="12" t="n">
        <f aca="false">1-F16/G16</f>
        <v>0.500178635226867</v>
      </c>
      <c r="I16" s="13" t="n">
        <v>74.95</v>
      </c>
      <c r="J16" s="6" t="n">
        <f aca="false">ROUNDUP(I16/(1-H16),0)-0.05</f>
        <v>149.95</v>
      </c>
      <c r="K16" s="6" t="n">
        <f aca="false">I16-F16</f>
        <v>5</v>
      </c>
      <c r="L16" s="5" t="s">
        <v>25</v>
      </c>
      <c r="M16" s="5" t="n">
        <v>9</v>
      </c>
      <c r="N16" s="6" t="n">
        <v>69.95</v>
      </c>
      <c r="O16" s="6" t="n">
        <v>74.95</v>
      </c>
      <c r="P16" s="6" t="n">
        <f aca="false">O16-I16</f>
        <v>0</v>
      </c>
    </row>
    <row r="17" customFormat="false" ht="15" hidden="false" customHeight="false" outlineLevel="0" collapsed="false">
      <c r="A17" s="5" t="s">
        <v>105</v>
      </c>
      <c r="B17" s="5" t="s">
        <v>106</v>
      </c>
      <c r="C17" s="5" t="s">
        <v>24</v>
      </c>
      <c r="D17" s="5" t="s">
        <v>107</v>
      </c>
      <c r="E17" s="5" t="n">
        <v>48</v>
      </c>
      <c r="F17" s="6" t="n">
        <v>69.95</v>
      </c>
      <c r="G17" s="6" t="n">
        <v>127.95</v>
      </c>
      <c r="H17" s="12" t="n">
        <f aca="false">1-F17/G17</f>
        <v>0.453302071121532</v>
      </c>
      <c r="I17" s="13" t="n">
        <v>74.95</v>
      </c>
      <c r="J17" s="6" t="n">
        <f aca="false">ROUNDUP(I17/(1-H17),0)-0.05</f>
        <v>137.95</v>
      </c>
      <c r="K17" s="6" t="n">
        <f aca="false">I17-F17</f>
        <v>5</v>
      </c>
      <c r="L17" s="5" t="s">
        <v>25</v>
      </c>
      <c r="M17" s="5" t="n">
        <v>9</v>
      </c>
      <c r="N17" s="6" t="n">
        <v>69.95</v>
      </c>
      <c r="O17" s="6" t="n">
        <v>74.95</v>
      </c>
      <c r="P17" s="6" t="n">
        <f aca="false">O17-I17</f>
        <v>0</v>
      </c>
    </row>
    <row r="18" customFormat="false" ht="15" hidden="false" customHeight="false" outlineLevel="0" collapsed="false">
      <c r="A18" s="5" t="s">
        <v>108</v>
      </c>
      <c r="B18" s="5" t="s">
        <v>109</v>
      </c>
      <c r="C18" s="5" t="s">
        <v>24</v>
      </c>
      <c r="D18" s="5" t="s">
        <v>76</v>
      </c>
      <c r="E18" s="5" t="n">
        <v>25</v>
      </c>
      <c r="F18" s="6" t="n">
        <v>69.95</v>
      </c>
      <c r="G18" s="6" t="n">
        <v>116.95</v>
      </c>
      <c r="H18" s="12" t="n">
        <f aca="false">1-F18/G18</f>
        <v>0.401881145788799</v>
      </c>
      <c r="I18" s="13" t="n">
        <v>74.95</v>
      </c>
      <c r="J18" s="6" t="n">
        <f aca="false">ROUNDUP(I18/(1-H18),0)-0.05</f>
        <v>125.95</v>
      </c>
      <c r="K18" s="6" t="n">
        <f aca="false">I18-F18</f>
        <v>5</v>
      </c>
      <c r="L18" s="5" t="s">
        <v>25</v>
      </c>
      <c r="M18" s="5" t="n">
        <v>9</v>
      </c>
      <c r="N18" s="6" t="n">
        <v>69.95</v>
      </c>
      <c r="O18" s="6" t="n">
        <v>74.95</v>
      </c>
      <c r="P18" s="6" t="n">
        <f aca="false">O18-I18</f>
        <v>0</v>
      </c>
    </row>
    <row r="19" customFormat="false" ht="15" hidden="false" customHeight="false" outlineLevel="0" collapsed="false">
      <c r="A19" s="5" t="s">
        <v>110</v>
      </c>
      <c r="B19" s="5" t="s">
        <v>111</v>
      </c>
      <c r="C19" s="5" t="s">
        <v>30</v>
      </c>
      <c r="D19" s="5" t="s">
        <v>84</v>
      </c>
      <c r="E19" s="5" t="n">
        <v>21</v>
      </c>
      <c r="F19" s="6" t="n">
        <v>89.95</v>
      </c>
      <c r="G19" s="6" t="n">
        <v>149.95</v>
      </c>
      <c r="H19" s="12" t="n">
        <f aca="false">1-F19/G19</f>
        <v>0.400133377792598</v>
      </c>
      <c r="I19" s="13" t="n">
        <v>94.95</v>
      </c>
      <c r="J19" s="6" t="n">
        <f aca="false">ROUNDUP(I19/(1-H19),0)-0.05</f>
        <v>158.95</v>
      </c>
      <c r="K19" s="6" t="n">
        <f aca="false">I19-F19</f>
        <v>5</v>
      </c>
      <c r="L19" s="5" t="s">
        <v>31</v>
      </c>
      <c r="M19" s="5" t="n">
        <v>13</v>
      </c>
      <c r="N19" s="6" t="n">
        <v>89.95</v>
      </c>
      <c r="O19" s="6" t="n">
        <v>99.95</v>
      </c>
      <c r="P19" s="6" t="n">
        <f aca="false">O19-I19</f>
        <v>5</v>
      </c>
    </row>
    <row r="20" customFormat="false" ht="15" hidden="false" customHeight="false" outlineLevel="0" collapsed="false">
      <c r="A20" s="5" t="s">
        <v>112</v>
      </c>
      <c r="B20" s="5" t="s">
        <v>113</v>
      </c>
      <c r="C20" s="5" t="s">
        <v>30</v>
      </c>
      <c r="D20" s="5" t="s">
        <v>84</v>
      </c>
      <c r="E20" s="5" t="n">
        <v>28</v>
      </c>
      <c r="F20" s="6" t="n">
        <v>89.95</v>
      </c>
      <c r="G20" s="6" t="n">
        <v>163.95</v>
      </c>
      <c r="H20" s="12" t="n">
        <f aca="false">1-F20/G20</f>
        <v>0.451357121073498</v>
      </c>
      <c r="I20" s="13" t="n">
        <v>94.95</v>
      </c>
      <c r="J20" s="6" t="n">
        <f aca="false">ROUNDUP(I20/(1-H20),0)-0.05</f>
        <v>173.95</v>
      </c>
      <c r="K20" s="6" t="n">
        <f aca="false">I20-F20</f>
        <v>5</v>
      </c>
      <c r="L20" s="5" t="s">
        <v>31</v>
      </c>
      <c r="M20" s="5" t="n">
        <v>13</v>
      </c>
      <c r="N20" s="6" t="n">
        <v>89.95</v>
      </c>
      <c r="O20" s="6" t="n">
        <v>99.95</v>
      </c>
      <c r="P20" s="6" t="n">
        <f aca="false">O20-I20</f>
        <v>5</v>
      </c>
    </row>
    <row r="21" customFormat="false" ht="15" hidden="false" customHeight="false" outlineLevel="0" collapsed="false">
      <c r="A21" s="5" t="s">
        <v>114</v>
      </c>
      <c r="B21" s="5" t="s">
        <v>115</v>
      </c>
      <c r="C21" s="5" t="s">
        <v>30</v>
      </c>
      <c r="D21" s="5" t="s">
        <v>116</v>
      </c>
      <c r="E21" s="5" t="n">
        <v>30</v>
      </c>
      <c r="F21" s="6" t="n">
        <v>89.95</v>
      </c>
      <c r="G21" s="6" t="n">
        <v>149.95</v>
      </c>
      <c r="H21" s="12" t="n">
        <f aca="false">1-F21/G21</f>
        <v>0.400133377792598</v>
      </c>
      <c r="I21" s="13" t="n">
        <v>94.95</v>
      </c>
      <c r="J21" s="6" t="n">
        <f aca="false">ROUNDUP(I21/(1-H21),0)-0.05</f>
        <v>158.95</v>
      </c>
      <c r="K21" s="6" t="n">
        <f aca="false">I21-F21</f>
        <v>5</v>
      </c>
      <c r="L21" s="5" t="s">
        <v>31</v>
      </c>
      <c r="M21" s="5" t="n">
        <v>13</v>
      </c>
      <c r="N21" s="6" t="n">
        <v>89.95</v>
      </c>
      <c r="O21" s="6" t="n">
        <v>99.95</v>
      </c>
      <c r="P21" s="6" t="n">
        <f aca="false">O21-I21</f>
        <v>5</v>
      </c>
    </row>
    <row r="22" customFormat="false" ht="15" hidden="false" customHeight="false" outlineLevel="0" collapsed="false">
      <c r="A22" s="5" t="s">
        <v>117</v>
      </c>
      <c r="B22" s="5" t="s">
        <v>118</v>
      </c>
      <c r="C22" s="5" t="s">
        <v>30</v>
      </c>
      <c r="D22" s="5" t="s">
        <v>116</v>
      </c>
      <c r="E22" s="5" t="n">
        <v>35</v>
      </c>
      <c r="F22" s="6" t="n">
        <v>89.95</v>
      </c>
      <c r="G22" s="6" t="n">
        <v>163.95</v>
      </c>
      <c r="H22" s="12" t="n">
        <f aca="false">1-F22/G22</f>
        <v>0.451357121073498</v>
      </c>
      <c r="I22" s="13" t="n">
        <v>94.95</v>
      </c>
      <c r="J22" s="6" t="n">
        <f aca="false">ROUNDUP(I22/(1-H22),0)-0.05</f>
        <v>173.95</v>
      </c>
      <c r="K22" s="6" t="n">
        <f aca="false">I22-F22</f>
        <v>5</v>
      </c>
      <c r="L22" s="5" t="s">
        <v>31</v>
      </c>
      <c r="M22" s="5" t="n">
        <v>13</v>
      </c>
      <c r="N22" s="6" t="n">
        <v>89.95</v>
      </c>
      <c r="O22" s="6" t="n">
        <v>99.95</v>
      </c>
      <c r="P22" s="6" t="n">
        <f aca="false">O22-I22</f>
        <v>5</v>
      </c>
    </row>
    <row r="23" customFormat="false" ht="15" hidden="false" customHeight="false" outlineLevel="0" collapsed="false">
      <c r="A23" s="5" t="s">
        <v>119</v>
      </c>
      <c r="B23" s="5" t="s">
        <v>120</v>
      </c>
      <c r="C23" s="5" t="s">
        <v>30</v>
      </c>
      <c r="D23" s="5" t="s">
        <v>121</v>
      </c>
      <c r="E23" s="5" t="n">
        <v>30</v>
      </c>
      <c r="F23" s="6" t="n">
        <v>89.95</v>
      </c>
      <c r="G23" s="6" t="n">
        <v>163.95</v>
      </c>
      <c r="H23" s="12" t="n">
        <f aca="false">1-F23/G23</f>
        <v>0.451357121073498</v>
      </c>
      <c r="I23" s="13" t="n">
        <v>94.95</v>
      </c>
      <c r="J23" s="6" t="n">
        <f aca="false">ROUNDUP(I23/(1-H23),0)-0.05</f>
        <v>173.95</v>
      </c>
      <c r="K23" s="6" t="n">
        <f aca="false">I23-F23</f>
        <v>5</v>
      </c>
      <c r="L23" s="5" t="s">
        <v>31</v>
      </c>
      <c r="M23" s="5" t="n">
        <v>13</v>
      </c>
      <c r="N23" s="6" t="n">
        <v>89.95</v>
      </c>
      <c r="O23" s="6" t="n">
        <v>99.95</v>
      </c>
      <c r="P23" s="6" t="n">
        <f aca="false">O23-I23</f>
        <v>5</v>
      </c>
    </row>
    <row r="24" customFormat="false" ht="15" hidden="false" customHeight="false" outlineLevel="0" collapsed="false">
      <c r="A24" s="5" t="s">
        <v>122</v>
      </c>
      <c r="B24" s="5" t="s">
        <v>123</v>
      </c>
      <c r="C24" s="5" t="s">
        <v>30</v>
      </c>
      <c r="D24" s="5" t="s">
        <v>116</v>
      </c>
      <c r="E24" s="5" t="n">
        <v>4</v>
      </c>
      <c r="F24" s="6" t="n">
        <v>89.95</v>
      </c>
      <c r="G24" s="6" t="n">
        <v>163.95</v>
      </c>
      <c r="H24" s="12" t="n">
        <f aca="false">1-F24/G24</f>
        <v>0.451357121073498</v>
      </c>
      <c r="I24" s="13" t="n">
        <v>94.95</v>
      </c>
      <c r="J24" s="6" t="n">
        <f aca="false">ROUNDUP(I24/(1-H24),0)-0.05</f>
        <v>173.95</v>
      </c>
      <c r="K24" s="6" t="n">
        <f aca="false">I24-F24</f>
        <v>5</v>
      </c>
      <c r="L24" s="5" t="s">
        <v>31</v>
      </c>
      <c r="M24" s="5" t="n">
        <v>13</v>
      </c>
      <c r="N24" s="6" t="n">
        <v>89.95</v>
      </c>
      <c r="O24" s="6" t="n">
        <v>99.95</v>
      </c>
      <c r="P24" s="6" t="n">
        <f aca="false">O24-I24</f>
        <v>5</v>
      </c>
    </row>
    <row r="25" customFormat="false" ht="15" hidden="false" customHeight="false" outlineLevel="0" collapsed="false">
      <c r="A25" s="5" t="s">
        <v>124</v>
      </c>
      <c r="B25" s="5" t="s">
        <v>125</v>
      </c>
      <c r="C25" s="5" t="s">
        <v>30</v>
      </c>
      <c r="D25" s="5" t="s">
        <v>126</v>
      </c>
      <c r="E25" s="5" t="n">
        <v>28</v>
      </c>
      <c r="F25" s="6" t="n">
        <v>89.95</v>
      </c>
      <c r="G25" s="6" t="n">
        <v>149.95</v>
      </c>
      <c r="H25" s="12" t="n">
        <f aca="false">1-F25/G25</f>
        <v>0.400133377792598</v>
      </c>
      <c r="I25" s="13" t="n">
        <v>94.95</v>
      </c>
      <c r="J25" s="6" t="n">
        <f aca="false">ROUNDUP(I25/(1-H25),0)-0.05</f>
        <v>158.95</v>
      </c>
      <c r="K25" s="6" t="n">
        <f aca="false">I25-F25</f>
        <v>5</v>
      </c>
      <c r="L25" s="5" t="s">
        <v>31</v>
      </c>
      <c r="M25" s="5" t="n">
        <v>13</v>
      </c>
      <c r="N25" s="6" t="n">
        <v>89.95</v>
      </c>
      <c r="O25" s="6" t="n">
        <v>99.95</v>
      </c>
      <c r="P25" s="6" t="n">
        <f aca="false">O25-I25</f>
        <v>5</v>
      </c>
    </row>
    <row r="26" customFormat="false" ht="15" hidden="false" customHeight="false" outlineLevel="0" collapsed="false">
      <c r="A26" s="5" t="s">
        <v>127</v>
      </c>
      <c r="B26" s="5" t="s">
        <v>128</v>
      </c>
      <c r="C26" s="5" t="s">
        <v>30</v>
      </c>
      <c r="D26" s="5" t="s">
        <v>126</v>
      </c>
      <c r="E26" s="5" t="n">
        <v>30</v>
      </c>
      <c r="F26" s="6" t="n">
        <v>89.95</v>
      </c>
      <c r="G26" s="6" t="n">
        <v>149.95</v>
      </c>
      <c r="H26" s="12" t="n">
        <f aca="false">1-F26/G26</f>
        <v>0.400133377792598</v>
      </c>
      <c r="I26" s="13" t="n">
        <v>94.95</v>
      </c>
      <c r="J26" s="6" t="n">
        <f aca="false">ROUNDUP(I26/(1-H26),0)-0.05</f>
        <v>158.95</v>
      </c>
      <c r="K26" s="6" t="n">
        <f aca="false">I26-F26</f>
        <v>5</v>
      </c>
      <c r="L26" s="5" t="s">
        <v>31</v>
      </c>
      <c r="M26" s="5" t="n">
        <v>13</v>
      </c>
      <c r="N26" s="6" t="n">
        <v>89.95</v>
      </c>
      <c r="O26" s="6" t="n">
        <v>99.95</v>
      </c>
      <c r="P26" s="6" t="n">
        <f aca="false">O26-I26</f>
        <v>5</v>
      </c>
    </row>
    <row r="27" customFormat="false" ht="15" hidden="false" customHeight="false" outlineLevel="0" collapsed="false">
      <c r="A27" s="5" t="s">
        <v>129</v>
      </c>
      <c r="B27" s="5" t="s">
        <v>130</v>
      </c>
      <c r="C27" s="5" t="s">
        <v>30</v>
      </c>
      <c r="D27" s="5" t="s">
        <v>131</v>
      </c>
      <c r="E27" s="5" t="n">
        <v>21</v>
      </c>
      <c r="F27" s="6" t="n">
        <v>89.95</v>
      </c>
      <c r="G27" s="6" t="n">
        <v>179.95</v>
      </c>
      <c r="H27" s="12" t="n">
        <f aca="false">1-F27/G27</f>
        <v>0.500138927479855</v>
      </c>
      <c r="I27" s="13" t="n">
        <v>94.95</v>
      </c>
      <c r="J27" s="6" t="n">
        <f aca="false">ROUNDUP(I27/(1-H27),0)-0.05</f>
        <v>189.95</v>
      </c>
      <c r="K27" s="6" t="n">
        <f aca="false">I27-F27</f>
        <v>5</v>
      </c>
      <c r="L27" s="5" t="s">
        <v>31</v>
      </c>
      <c r="M27" s="5" t="n">
        <v>13</v>
      </c>
      <c r="N27" s="6" t="n">
        <v>89.95</v>
      </c>
      <c r="O27" s="6" t="n">
        <v>99.95</v>
      </c>
      <c r="P27" s="6" t="n">
        <f aca="false">O27-I27</f>
        <v>5</v>
      </c>
    </row>
    <row r="28" customFormat="false" ht="15" hidden="false" customHeight="false" outlineLevel="0" collapsed="false">
      <c r="A28" s="5" t="s">
        <v>132</v>
      </c>
      <c r="B28" s="5" t="s">
        <v>133</v>
      </c>
      <c r="C28" s="5" t="s">
        <v>30</v>
      </c>
      <c r="D28" s="5" t="s">
        <v>116</v>
      </c>
      <c r="E28" s="5" t="n">
        <v>96</v>
      </c>
      <c r="F28" s="6" t="n">
        <v>89.95</v>
      </c>
      <c r="G28" s="6" t="n">
        <v>179.95</v>
      </c>
      <c r="H28" s="12" t="n">
        <f aca="false">1-F28/G28</f>
        <v>0.500138927479855</v>
      </c>
      <c r="I28" s="13" t="n">
        <v>94.95</v>
      </c>
      <c r="J28" s="6" t="n">
        <f aca="false">ROUNDUP(I28/(1-H28),0)-0.05</f>
        <v>189.95</v>
      </c>
      <c r="K28" s="6" t="n">
        <f aca="false">I28-F28</f>
        <v>5</v>
      </c>
      <c r="L28" s="5" t="s">
        <v>31</v>
      </c>
      <c r="M28" s="5" t="n">
        <v>13</v>
      </c>
      <c r="N28" s="6" t="n">
        <v>89.95</v>
      </c>
      <c r="O28" s="6" t="n">
        <v>99.95</v>
      </c>
      <c r="P28" s="6" t="n">
        <f aca="false">O28-I28</f>
        <v>5</v>
      </c>
    </row>
    <row r="29" customFormat="false" ht="15" hidden="false" customHeight="false" outlineLevel="0" collapsed="false">
      <c r="A29" s="5" t="s">
        <v>134</v>
      </c>
      <c r="B29" s="5" t="s">
        <v>135</v>
      </c>
      <c r="C29" s="5" t="s">
        <v>30</v>
      </c>
      <c r="D29" s="5" t="s">
        <v>136</v>
      </c>
      <c r="E29" s="5" t="n">
        <v>28</v>
      </c>
      <c r="F29" s="6" t="n">
        <v>89.95</v>
      </c>
      <c r="G29" s="6" t="n">
        <v>149.95</v>
      </c>
      <c r="H29" s="12" t="n">
        <f aca="false">1-F29/G29</f>
        <v>0.400133377792598</v>
      </c>
      <c r="I29" s="13" t="n">
        <v>94.95</v>
      </c>
      <c r="J29" s="6" t="n">
        <f aca="false">ROUNDUP(I29/(1-H29),0)-0.05</f>
        <v>158.95</v>
      </c>
      <c r="K29" s="6" t="n">
        <f aca="false">I29-F29</f>
        <v>5</v>
      </c>
      <c r="L29" s="5" t="s">
        <v>31</v>
      </c>
      <c r="M29" s="5" t="n">
        <v>13</v>
      </c>
      <c r="N29" s="6" t="n">
        <v>89.95</v>
      </c>
      <c r="O29" s="6" t="n">
        <v>99.95</v>
      </c>
      <c r="P29" s="6" t="n">
        <f aca="false">O29-I29</f>
        <v>5</v>
      </c>
    </row>
    <row r="30" customFormat="false" ht="15" hidden="false" customHeight="false" outlineLevel="0" collapsed="false">
      <c r="A30" s="5" t="s">
        <v>137</v>
      </c>
      <c r="B30" s="5" t="s">
        <v>138</v>
      </c>
      <c r="C30" s="5" t="s">
        <v>30</v>
      </c>
      <c r="D30" s="5" t="s">
        <v>116</v>
      </c>
      <c r="E30" s="5" t="n">
        <v>25</v>
      </c>
      <c r="F30" s="6" t="n">
        <v>89.95</v>
      </c>
      <c r="G30" s="6" t="n">
        <v>149.95</v>
      </c>
      <c r="H30" s="12" t="n">
        <f aca="false">1-F30/G30</f>
        <v>0.400133377792598</v>
      </c>
      <c r="I30" s="13" t="n">
        <v>94.95</v>
      </c>
      <c r="J30" s="6" t="n">
        <f aca="false">ROUNDUP(I30/(1-H30),0)-0.05</f>
        <v>158.95</v>
      </c>
      <c r="K30" s="6" t="n">
        <f aca="false">I30-F30</f>
        <v>5</v>
      </c>
      <c r="L30" s="5" t="s">
        <v>31</v>
      </c>
      <c r="M30" s="5" t="n">
        <v>13</v>
      </c>
      <c r="N30" s="6" t="n">
        <v>89.95</v>
      </c>
      <c r="O30" s="6" t="n">
        <v>99.95</v>
      </c>
      <c r="P30" s="6" t="n">
        <f aca="false">O30-I30</f>
        <v>5</v>
      </c>
    </row>
    <row r="31" customFormat="false" ht="15" hidden="false" customHeight="false" outlineLevel="0" collapsed="false">
      <c r="A31" s="5" t="s">
        <v>139</v>
      </c>
      <c r="B31" s="5" t="s">
        <v>140</v>
      </c>
      <c r="C31" s="5" t="s">
        <v>30</v>
      </c>
      <c r="D31" s="5" t="s">
        <v>126</v>
      </c>
      <c r="E31" s="5" t="n">
        <v>28</v>
      </c>
      <c r="F31" s="6" t="n">
        <v>89.95</v>
      </c>
      <c r="G31" s="6" t="n">
        <v>179.95</v>
      </c>
      <c r="H31" s="12" t="n">
        <f aca="false">1-F31/G31</f>
        <v>0.500138927479855</v>
      </c>
      <c r="I31" s="13" t="n">
        <v>94.95</v>
      </c>
      <c r="J31" s="6" t="n">
        <f aca="false">ROUNDUP(I31/(1-H31),0)-0.05</f>
        <v>189.95</v>
      </c>
      <c r="K31" s="6" t="n">
        <f aca="false">I31-F31</f>
        <v>5</v>
      </c>
      <c r="L31" s="5" t="s">
        <v>31</v>
      </c>
      <c r="M31" s="5" t="n">
        <v>13</v>
      </c>
      <c r="N31" s="6" t="n">
        <v>89.95</v>
      </c>
      <c r="O31" s="6" t="n">
        <v>99.95</v>
      </c>
      <c r="P31" s="6" t="n">
        <f aca="false">O31-I31</f>
        <v>5</v>
      </c>
    </row>
    <row r="32" customFormat="false" ht="15" hidden="false" customHeight="false" outlineLevel="0" collapsed="false">
      <c r="A32" s="5" t="s">
        <v>141</v>
      </c>
      <c r="B32" s="5" t="s">
        <v>142</v>
      </c>
      <c r="C32" s="5" t="s">
        <v>30</v>
      </c>
      <c r="D32" s="5" t="s">
        <v>104</v>
      </c>
      <c r="E32" s="5" t="n">
        <v>35</v>
      </c>
      <c r="F32" s="6" t="n">
        <v>89.95</v>
      </c>
      <c r="G32" s="6" t="n">
        <v>179.95</v>
      </c>
      <c r="H32" s="12" t="n">
        <f aca="false">1-F32/G32</f>
        <v>0.500138927479855</v>
      </c>
      <c r="I32" s="13" t="n">
        <v>94.95</v>
      </c>
      <c r="J32" s="6" t="n">
        <f aca="false">ROUNDUP(I32/(1-H32),0)-0.05</f>
        <v>189.95</v>
      </c>
      <c r="K32" s="6" t="n">
        <f aca="false">I32-F32</f>
        <v>5</v>
      </c>
      <c r="L32" s="5" t="s">
        <v>31</v>
      </c>
      <c r="M32" s="5" t="n">
        <v>13</v>
      </c>
      <c r="N32" s="6" t="n">
        <v>89.95</v>
      </c>
      <c r="O32" s="6" t="n">
        <v>99.95</v>
      </c>
      <c r="P32" s="6" t="n">
        <f aca="false">O32-I32</f>
        <v>5</v>
      </c>
    </row>
    <row r="33" customFormat="false" ht="15" hidden="false" customHeight="false" outlineLevel="0" collapsed="false">
      <c r="A33" s="5" t="s">
        <v>143</v>
      </c>
      <c r="B33" s="5" t="s">
        <v>144</v>
      </c>
      <c r="C33" s="5" t="s">
        <v>30</v>
      </c>
      <c r="D33" s="5" t="s">
        <v>126</v>
      </c>
      <c r="E33" s="5" t="n">
        <v>35</v>
      </c>
      <c r="F33" s="6" t="n">
        <v>89.95</v>
      </c>
      <c r="G33" s="6" t="n">
        <v>149.95</v>
      </c>
      <c r="H33" s="12" t="n">
        <f aca="false">1-F33/G33</f>
        <v>0.400133377792598</v>
      </c>
      <c r="I33" s="13" t="n">
        <v>94.95</v>
      </c>
      <c r="J33" s="6" t="n">
        <f aca="false">ROUNDUP(I33/(1-H33),0)-0.05</f>
        <v>158.95</v>
      </c>
      <c r="K33" s="6" t="n">
        <f aca="false">I33-F33</f>
        <v>5</v>
      </c>
      <c r="L33" s="5" t="s">
        <v>31</v>
      </c>
      <c r="M33" s="5" t="n">
        <v>13</v>
      </c>
      <c r="N33" s="6" t="n">
        <v>89.95</v>
      </c>
      <c r="O33" s="6" t="n">
        <v>99.95</v>
      </c>
      <c r="P33" s="6" t="n">
        <f aca="false">O33-I33</f>
        <v>5</v>
      </c>
    </row>
    <row r="34" customFormat="false" ht="15" hidden="false" customHeight="false" outlineLevel="0" collapsed="false">
      <c r="A34" s="5" t="s">
        <v>145</v>
      </c>
      <c r="B34" s="5" t="s">
        <v>146</v>
      </c>
      <c r="C34" s="5" t="s">
        <v>30</v>
      </c>
      <c r="D34" s="5" t="s">
        <v>116</v>
      </c>
      <c r="E34" s="5" t="n">
        <v>39</v>
      </c>
      <c r="F34" s="6" t="n">
        <v>89.95</v>
      </c>
      <c r="G34" s="6" t="n">
        <v>163.95</v>
      </c>
      <c r="H34" s="12" t="n">
        <f aca="false">1-F34/G34</f>
        <v>0.451357121073498</v>
      </c>
      <c r="I34" s="13" t="n">
        <v>94.95</v>
      </c>
      <c r="J34" s="6" t="n">
        <f aca="false">ROUNDUP(I34/(1-H34),0)-0.05</f>
        <v>173.95</v>
      </c>
      <c r="K34" s="6" t="n">
        <f aca="false">I34-F34</f>
        <v>5</v>
      </c>
      <c r="L34" s="5" t="s">
        <v>31</v>
      </c>
      <c r="M34" s="5" t="n">
        <v>13</v>
      </c>
      <c r="N34" s="6" t="n">
        <v>89.95</v>
      </c>
      <c r="O34" s="6" t="n">
        <v>99.95</v>
      </c>
      <c r="P34" s="6" t="n">
        <f aca="false">O34-I34</f>
        <v>5</v>
      </c>
    </row>
    <row r="35" customFormat="false" ht="15" hidden="false" customHeight="false" outlineLevel="0" collapsed="false">
      <c r="A35" s="5" t="s">
        <v>147</v>
      </c>
      <c r="B35" s="5" t="s">
        <v>148</v>
      </c>
      <c r="C35" s="5" t="s">
        <v>26</v>
      </c>
      <c r="D35" s="5" t="s">
        <v>149</v>
      </c>
      <c r="E35" s="5" t="n">
        <v>30</v>
      </c>
      <c r="F35" s="6" t="n">
        <v>64.95</v>
      </c>
      <c r="G35" s="6" t="n">
        <v>118.95</v>
      </c>
      <c r="H35" s="12" t="n">
        <f aca="false">1-F35/G35</f>
        <v>0.453972257250946</v>
      </c>
      <c r="I35" s="13" t="n">
        <v>74.95</v>
      </c>
      <c r="J35" s="6" t="n">
        <f aca="false">ROUNDUP(I35/(1-H35),0)-0.05</f>
        <v>137.95</v>
      </c>
      <c r="K35" s="6" t="n">
        <f aca="false">I35-F35</f>
        <v>10</v>
      </c>
      <c r="L35" s="5" t="s">
        <v>27</v>
      </c>
      <c r="M35" s="5" t="n">
        <v>6</v>
      </c>
      <c r="N35" s="6" t="n">
        <v>68.7</v>
      </c>
      <c r="O35" s="6" t="n">
        <v>82.45</v>
      </c>
      <c r="P35" s="6" t="n">
        <f aca="false">O35-I35</f>
        <v>7.5</v>
      </c>
    </row>
    <row r="36" customFormat="false" ht="15" hidden="false" customHeight="false" outlineLevel="0" collapsed="false">
      <c r="A36" s="5" t="s">
        <v>150</v>
      </c>
      <c r="B36" s="5" t="s">
        <v>151</v>
      </c>
      <c r="C36" s="5" t="s">
        <v>26</v>
      </c>
      <c r="D36" s="5" t="s">
        <v>152</v>
      </c>
      <c r="E36" s="5" t="n">
        <v>45</v>
      </c>
      <c r="F36" s="6" t="n">
        <v>64.95</v>
      </c>
      <c r="G36" s="6" t="n">
        <v>118.95</v>
      </c>
      <c r="H36" s="12" t="n">
        <f aca="false">1-F36/G36</f>
        <v>0.453972257250946</v>
      </c>
      <c r="I36" s="13" t="n">
        <v>74.95</v>
      </c>
      <c r="J36" s="6" t="n">
        <f aca="false">ROUNDUP(I36/(1-H36),0)-0.05</f>
        <v>137.95</v>
      </c>
      <c r="K36" s="6" t="n">
        <f aca="false">I36-F36</f>
        <v>10</v>
      </c>
      <c r="L36" s="5" t="s">
        <v>27</v>
      </c>
      <c r="M36" s="5" t="n">
        <v>6</v>
      </c>
      <c r="N36" s="6" t="n">
        <v>68.7</v>
      </c>
      <c r="O36" s="6" t="n">
        <v>82.45</v>
      </c>
      <c r="P36" s="6" t="n">
        <f aca="false">O36-I36</f>
        <v>7.5</v>
      </c>
    </row>
    <row r="37" customFormat="false" ht="15" hidden="false" customHeight="false" outlineLevel="0" collapsed="false">
      <c r="A37" s="5" t="s">
        <v>153</v>
      </c>
      <c r="B37" s="5" t="s">
        <v>154</v>
      </c>
      <c r="C37" s="5" t="s">
        <v>26</v>
      </c>
      <c r="D37" s="5" t="s">
        <v>155</v>
      </c>
      <c r="E37" s="5" t="n">
        <v>7</v>
      </c>
      <c r="F37" s="6" t="n">
        <v>64.95</v>
      </c>
      <c r="G37" s="6" t="n">
        <v>118.95</v>
      </c>
      <c r="H37" s="12" t="n">
        <f aca="false">1-F37/G37</f>
        <v>0.453972257250946</v>
      </c>
      <c r="I37" s="13" t="n">
        <v>74.95</v>
      </c>
      <c r="J37" s="6" t="n">
        <f aca="false">ROUNDUP(I37/(1-H37),0)-0.05</f>
        <v>137.95</v>
      </c>
      <c r="K37" s="6" t="n">
        <f aca="false">I37-F37</f>
        <v>10</v>
      </c>
      <c r="L37" s="5" t="s">
        <v>27</v>
      </c>
      <c r="M37" s="5" t="n">
        <v>6</v>
      </c>
      <c r="N37" s="6" t="n">
        <v>68.7</v>
      </c>
      <c r="O37" s="6" t="n">
        <v>82.45</v>
      </c>
      <c r="P37" s="6" t="n">
        <f aca="false">O37-I37</f>
        <v>7.5</v>
      </c>
    </row>
    <row r="38" customFormat="false" ht="15" hidden="false" customHeight="false" outlineLevel="0" collapsed="false">
      <c r="A38" s="5" t="s">
        <v>156</v>
      </c>
      <c r="B38" s="5" t="s">
        <v>157</v>
      </c>
      <c r="C38" s="5" t="s">
        <v>26</v>
      </c>
      <c r="D38" s="5" t="s">
        <v>96</v>
      </c>
      <c r="E38" s="5" t="n">
        <v>24</v>
      </c>
      <c r="F38" s="6" t="n">
        <v>64.95</v>
      </c>
      <c r="G38" s="6" t="n">
        <v>118.95</v>
      </c>
      <c r="H38" s="12" t="n">
        <f aca="false">1-F38/G38</f>
        <v>0.453972257250946</v>
      </c>
      <c r="I38" s="13" t="n">
        <v>74.95</v>
      </c>
      <c r="J38" s="6" t="n">
        <f aca="false">ROUNDUP(I38/(1-H38),0)-0.05</f>
        <v>137.95</v>
      </c>
      <c r="K38" s="6" t="n">
        <f aca="false">I38-F38</f>
        <v>10</v>
      </c>
      <c r="L38" s="5" t="s">
        <v>27</v>
      </c>
      <c r="M38" s="5" t="n">
        <v>6</v>
      </c>
      <c r="N38" s="6" t="n">
        <v>68.7</v>
      </c>
      <c r="O38" s="6" t="n">
        <v>82.45</v>
      </c>
      <c r="P38" s="6" t="n">
        <f aca="false">O38-I38</f>
        <v>7.5</v>
      </c>
    </row>
    <row r="39" customFormat="false" ht="15" hidden="false" customHeight="false" outlineLevel="0" collapsed="false">
      <c r="A39" s="5" t="s">
        <v>158</v>
      </c>
      <c r="B39" s="5" t="s">
        <v>159</v>
      </c>
      <c r="C39" s="5" t="s">
        <v>26</v>
      </c>
      <c r="D39" s="5" t="s">
        <v>160</v>
      </c>
      <c r="E39" s="5" t="n">
        <v>30</v>
      </c>
      <c r="F39" s="6" t="n">
        <v>64.95</v>
      </c>
      <c r="G39" s="6" t="n">
        <v>118.95</v>
      </c>
      <c r="H39" s="12" t="n">
        <f aca="false">1-F39/G39</f>
        <v>0.453972257250946</v>
      </c>
      <c r="I39" s="13" t="n">
        <v>74.95</v>
      </c>
      <c r="J39" s="6" t="n">
        <f aca="false">ROUNDUP(I39/(1-H39),0)-0.05</f>
        <v>137.95</v>
      </c>
      <c r="K39" s="6" t="n">
        <f aca="false">I39-F39</f>
        <v>10</v>
      </c>
      <c r="L39" s="5" t="s">
        <v>27</v>
      </c>
      <c r="M39" s="5" t="n">
        <v>6</v>
      </c>
      <c r="N39" s="6" t="n">
        <v>68.7</v>
      </c>
      <c r="O39" s="6" t="n">
        <v>82.45</v>
      </c>
      <c r="P39" s="6" t="n">
        <f aca="false">O39-I39</f>
        <v>7.5</v>
      </c>
    </row>
    <row r="40" customFormat="false" ht="15" hidden="false" customHeight="false" outlineLevel="0" collapsed="false">
      <c r="A40" s="5" t="s">
        <v>161</v>
      </c>
      <c r="B40" s="5" t="s">
        <v>162</v>
      </c>
      <c r="C40" s="5" t="s">
        <v>26</v>
      </c>
      <c r="D40" s="5" t="s">
        <v>155</v>
      </c>
      <c r="E40" s="5" t="n">
        <v>48</v>
      </c>
      <c r="F40" s="6" t="n">
        <v>64.95</v>
      </c>
      <c r="G40" s="6" t="n">
        <v>118.95</v>
      </c>
      <c r="H40" s="12" t="n">
        <f aca="false">1-F40/G40</f>
        <v>0.453972257250946</v>
      </c>
      <c r="I40" s="13" t="n">
        <v>74.95</v>
      </c>
      <c r="J40" s="6" t="n">
        <f aca="false">ROUNDUP(I40/(1-H40),0)-0.05</f>
        <v>137.95</v>
      </c>
      <c r="K40" s="6" t="n">
        <f aca="false">I40-F40</f>
        <v>10</v>
      </c>
      <c r="L40" s="5" t="s">
        <v>27</v>
      </c>
      <c r="M40" s="5" t="n">
        <v>6</v>
      </c>
      <c r="N40" s="6" t="n">
        <v>68.7</v>
      </c>
      <c r="O40" s="6" t="n">
        <v>82.45</v>
      </c>
      <c r="P40" s="6" t="n">
        <f aca="false">O40-I40</f>
        <v>7.5</v>
      </c>
    </row>
    <row r="41" customFormat="false" ht="15" hidden="false" customHeight="false" outlineLevel="0" collapsed="false">
      <c r="A41" s="5" t="s">
        <v>163</v>
      </c>
      <c r="B41" s="5" t="s">
        <v>162</v>
      </c>
      <c r="C41" s="5" t="s">
        <v>26</v>
      </c>
      <c r="D41" s="5" t="s">
        <v>155</v>
      </c>
      <c r="E41" s="5" t="n">
        <v>48</v>
      </c>
      <c r="F41" s="6" t="n">
        <v>64.95</v>
      </c>
      <c r="G41" s="6" t="n">
        <v>118.95</v>
      </c>
      <c r="H41" s="12" t="n">
        <f aca="false">1-F41/G41</f>
        <v>0.453972257250946</v>
      </c>
      <c r="I41" s="13" t="n">
        <v>74.95</v>
      </c>
      <c r="J41" s="6" t="n">
        <f aca="false">ROUNDUP(I41/(1-H41),0)-0.05</f>
        <v>137.95</v>
      </c>
      <c r="K41" s="6" t="n">
        <f aca="false">I41-F41</f>
        <v>10</v>
      </c>
      <c r="L41" s="5" t="s">
        <v>27</v>
      </c>
      <c r="M41" s="5" t="n">
        <v>6</v>
      </c>
      <c r="N41" s="6" t="n">
        <v>68.7</v>
      </c>
      <c r="O41" s="6" t="n">
        <v>82.45</v>
      </c>
      <c r="P41" s="6" t="n">
        <f aca="false">O41-I41</f>
        <v>7.5</v>
      </c>
    </row>
    <row r="42" customFormat="false" ht="15" hidden="false" customHeight="false" outlineLevel="0" collapsed="false">
      <c r="A42" s="5" t="s">
        <v>164</v>
      </c>
      <c r="B42" s="5" t="s">
        <v>165</v>
      </c>
      <c r="C42" s="5" t="s">
        <v>26</v>
      </c>
      <c r="D42" s="5" t="s">
        <v>155</v>
      </c>
      <c r="E42" s="5" t="n">
        <v>7</v>
      </c>
      <c r="F42" s="6" t="n">
        <v>64.95</v>
      </c>
      <c r="G42" s="6" t="n">
        <v>129.95</v>
      </c>
      <c r="H42" s="12" t="n">
        <f aca="false">1-F42/G42</f>
        <v>0.500192381685264</v>
      </c>
      <c r="I42" s="13" t="n">
        <v>74.95</v>
      </c>
      <c r="J42" s="6" t="n">
        <f aca="false">ROUNDUP(I42/(1-H42),0)-0.05</f>
        <v>149.95</v>
      </c>
      <c r="K42" s="6" t="n">
        <f aca="false">I42-F42</f>
        <v>10</v>
      </c>
      <c r="L42" s="5" t="s">
        <v>27</v>
      </c>
      <c r="M42" s="5" t="n">
        <v>6</v>
      </c>
      <c r="N42" s="6" t="n">
        <v>68.7</v>
      </c>
      <c r="O42" s="6" t="n">
        <v>82.45</v>
      </c>
      <c r="P42" s="6" t="n">
        <f aca="false">O42-I42</f>
        <v>7.5</v>
      </c>
    </row>
    <row r="43" customFormat="false" ht="15" hidden="false" customHeight="false" outlineLevel="0" collapsed="false">
      <c r="A43" s="5" t="s">
        <v>166</v>
      </c>
      <c r="B43" s="5" t="s">
        <v>167</v>
      </c>
      <c r="C43" s="5" t="s">
        <v>26</v>
      </c>
      <c r="D43" s="5" t="s">
        <v>155</v>
      </c>
      <c r="E43" s="5" t="n">
        <v>18</v>
      </c>
      <c r="F43" s="6" t="n">
        <v>64.95</v>
      </c>
      <c r="G43" s="6" t="n">
        <v>129.95</v>
      </c>
      <c r="H43" s="12" t="n">
        <f aca="false">1-F43/G43</f>
        <v>0.500192381685264</v>
      </c>
      <c r="I43" s="13" t="n">
        <v>74.95</v>
      </c>
      <c r="J43" s="6" t="n">
        <f aca="false">ROUNDUP(I43/(1-H43),0)-0.05</f>
        <v>149.95</v>
      </c>
      <c r="K43" s="6" t="n">
        <f aca="false">I43-F43</f>
        <v>10</v>
      </c>
      <c r="L43" s="5" t="s">
        <v>27</v>
      </c>
      <c r="M43" s="5" t="n">
        <v>6</v>
      </c>
      <c r="N43" s="6" t="n">
        <v>68.7</v>
      </c>
      <c r="O43" s="6" t="n">
        <v>82.45</v>
      </c>
      <c r="P43" s="6" t="n">
        <f aca="false">O43-I43</f>
        <v>7.5</v>
      </c>
    </row>
    <row r="44" customFormat="false" ht="15" hidden="false" customHeight="false" outlineLevel="0" collapsed="false">
      <c r="A44" s="5" t="s">
        <v>168</v>
      </c>
      <c r="B44" s="5" t="s">
        <v>169</v>
      </c>
      <c r="C44" s="5" t="s">
        <v>26</v>
      </c>
      <c r="D44" s="5" t="s">
        <v>170</v>
      </c>
      <c r="E44" s="5" t="n">
        <v>30</v>
      </c>
      <c r="F44" s="6" t="n">
        <v>64.95</v>
      </c>
      <c r="G44" s="6" t="n">
        <v>108.95</v>
      </c>
      <c r="H44" s="12" t="n">
        <f aca="false">1-F44/G44</f>
        <v>0.403854979348325</v>
      </c>
      <c r="I44" s="13" t="n">
        <v>74.95</v>
      </c>
      <c r="J44" s="6" t="n">
        <f aca="false">ROUNDUP(I44/(1-H44),0)-0.05</f>
        <v>125.95</v>
      </c>
      <c r="K44" s="6" t="n">
        <f aca="false">I44-F44</f>
        <v>10</v>
      </c>
      <c r="L44" s="5" t="s">
        <v>27</v>
      </c>
      <c r="M44" s="5" t="n">
        <v>6</v>
      </c>
      <c r="N44" s="6" t="n">
        <v>68.7</v>
      </c>
      <c r="O44" s="6" t="n">
        <v>82.45</v>
      </c>
      <c r="P44" s="6" t="n">
        <f aca="false">O44-I44</f>
        <v>7.5</v>
      </c>
    </row>
    <row r="45" customFormat="false" ht="15" hidden="false" customHeight="false" outlineLevel="0" collapsed="false">
      <c r="A45" s="5" t="s">
        <v>171</v>
      </c>
      <c r="B45" s="5" t="s">
        <v>172</v>
      </c>
      <c r="C45" s="5" t="s">
        <v>26</v>
      </c>
      <c r="D45" s="5" t="s">
        <v>173</v>
      </c>
      <c r="E45" s="5" t="n">
        <v>12</v>
      </c>
      <c r="F45" s="6" t="n">
        <v>64.95</v>
      </c>
      <c r="G45" s="6" t="n">
        <v>118.95</v>
      </c>
      <c r="H45" s="12" t="n">
        <f aca="false">1-F45/G45</f>
        <v>0.453972257250946</v>
      </c>
      <c r="I45" s="13" t="n">
        <v>74.95</v>
      </c>
      <c r="J45" s="6" t="n">
        <f aca="false">ROUNDUP(I45/(1-H45),0)-0.05</f>
        <v>137.95</v>
      </c>
      <c r="K45" s="6" t="n">
        <f aca="false">I45-F45</f>
        <v>10</v>
      </c>
      <c r="L45" s="5" t="s">
        <v>27</v>
      </c>
      <c r="M45" s="5" t="n">
        <v>6</v>
      </c>
      <c r="N45" s="6" t="n">
        <v>68.7</v>
      </c>
      <c r="O45" s="6" t="n">
        <v>82.45</v>
      </c>
      <c r="P45" s="6" t="n">
        <f aca="false">O45-I45</f>
        <v>7.5</v>
      </c>
    </row>
    <row r="46" customFormat="false" ht="15" hidden="false" customHeight="false" outlineLevel="0" collapsed="false">
      <c r="A46" s="5" t="s">
        <v>174</v>
      </c>
      <c r="B46" s="5" t="s">
        <v>175</v>
      </c>
      <c r="C46" s="5" t="s">
        <v>26</v>
      </c>
      <c r="D46" s="5" t="s">
        <v>176</v>
      </c>
      <c r="E46" s="5" t="n">
        <v>10</v>
      </c>
      <c r="F46" s="6" t="n">
        <v>64.95</v>
      </c>
      <c r="G46" s="6" t="n">
        <v>118.95</v>
      </c>
      <c r="H46" s="12" t="n">
        <f aca="false">1-F46/G46</f>
        <v>0.453972257250946</v>
      </c>
      <c r="I46" s="13" t="n">
        <v>74.95</v>
      </c>
      <c r="J46" s="6" t="n">
        <f aca="false">ROUNDUP(I46/(1-H46),0)-0.05</f>
        <v>137.95</v>
      </c>
      <c r="K46" s="6" t="n">
        <f aca="false">I46-F46</f>
        <v>10</v>
      </c>
      <c r="L46" s="5" t="s">
        <v>27</v>
      </c>
      <c r="M46" s="5" t="n">
        <v>6</v>
      </c>
      <c r="N46" s="6" t="n">
        <v>68.7</v>
      </c>
      <c r="O46" s="6" t="n">
        <v>82.45</v>
      </c>
      <c r="P46" s="6" t="n">
        <f aca="false">O46-I46</f>
        <v>7.5</v>
      </c>
    </row>
    <row r="47" customFormat="false" ht="15" hidden="false" customHeight="false" outlineLevel="0" collapsed="false">
      <c r="A47" s="5" t="s">
        <v>177</v>
      </c>
      <c r="B47" s="5" t="s">
        <v>178</v>
      </c>
      <c r="C47" s="5" t="s">
        <v>26</v>
      </c>
      <c r="D47" s="5" t="s">
        <v>155</v>
      </c>
      <c r="E47" s="5" t="n">
        <v>35</v>
      </c>
      <c r="F47" s="6" t="n">
        <v>64.95</v>
      </c>
      <c r="G47" s="6" t="n">
        <v>118.95</v>
      </c>
      <c r="H47" s="12" t="n">
        <f aca="false">1-F47/G47</f>
        <v>0.453972257250946</v>
      </c>
      <c r="I47" s="13" t="n">
        <v>74.95</v>
      </c>
      <c r="J47" s="6" t="n">
        <f aca="false">ROUNDUP(I47/(1-H47),0)-0.05</f>
        <v>137.95</v>
      </c>
      <c r="K47" s="6" t="n">
        <f aca="false">I47-F47</f>
        <v>10</v>
      </c>
      <c r="L47" s="5" t="s">
        <v>27</v>
      </c>
      <c r="M47" s="5" t="n">
        <v>6</v>
      </c>
      <c r="N47" s="6" t="n">
        <v>68.7</v>
      </c>
      <c r="O47" s="6" t="n">
        <v>82.45</v>
      </c>
      <c r="P47" s="6" t="n">
        <f aca="false">O47-I47</f>
        <v>7.5</v>
      </c>
    </row>
    <row r="48" customFormat="false" ht="15" hidden="false" customHeight="false" outlineLevel="0" collapsed="false">
      <c r="A48" s="5" t="s">
        <v>179</v>
      </c>
      <c r="B48" s="5" t="s">
        <v>180</v>
      </c>
      <c r="C48" s="5" t="s">
        <v>26</v>
      </c>
      <c r="D48" s="5" t="s">
        <v>176</v>
      </c>
      <c r="E48" s="5" t="n">
        <v>12</v>
      </c>
      <c r="F48" s="6" t="n">
        <v>64.95</v>
      </c>
      <c r="G48" s="6" t="n">
        <v>129.95</v>
      </c>
      <c r="H48" s="12" t="n">
        <f aca="false">1-F48/G48</f>
        <v>0.500192381685264</v>
      </c>
      <c r="I48" s="13" t="n">
        <v>74.95</v>
      </c>
      <c r="J48" s="6" t="n">
        <f aca="false">ROUNDUP(I48/(1-H48),0)-0.05</f>
        <v>149.95</v>
      </c>
      <c r="K48" s="6" t="n">
        <f aca="false">I48-F48</f>
        <v>10</v>
      </c>
      <c r="L48" s="5" t="s">
        <v>27</v>
      </c>
      <c r="M48" s="5" t="n">
        <v>6</v>
      </c>
      <c r="N48" s="6" t="n">
        <v>68.7</v>
      </c>
      <c r="O48" s="6" t="n">
        <v>82.45</v>
      </c>
      <c r="P48" s="6" t="n">
        <f aca="false">O48-I48</f>
        <v>7.5</v>
      </c>
    </row>
    <row r="49" customFormat="false" ht="15" hidden="false" customHeight="false" outlineLevel="0" collapsed="false">
      <c r="A49" s="5" t="s">
        <v>181</v>
      </c>
      <c r="B49" s="5" t="s">
        <v>182</v>
      </c>
      <c r="C49" s="5" t="s">
        <v>26</v>
      </c>
      <c r="D49" s="5" t="s">
        <v>183</v>
      </c>
      <c r="E49" s="5" t="n">
        <v>40</v>
      </c>
      <c r="F49" s="6" t="n">
        <v>64.95</v>
      </c>
      <c r="G49" s="6" t="n">
        <v>118.95</v>
      </c>
      <c r="H49" s="12" t="n">
        <f aca="false">1-F49/G49</f>
        <v>0.453972257250946</v>
      </c>
      <c r="I49" s="13" t="n">
        <v>74.95</v>
      </c>
      <c r="J49" s="6" t="n">
        <f aca="false">ROUNDUP(I49/(1-H49),0)-0.05</f>
        <v>137.95</v>
      </c>
      <c r="K49" s="6" t="n">
        <f aca="false">I49-F49</f>
        <v>10</v>
      </c>
      <c r="L49" s="5" t="s">
        <v>27</v>
      </c>
      <c r="M49" s="5" t="n">
        <v>6</v>
      </c>
      <c r="N49" s="6" t="n">
        <v>68.7</v>
      </c>
      <c r="O49" s="6" t="n">
        <v>82.45</v>
      </c>
      <c r="P49" s="6" t="n">
        <f aca="false">O49-I49</f>
        <v>7.5</v>
      </c>
    </row>
    <row r="50" customFormat="false" ht="15" hidden="false" customHeight="false" outlineLevel="0" collapsed="false">
      <c r="A50" s="5" t="s">
        <v>184</v>
      </c>
      <c r="B50" s="5" t="s">
        <v>185</v>
      </c>
      <c r="C50" s="5" t="s">
        <v>26</v>
      </c>
      <c r="D50" s="5" t="s">
        <v>155</v>
      </c>
      <c r="E50" s="5" t="n">
        <v>21</v>
      </c>
      <c r="F50" s="6" t="n">
        <v>64.95</v>
      </c>
      <c r="G50" s="6" t="n">
        <v>118.95</v>
      </c>
      <c r="H50" s="12" t="n">
        <f aca="false">1-F50/G50</f>
        <v>0.453972257250946</v>
      </c>
      <c r="I50" s="13" t="n">
        <v>74.95</v>
      </c>
      <c r="J50" s="6" t="n">
        <f aca="false">ROUNDUP(I50/(1-H50),0)-0.05</f>
        <v>137.95</v>
      </c>
      <c r="K50" s="6" t="n">
        <f aca="false">I50-F50</f>
        <v>10</v>
      </c>
      <c r="L50" s="5" t="s">
        <v>27</v>
      </c>
      <c r="M50" s="5" t="n">
        <v>6</v>
      </c>
      <c r="N50" s="6" t="n">
        <v>68.7</v>
      </c>
      <c r="O50" s="6" t="n">
        <v>82.45</v>
      </c>
      <c r="P50" s="6" t="n">
        <f aca="false">O50-I50</f>
        <v>7.5</v>
      </c>
    </row>
    <row r="51" customFormat="false" ht="15" hidden="false" customHeight="false" outlineLevel="0" collapsed="false">
      <c r="A51" s="5" t="s">
        <v>186</v>
      </c>
      <c r="B51" s="5" t="s">
        <v>187</v>
      </c>
      <c r="C51" s="5" t="s">
        <v>28</v>
      </c>
      <c r="D51" s="5" t="s">
        <v>183</v>
      </c>
      <c r="E51" s="5" t="n">
        <v>44</v>
      </c>
      <c r="F51" s="6" t="n">
        <v>54.95</v>
      </c>
      <c r="G51" s="6" t="n">
        <v>99.95</v>
      </c>
      <c r="H51" s="12" t="n">
        <f aca="false">1-F51/G51</f>
        <v>0.450225112556278</v>
      </c>
      <c r="I51" s="13" t="n">
        <v>59.95</v>
      </c>
      <c r="J51" s="6" t="n">
        <f aca="false">ROUNDUP(I51/(1-H51),0)-0.05</f>
        <v>109.95</v>
      </c>
      <c r="K51" s="6" t="n">
        <f aca="false">I51-F51</f>
        <v>5</v>
      </c>
      <c r="L51" s="5" t="s">
        <v>29</v>
      </c>
      <c r="M51" s="5" t="n">
        <v>22</v>
      </c>
      <c r="N51" s="6" t="n">
        <v>64.95</v>
      </c>
      <c r="O51" s="6" t="n">
        <v>64.95</v>
      </c>
      <c r="P51" s="6" t="n">
        <f aca="false">O51-I51</f>
        <v>5</v>
      </c>
    </row>
    <row r="52" customFormat="false" ht="15" hidden="false" customHeight="false" outlineLevel="0" collapsed="false">
      <c r="A52" s="5" t="s">
        <v>188</v>
      </c>
      <c r="B52" s="5" t="s">
        <v>189</v>
      </c>
      <c r="C52" s="5" t="s">
        <v>28</v>
      </c>
      <c r="D52" s="5" t="s">
        <v>190</v>
      </c>
      <c r="E52" s="5" t="n">
        <v>39</v>
      </c>
      <c r="F52" s="6" t="n">
        <v>54.95</v>
      </c>
      <c r="G52" s="6" t="n">
        <v>109.95</v>
      </c>
      <c r="H52" s="12" t="n">
        <f aca="false">1-F52/G52</f>
        <v>0.500227376080036</v>
      </c>
      <c r="I52" s="13" t="n">
        <v>59.95</v>
      </c>
      <c r="J52" s="6" t="n">
        <f aca="false">ROUNDUP(I52/(1-H52),0)-0.05</f>
        <v>119.95</v>
      </c>
      <c r="K52" s="6" t="n">
        <f aca="false">I52-F52</f>
        <v>5</v>
      </c>
      <c r="L52" s="5" t="s">
        <v>29</v>
      </c>
      <c r="M52" s="5" t="n">
        <v>22</v>
      </c>
      <c r="N52" s="6" t="n">
        <v>64.95</v>
      </c>
      <c r="O52" s="6" t="n">
        <v>64.95</v>
      </c>
      <c r="P52" s="6" t="n">
        <f aca="false">O52-I52</f>
        <v>5</v>
      </c>
    </row>
    <row r="53" customFormat="false" ht="15" hidden="false" customHeight="false" outlineLevel="0" collapsed="false">
      <c r="A53" s="5" t="s">
        <v>191</v>
      </c>
      <c r="B53" s="5" t="s">
        <v>192</v>
      </c>
      <c r="C53" s="5" t="s">
        <v>28</v>
      </c>
      <c r="D53" s="5" t="s">
        <v>193</v>
      </c>
      <c r="E53" s="5" t="n">
        <v>1</v>
      </c>
      <c r="F53" s="6" t="n">
        <v>54.95</v>
      </c>
      <c r="G53" s="6" t="n">
        <v>99.95</v>
      </c>
      <c r="H53" s="12" t="n">
        <f aca="false">1-F53/G53</f>
        <v>0.450225112556278</v>
      </c>
      <c r="I53" s="13" t="n">
        <v>59.95</v>
      </c>
      <c r="J53" s="6" t="n">
        <f aca="false">ROUNDUP(I53/(1-H53),0)-0.05</f>
        <v>109.95</v>
      </c>
      <c r="K53" s="6" t="n">
        <f aca="false">I53-F53</f>
        <v>5</v>
      </c>
      <c r="L53" s="5" t="s">
        <v>29</v>
      </c>
      <c r="M53" s="5" t="n">
        <v>22</v>
      </c>
      <c r="N53" s="6" t="n">
        <v>64.95</v>
      </c>
      <c r="O53" s="6" t="n">
        <v>64.95</v>
      </c>
      <c r="P53" s="6" t="n">
        <f aca="false">O53-I53</f>
        <v>5</v>
      </c>
    </row>
    <row r="54" customFormat="false" ht="15" hidden="false" customHeight="false" outlineLevel="0" collapsed="false">
      <c r="A54" s="5" t="s">
        <v>194</v>
      </c>
      <c r="B54" s="5" t="s">
        <v>195</v>
      </c>
      <c r="C54" s="5" t="s">
        <v>28</v>
      </c>
      <c r="D54" s="5" t="s">
        <v>196</v>
      </c>
      <c r="E54" s="5" t="n">
        <v>32</v>
      </c>
      <c r="F54" s="6" t="n">
        <v>54.95</v>
      </c>
      <c r="G54" s="6" t="n">
        <v>91.95</v>
      </c>
      <c r="H54" s="12" t="n">
        <f aca="false">1-F54/G54</f>
        <v>0.402392604676455</v>
      </c>
      <c r="I54" s="13" t="n">
        <v>59.95</v>
      </c>
      <c r="J54" s="6" t="n">
        <f aca="false">ROUNDUP(I54/(1-H54),0)-0.05</f>
        <v>100.95</v>
      </c>
      <c r="K54" s="6" t="n">
        <f aca="false">I54-F54</f>
        <v>5</v>
      </c>
      <c r="L54" s="5" t="s">
        <v>29</v>
      </c>
      <c r="M54" s="5" t="n">
        <v>22</v>
      </c>
      <c r="N54" s="6" t="n">
        <v>64.95</v>
      </c>
      <c r="O54" s="6" t="n">
        <v>64.95</v>
      </c>
      <c r="P54" s="6" t="n">
        <f aca="false">O54-I54</f>
        <v>5</v>
      </c>
    </row>
    <row r="55" customFormat="false" ht="15" hidden="false" customHeight="false" outlineLevel="0" collapsed="false">
      <c r="A55" s="5" t="s">
        <v>197</v>
      </c>
      <c r="B55" s="5" t="s">
        <v>198</v>
      </c>
      <c r="C55" s="5" t="s">
        <v>28</v>
      </c>
      <c r="D55" s="5" t="s">
        <v>183</v>
      </c>
      <c r="E55" s="5" t="n">
        <v>14</v>
      </c>
      <c r="F55" s="6" t="n">
        <v>54.95</v>
      </c>
      <c r="G55" s="6" t="n">
        <v>99.95</v>
      </c>
      <c r="H55" s="12" t="n">
        <f aca="false">1-F55/G55</f>
        <v>0.450225112556278</v>
      </c>
      <c r="I55" s="13" t="n">
        <v>59.95</v>
      </c>
      <c r="J55" s="6" t="n">
        <f aca="false">ROUNDUP(I55/(1-H55),0)-0.05</f>
        <v>109.95</v>
      </c>
      <c r="K55" s="6" t="n">
        <f aca="false">I55-F55</f>
        <v>5</v>
      </c>
      <c r="L55" s="5" t="s">
        <v>29</v>
      </c>
      <c r="M55" s="5" t="n">
        <v>22</v>
      </c>
      <c r="N55" s="6" t="n">
        <v>64.95</v>
      </c>
      <c r="O55" s="6" t="n">
        <v>64.95</v>
      </c>
      <c r="P55" s="6" t="n">
        <f aca="false">O55-I55</f>
        <v>5</v>
      </c>
    </row>
    <row r="56" customFormat="false" ht="15" hidden="false" customHeight="false" outlineLevel="0" collapsed="false">
      <c r="A56" s="5" t="s">
        <v>199</v>
      </c>
      <c r="B56" s="5" t="s">
        <v>200</v>
      </c>
      <c r="C56" s="5" t="s">
        <v>28</v>
      </c>
      <c r="D56" s="5" t="s">
        <v>193</v>
      </c>
      <c r="E56" s="5" t="n">
        <v>27</v>
      </c>
      <c r="F56" s="6" t="n">
        <v>54.95</v>
      </c>
      <c r="G56" s="6" t="n">
        <v>109.95</v>
      </c>
      <c r="H56" s="12" t="n">
        <f aca="false">1-F56/G56</f>
        <v>0.500227376080036</v>
      </c>
      <c r="I56" s="13" t="n">
        <v>59.95</v>
      </c>
      <c r="J56" s="6" t="n">
        <f aca="false">ROUNDUP(I56/(1-H56),0)-0.05</f>
        <v>119.95</v>
      </c>
      <c r="K56" s="6" t="n">
        <f aca="false">I56-F56</f>
        <v>5</v>
      </c>
      <c r="L56" s="5" t="s">
        <v>29</v>
      </c>
      <c r="M56" s="5" t="n">
        <v>22</v>
      </c>
      <c r="N56" s="6" t="n">
        <v>64.95</v>
      </c>
      <c r="O56" s="6" t="n">
        <v>64.95</v>
      </c>
      <c r="P56" s="6" t="n">
        <f aca="false">O56-I56</f>
        <v>5</v>
      </c>
    </row>
    <row r="57" customFormat="false" ht="15" hidden="false" customHeight="false" outlineLevel="0" collapsed="false">
      <c r="A57" s="5" t="s">
        <v>201</v>
      </c>
      <c r="B57" s="5" t="s">
        <v>202</v>
      </c>
      <c r="C57" s="5" t="s">
        <v>28</v>
      </c>
      <c r="D57" s="5" t="s">
        <v>193</v>
      </c>
      <c r="E57" s="5" t="n">
        <v>45</v>
      </c>
      <c r="F57" s="6" t="n">
        <v>54.95</v>
      </c>
      <c r="G57" s="6" t="n">
        <v>99.95</v>
      </c>
      <c r="H57" s="12" t="n">
        <f aca="false">1-F57/G57</f>
        <v>0.450225112556278</v>
      </c>
      <c r="I57" s="13" t="n">
        <v>59.95</v>
      </c>
      <c r="J57" s="6" t="n">
        <f aca="false">ROUNDUP(I57/(1-H57),0)-0.05</f>
        <v>109.95</v>
      </c>
      <c r="K57" s="6" t="n">
        <f aca="false">I57-F57</f>
        <v>5</v>
      </c>
      <c r="L57" s="5" t="s">
        <v>29</v>
      </c>
      <c r="M57" s="5" t="n">
        <v>22</v>
      </c>
      <c r="N57" s="6" t="n">
        <v>64.95</v>
      </c>
      <c r="O57" s="6" t="n">
        <v>64.95</v>
      </c>
      <c r="P57" s="6" t="n">
        <f aca="false">O57-I57</f>
        <v>5</v>
      </c>
    </row>
    <row r="58" customFormat="false" ht="15" hidden="false" customHeight="false" outlineLevel="0" collapsed="false">
      <c r="A58" s="5" t="s">
        <v>203</v>
      </c>
      <c r="B58" s="5" t="s">
        <v>204</v>
      </c>
      <c r="C58" s="5" t="s">
        <v>28</v>
      </c>
      <c r="D58" s="5" t="s">
        <v>193</v>
      </c>
      <c r="E58" s="5" t="n">
        <v>18</v>
      </c>
      <c r="F58" s="6" t="n">
        <v>54.95</v>
      </c>
      <c r="G58" s="6" t="n">
        <v>99.95</v>
      </c>
      <c r="H58" s="12" t="n">
        <f aca="false">1-F58/G58</f>
        <v>0.450225112556278</v>
      </c>
      <c r="I58" s="13" t="n">
        <v>59.95</v>
      </c>
      <c r="J58" s="6" t="n">
        <f aca="false">ROUNDUP(I58/(1-H58),0)-0.05</f>
        <v>109.95</v>
      </c>
      <c r="K58" s="6" t="n">
        <f aca="false">I58-F58</f>
        <v>5</v>
      </c>
      <c r="L58" s="5" t="s">
        <v>29</v>
      </c>
      <c r="M58" s="5" t="n">
        <v>22</v>
      </c>
      <c r="N58" s="6" t="n">
        <v>64.95</v>
      </c>
      <c r="O58" s="6" t="n">
        <v>64.95</v>
      </c>
      <c r="P58" s="6" t="n">
        <f aca="false">O58-I58</f>
        <v>5</v>
      </c>
    </row>
    <row r="59" customFormat="false" ht="15" hidden="false" customHeight="false" outlineLevel="0" collapsed="false">
      <c r="A59" s="5" t="s">
        <v>205</v>
      </c>
      <c r="B59" s="5" t="s">
        <v>206</v>
      </c>
      <c r="C59" s="5" t="s">
        <v>28</v>
      </c>
      <c r="D59" s="5" t="s">
        <v>207</v>
      </c>
      <c r="E59" s="5" t="n">
        <v>12</v>
      </c>
      <c r="F59" s="6" t="n">
        <v>54.95</v>
      </c>
      <c r="G59" s="6" t="n">
        <v>91.95</v>
      </c>
      <c r="H59" s="12" t="n">
        <f aca="false">1-F59/G59</f>
        <v>0.402392604676455</v>
      </c>
      <c r="I59" s="13" t="n">
        <v>59.95</v>
      </c>
      <c r="J59" s="6" t="n">
        <f aca="false">ROUNDUP(I59/(1-H59),0)-0.05</f>
        <v>100.95</v>
      </c>
      <c r="K59" s="6" t="n">
        <f aca="false">I59-F59</f>
        <v>5</v>
      </c>
      <c r="L59" s="5" t="s">
        <v>29</v>
      </c>
      <c r="M59" s="5" t="n">
        <v>22</v>
      </c>
      <c r="N59" s="6" t="n">
        <v>64.95</v>
      </c>
      <c r="O59" s="6" t="n">
        <v>64.95</v>
      </c>
      <c r="P59" s="6" t="n">
        <f aca="false">O59-I59</f>
        <v>5</v>
      </c>
    </row>
    <row r="60" customFormat="false" ht="15" hidden="false" customHeight="false" outlineLevel="0" collapsed="false">
      <c r="A60" s="5" t="s">
        <v>208</v>
      </c>
      <c r="B60" s="5" t="s">
        <v>209</v>
      </c>
      <c r="C60" s="5" t="s">
        <v>28</v>
      </c>
      <c r="D60" s="5" t="s">
        <v>210</v>
      </c>
      <c r="E60" s="5" t="n">
        <v>18</v>
      </c>
      <c r="F60" s="6" t="n">
        <v>54.95</v>
      </c>
      <c r="G60" s="6" t="n">
        <v>109.95</v>
      </c>
      <c r="H60" s="12" t="n">
        <f aca="false">1-F60/G60</f>
        <v>0.500227376080036</v>
      </c>
      <c r="I60" s="13" t="n">
        <v>59.95</v>
      </c>
      <c r="J60" s="6" t="n">
        <f aca="false">ROUNDUP(I60/(1-H60),0)-0.05</f>
        <v>119.95</v>
      </c>
      <c r="K60" s="6" t="n">
        <f aca="false">I60-F60</f>
        <v>5</v>
      </c>
      <c r="L60" s="5" t="s">
        <v>29</v>
      </c>
      <c r="M60" s="5" t="n">
        <v>22</v>
      </c>
      <c r="N60" s="6" t="n">
        <v>64.95</v>
      </c>
      <c r="O60" s="6" t="n">
        <v>64.95</v>
      </c>
      <c r="P60" s="6" t="n">
        <f aca="false">O60-I60</f>
        <v>5</v>
      </c>
    </row>
    <row r="61" customFormat="false" ht="15" hidden="false" customHeight="false" outlineLevel="0" collapsed="false">
      <c r="A61" s="5" t="s">
        <v>211</v>
      </c>
      <c r="B61" s="5" t="s">
        <v>212</v>
      </c>
      <c r="C61" s="5" t="s">
        <v>28</v>
      </c>
      <c r="D61" s="5" t="s">
        <v>176</v>
      </c>
      <c r="E61" s="5" t="n">
        <v>70</v>
      </c>
      <c r="F61" s="6" t="n">
        <v>54.95</v>
      </c>
      <c r="G61" s="6" t="n">
        <v>109.95</v>
      </c>
      <c r="H61" s="12" t="n">
        <f aca="false">1-F61/G61</f>
        <v>0.500227376080036</v>
      </c>
      <c r="I61" s="13" t="n">
        <v>59.95</v>
      </c>
      <c r="J61" s="6" t="n">
        <f aca="false">ROUNDUP(I61/(1-H61),0)-0.05</f>
        <v>119.95</v>
      </c>
      <c r="K61" s="6" t="n">
        <f aca="false">I61-F61</f>
        <v>5</v>
      </c>
      <c r="L61" s="5" t="s">
        <v>29</v>
      </c>
      <c r="M61" s="5" t="n">
        <v>22</v>
      </c>
      <c r="N61" s="6" t="n">
        <v>64.95</v>
      </c>
      <c r="O61" s="6" t="n">
        <v>64.95</v>
      </c>
      <c r="P61" s="6" t="n">
        <f aca="false">O61-I61</f>
        <v>5</v>
      </c>
    </row>
    <row r="62" customFormat="false" ht="15" hidden="false" customHeight="false" outlineLevel="0" collapsed="false">
      <c r="A62" s="5" t="s">
        <v>213</v>
      </c>
      <c r="B62" s="5" t="s">
        <v>214</v>
      </c>
      <c r="C62" s="5" t="s">
        <v>28</v>
      </c>
      <c r="D62" s="5" t="s">
        <v>176</v>
      </c>
      <c r="E62" s="5" t="n">
        <v>77</v>
      </c>
      <c r="F62" s="6" t="n">
        <v>54.95</v>
      </c>
      <c r="G62" s="6" t="n">
        <v>99.95</v>
      </c>
      <c r="H62" s="12" t="n">
        <f aca="false">1-F62/G62</f>
        <v>0.450225112556278</v>
      </c>
      <c r="I62" s="13" t="n">
        <v>59.95</v>
      </c>
      <c r="J62" s="6" t="n">
        <f aca="false">ROUNDUP(I62/(1-H62),0)-0.05</f>
        <v>109.95</v>
      </c>
      <c r="K62" s="6" t="n">
        <f aca="false">I62-F62</f>
        <v>5</v>
      </c>
      <c r="L62" s="5" t="s">
        <v>29</v>
      </c>
      <c r="M62" s="5" t="n">
        <v>22</v>
      </c>
      <c r="N62" s="6" t="n">
        <v>64.95</v>
      </c>
      <c r="O62" s="6" t="n">
        <v>64.95</v>
      </c>
      <c r="P62" s="6" t="n">
        <f aca="false">O62-I62</f>
        <v>5</v>
      </c>
    </row>
    <row r="63" customFormat="false" ht="15" hidden="false" customHeight="false" outlineLevel="0" collapsed="false">
      <c r="A63" s="5" t="s">
        <v>215</v>
      </c>
      <c r="B63" s="5" t="s">
        <v>216</v>
      </c>
      <c r="C63" s="5" t="s">
        <v>28</v>
      </c>
      <c r="D63" s="5" t="s">
        <v>84</v>
      </c>
      <c r="E63" s="5" t="n">
        <v>45</v>
      </c>
      <c r="F63" s="6" t="n">
        <v>54.95</v>
      </c>
      <c r="G63" s="6" t="n">
        <v>99.95</v>
      </c>
      <c r="H63" s="12" t="n">
        <f aca="false">1-F63/G63</f>
        <v>0.450225112556278</v>
      </c>
      <c r="I63" s="13" t="n">
        <v>59.95</v>
      </c>
      <c r="J63" s="6" t="n">
        <f aca="false">ROUNDUP(I63/(1-H63),0)-0.05</f>
        <v>109.95</v>
      </c>
      <c r="K63" s="6" t="n">
        <f aca="false">I63-F63</f>
        <v>5</v>
      </c>
      <c r="L63" s="5" t="s">
        <v>29</v>
      </c>
      <c r="M63" s="5" t="n">
        <v>22</v>
      </c>
      <c r="N63" s="6" t="n">
        <v>64.95</v>
      </c>
      <c r="O63" s="6" t="n">
        <v>64.95</v>
      </c>
      <c r="P63" s="6" t="n">
        <f aca="false">O63-I63</f>
        <v>5</v>
      </c>
    </row>
    <row r="64" customFormat="false" ht="15" hidden="false" customHeight="false" outlineLevel="0" collapsed="false">
      <c r="A64" s="5" t="s">
        <v>217</v>
      </c>
      <c r="B64" s="5" t="s">
        <v>218</v>
      </c>
      <c r="C64" s="5" t="s">
        <v>28</v>
      </c>
      <c r="D64" s="5" t="s">
        <v>219</v>
      </c>
      <c r="E64" s="5" t="n">
        <v>55</v>
      </c>
      <c r="F64" s="6" t="n">
        <v>54.95</v>
      </c>
      <c r="G64" s="6" t="n">
        <v>109.95</v>
      </c>
      <c r="H64" s="12" t="n">
        <f aca="false">1-F64/G64</f>
        <v>0.500227376080036</v>
      </c>
      <c r="I64" s="13" t="n">
        <v>59.95</v>
      </c>
      <c r="J64" s="6" t="n">
        <f aca="false">ROUNDUP(I64/(1-H64),0)-0.05</f>
        <v>119.95</v>
      </c>
      <c r="K64" s="6" t="n">
        <f aca="false">I64-F64</f>
        <v>5</v>
      </c>
      <c r="L64" s="5" t="s">
        <v>29</v>
      </c>
      <c r="M64" s="5" t="n">
        <v>22</v>
      </c>
      <c r="N64" s="6" t="n">
        <v>64.95</v>
      </c>
      <c r="O64" s="6" t="n">
        <v>64.95</v>
      </c>
      <c r="P64" s="6" t="n">
        <f aca="false">O64-I64</f>
        <v>5</v>
      </c>
    </row>
    <row r="65" customFormat="false" ht="15" hidden="false" customHeight="false" outlineLevel="0" collapsed="false">
      <c r="A65" s="5" t="s">
        <v>220</v>
      </c>
      <c r="B65" s="5" t="s">
        <v>221</v>
      </c>
      <c r="C65" s="5" t="s">
        <v>28</v>
      </c>
      <c r="D65" s="5" t="s">
        <v>222</v>
      </c>
      <c r="E65" s="5" t="n">
        <v>100</v>
      </c>
      <c r="F65" s="6" t="n">
        <v>54.95</v>
      </c>
      <c r="G65" s="6" t="n">
        <v>99.95</v>
      </c>
      <c r="H65" s="12" t="n">
        <f aca="false">1-F65/G65</f>
        <v>0.450225112556278</v>
      </c>
      <c r="I65" s="13" t="n">
        <v>59.95</v>
      </c>
      <c r="J65" s="6" t="n">
        <f aca="false">ROUNDUP(I65/(1-H65),0)-0.05</f>
        <v>109.95</v>
      </c>
      <c r="K65" s="6" t="n">
        <f aca="false">I65-F65</f>
        <v>5</v>
      </c>
      <c r="L65" s="5" t="s">
        <v>29</v>
      </c>
      <c r="M65" s="5" t="n">
        <v>22</v>
      </c>
      <c r="N65" s="6" t="n">
        <v>64.95</v>
      </c>
      <c r="O65" s="6" t="n">
        <v>64.95</v>
      </c>
      <c r="P65" s="6" t="n">
        <f aca="false">O65-I65</f>
        <v>5</v>
      </c>
    </row>
    <row r="66" customFormat="false" ht="15" hidden="false" customHeight="false" outlineLevel="0" collapsed="false">
      <c r="A66" s="5" t="s">
        <v>223</v>
      </c>
      <c r="B66" s="5" t="s">
        <v>224</v>
      </c>
      <c r="C66" s="5" t="s">
        <v>28</v>
      </c>
      <c r="D66" s="5" t="s">
        <v>193</v>
      </c>
      <c r="E66" s="5" t="n">
        <v>21</v>
      </c>
      <c r="F66" s="6" t="n">
        <v>54.95</v>
      </c>
      <c r="G66" s="6" t="n">
        <v>109.95</v>
      </c>
      <c r="H66" s="12" t="n">
        <f aca="false">1-F66/G66</f>
        <v>0.500227376080036</v>
      </c>
      <c r="I66" s="13" t="n">
        <v>59.95</v>
      </c>
      <c r="J66" s="6" t="n">
        <f aca="false">ROUNDUP(I66/(1-H66),0)-0.05</f>
        <v>119.95</v>
      </c>
      <c r="K66" s="6" t="n">
        <f aca="false">I66-F66</f>
        <v>5</v>
      </c>
      <c r="L66" s="5" t="s">
        <v>29</v>
      </c>
      <c r="M66" s="5" t="n">
        <v>22</v>
      </c>
      <c r="N66" s="6" t="n">
        <v>64.95</v>
      </c>
      <c r="O66" s="6" t="n">
        <v>64.95</v>
      </c>
      <c r="P66" s="6" t="n">
        <f aca="false">O66-I66</f>
        <v>5</v>
      </c>
    </row>
    <row r="67" customFormat="false" ht="15" hidden="false" customHeight="false" outlineLevel="0" collapsed="false">
      <c r="A67" s="5" t="s">
        <v>225</v>
      </c>
      <c r="B67" s="5" t="s">
        <v>226</v>
      </c>
      <c r="C67" s="5" t="s">
        <v>16</v>
      </c>
      <c r="D67" s="5" t="s">
        <v>227</v>
      </c>
      <c r="E67" s="5" t="n">
        <v>28</v>
      </c>
      <c r="F67" s="6" t="n">
        <v>54.95</v>
      </c>
      <c r="G67" s="6" t="n">
        <v>91.95</v>
      </c>
      <c r="H67" s="12" t="n">
        <f aca="false">1-F67/G67</f>
        <v>0.402392604676455</v>
      </c>
      <c r="I67" s="13" t="n">
        <v>54.95</v>
      </c>
      <c r="J67" s="6" t="n">
        <f aca="false">ROUNDUP(I67/(1-H67),0)-0.05</f>
        <v>91.95</v>
      </c>
      <c r="K67" s="6" t="n">
        <f aca="false">I67-F67</f>
        <v>0</v>
      </c>
      <c r="L67" s="5" t="s">
        <v>17</v>
      </c>
      <c r="M67" s="5" t="n">
        <v>6</v>
      </c>
      <c r="N67" s="6" t="n">
        <v>54.95</v>
      </c>
      <c r="O67" s="6" t="n">
        <v>54.95</v>
      </c>
      <c r="P67" s="6" t="n">
        <f aca="false">O67-I67</f>
        <v>0</v>
      </c>
    </row>
    <row r="68" customFormat="false" ht="15" hidden="false" customHeight="false" outlineLevel="0" collapsed="false">
      <c r="A68" s="5" t="s">
        <v>228</v>
      </c>
      <c r="B68" s="5" t="s">
        <v>229</v>
      </c>
      <c r="C68" s="5" t="s">
        <v>16</v>
      </c>
      <c r="D68" s="5" t="s">
        <v>227</v>
      </c>
      <c r="E68" s="5" t="n">
        <v>28</v>
      </c>
      <c r="F68" s="6" t="n">
        <v>54.95</v>
      </c>
      <c r="G68" s="6" t="n">
        <v>91.95</v>
      </c>
      <c r="H68" s="12" t="n">
        <f aca="false">1-F68/G68</f>
        <v>0.402392604676455</v>
      </c>
      <c r="I68" s="13" t="n">
        <v>54.95</v>
      </c>
      <c r="J68" s="6" t="n">
        <f aca="false">ROUNDUP(I68/(1-H68),0)-0.05</f>
        <v>91.95</v>
      </c>
      <c r="K68" s="6" t="n">
        <f aca="false">I68-F68</f>
        <v>0</v>
      </c>
      <c r="L68" s="5" t="s">
        <v>17</v>
      </c>
      <c r="M68" s="5" t="n">
        <v>6</v>
      </c>
      <c r="N68" s="6" t="n">
        <v>54.95</v>
      </c>
      <c r="O68" s="6" t="n">
        <v>54.95</v>
      </c>
      <c r="P68" s="6" t="n">
        <f aca="false">O68-I68</f>
        <v>0</v>
      </c>
    </row>
    <row r="69" customFormat="false" ht="15" hidden="false" customHeight="false" outlineLevel="0" collapsed="false">
      <c r="A69" s="5" t="s">
        <v>230</v>
      </c>
      <c r="B69" s="5" t="s">
        <v>231</v>
      </c>
      <c r="C69" s="5" t="s">
        <v>16</v>
      </c>
      <c r="D69" s="5" t="s">
        <v>232</v>
      </c>
      <c r="E69" s="5" t="n">
        <v>28</v>
      </c>
      <c r="F69" s="6" t="n">
        <v>54.95</v>
      </c>
      <c r="G69" s="6" t="n">
        <v>99.95</v>
      </c>
      <c r="H69" s="12" t="n">
        <f aca="false">1-F69/G69</f>
        <v>0.450225112556278</v>
      </c>
      <c r="I69" s="13" t="n">
        <v>54.95</v>
      </c>
      <c r="J69" s="6" t="n">
        <f aca="false">ROUNDUP(I69/(1-H69),0)-0.05</f>
        <v>99.95</v>
      </c>
      <c r="K69" s="6" t="n">
        <f aca="false">I69-F69</f>
        <v>0</v>
      </c>
      <c r="L69" s="5" t="s">
        <v>17</v>
      </c>
      <c r="M69" s="5" t="n">
        <v>6</v>
      </c>
      <c r="N69" s="6" t="n">
        <v>54.95</v>
      </c>
      <c r="O69" s="6" t="n">
        <v>54.95</v>
      </c>
      <c r="P69" s="6" t="n">
        <f aca="false">O69-I69</f>
        <v>0</v>
      </c>
    </row>
    <row r="70" customFormat="false" ht="15" hidden="false" customHeight="false" outlineLevel="0" collapsed="false">
      <c r="A70" s="5" t="s">
        <v>233</v>
      </c>
      <c r="B70" s="5" t="s">
        <v>234</v>
      </c>
      <c r="C70" s="5" t="s">
        <v>16</v>
      </c>
      <c r="D70" s="5" t="s">
        <v>232</v>
      </c>
      <c r="E70" s="5" t="n">
        <v>35</v>
      </c>
      <c r="F70" s="6" t="n">
        <v>54.95</v>
      </c>
      <c r="G70" s="6" t="n">
        <v>99.95</v>
      </c>
      <c r="H70" s="12" t="n">
        <f aca="false">1-F70/G70</f>
        <v>0.450225112556278</v>
      </c>
      <c r="I70" s="13" t="n">
        <v>54.95</v>
      </c>
      <c r="J70" s="6" t="n">
        <f aca="false">ROUNDUP(I70/(1-H70),0)-0.05</f>
        <v>99.95</v>
      </c>
      <c r="K70" s="6" t="n">
        <f aca="false">I70-F70</f>
        <v>0</v>
      </c>
      <c r="L70" s="5" t="s">
        <v>17</v>
      </c>
      <c r="M70" s="5" t="n">
        <v>6</v>
      </c>
      <c r="N70" s="6" t="n">
        <v>54.95</v>
      </c>
      <c r="O70" s="6" t="n">
        <v>54.95</v>
      </c>
      <c r="P70" s="6" t="n">
        <f aca="false">O70-I70</f>
        <v>0</v>
      </c>
    </row>
    <row r="71" customFormat="false" ht="15" hidden="false" customHeight="false" outlineLevel="0" collapsed="false">
      <c r="A71" s="5" t="s">
        <v>235</v>
      </c>
      <c r="B71" s="5" t="s">
        <v>236</v>
      </c>
      <c r="C71" s="5" t="s">
        <v>16</v>
      </c>
      <c r="D71" s="5" t="s">
        <v>232</v>
      </c>
      <c r="E71" s="5" t="n">
        <v>32</v>
      </c>
      <c r="F71" s="6" t="n">
        <v>54.95</v>
      </c>
      <c r="G71" s="6" t="n">
        <v>99.95</v>
      </c>
      <c r="H71" s="12" t="n">
        <f aca="false">1-F71/G71</f>
        <v>0.450225112556278</v>
      </c>
      <c r="I71" s="13" t="n">
        <v>54.95</v>
      </c>
      <c r="J71" s="6" t="n">
        <f aca="false">ROUNDUP(I71/(1-H71),0)-0.05</f>
        <v>99.95</v>
      </c>
      <c r="K71" s="6" t="n">
        <f aca="false">I71-F71</f>
        <v>0</v>
      </c>
      <c r="L71" s="5" t="s">
        <v>17</v>
      </c>
      <c r="M71" s="5" t="n">
        <v>6</v>
      </c>
      <c r="N71" s="6" t="n">
        <v>54.95</v>
      </c>
      <c r="O71" s="6" t="n">
        <v>54.95</v>
      </c>
      <c r="P71" s="6" t="n">
        <f aca="false">O71-I71</f>
        <v>0</v>
      </c>
    </row>
    <row r="72" customFormat="false" ht="15" hidden="false" customHeight="false" outlineLevel="0" collapsed="false">
      <c r="A72" s="5" t="s">
        <v>237</v>
      </c>
      <c r="B72" s="5" t="s">
        <v>238</v>
      </c>
      <c r="C72" s="5" t="s">
        <v>16</v>
      </c>
      <c r="D72" s="5" t="s">
        <v>227</v>
      </c>
      <c r="E72" s="5" t="n">
        <v>35</v>
      </c>
      <c r="F72" s="6" t="n">
        <v>54.95</v>
      </c>
      <c r="G72" s="6" t="n">
        <v>109.95</v>
      </c>
      <c r="H72" s="12" t="n">
        <f aca="false">1-F72/G72</f>
        <v>0.500227376080036</v>
      </c>
      <c r="I72" s="13" t="n">
        <v>54.95</v>
      </c>
      <c r="J72" s="6" t="n">
        <f aca="false">ROUNDUP(I72/(1-H72),0)-0.05</f>
        <v>109.95</v>
      </c>
      <c r="K72" s="6" t="n">
        <f aca="false">I72-F72</f>
        <v>0</v>
      </c>
      <c r="L72" s="5" t="s">
        <v>17</v>
      </c>
      <c r="M72" s="5" t="n">
        <v>6</v>
      </c>
      <c r="N72" s="6" t="n">
        <v>54.95</v>
      </c>
      <c r="O72" s="6" t="n">
        <v>54.95</v>
      </c>
      <c r="P72" s="6" t="n">
        <f aca="false">O72-I72</f>
        <v>0</v>
      </c>
    </row>
    <row r="73" customFormat="false" ht="15" hidden="false" customHeight="false" outlineLevel="0" collapsed="false">
      <c r="A73" s="5" t="s">
        <v>239</v>
      </c>
      <c r="B73" s="5" t="s">
        <v>240</v>
      </c>
      <c r="C73" s="5" t="s">
        <v>16</v>
      </c>
      <c r="D73" s="5" t="s">
        <v>241</v>
      </c>
      <c r="E73" s="5" t="n">
        <v>56</v>
      </c>
      <c r="F73" s="6" t="n">
        <v>54.95</v>
      </c>
      <c r="G73" s="6" t="n">
        <v>91.95</v>
      </c>
      <c r="H73" s="12" t="n">
        <f aca="false">1-F73/G73</f>
        <v>0.402392604676455</v>
      </c>
      <c r="I73" s="13" t="n">
        <v>54.95</v>
      </c>
      <c r="J73" s="6" t="n">
        <f aca="false">ROUNDUP(I73/(1-H73),0)-0.05</f>
        <v>91.95</v>
      </c>
      <c r="K73" s="6" t="n">
        <f aca="false">I73-F73</f>
        <v>0</v>
      </c>
      <c r="L73" s="5" t="s">
        <v>17</v>
      </c>
      <c r="M73" s="5" t="n">
        <v>6</v>
      </c>
      <c r="N73" s="6" t="n">
        <v>54.95</v>
      </c>
      <c r="O73" s="6" t="n">
        <v>54.95</v>
      </c>
      <c r="P73" s="6" t="n">
        <f aca="false">O73-I73</f>
        <v>0</v>
      </c>
    </row>
    <row r="74" customFormat="false" ht="15" hidden="false" customHeight="false" outlineLevel="0" collapsed="false">
      <c r="A74" s="5" t="s">
        <v>242</v>
      </c>
      <c r="B74" s="5" t="s">
        <v>243</v>
      </c>
      <c r="C74" s="5" t="s">
        <v>16</v>
      </c>
      <c r="D74" s="5" t="s">
        <v>244</v>
      </c>
      <c r="E74" s="5" t="n">
        <v>56</v>
      </c>
      <c r="F74" s="6" t="n">
        <v>54.95</v>
      </c>
      <c r="G74" s="6" t="n">
        <v>99.95</v>
      </c>
      <c r="H74" s="12" t="n">
        <f aca="false">1-F74/G74</f>
        <v>0.450225112556278</v>
      </c>
      <c r="I74" s="13" t="n">
        <v>54.95</v>
      </c>
      <c r="J74" s="6" t="n">
        <f aca="false">ROUNDUP(I74/(1-H74),0)-0.05</f>
        <v>99.95</v>
      </c>
      <c r="K74" s="6" t="n">
        <f aca="false">I74-F74</f>
        <v>0</v>
      </c>
      <c r="L74" s="5" t="s">
        <v>17</v>
      </c>
      <c r="M74" s="5" t="n">
        <v>6</v>
      </c>
      <c r="N74" s="6" t="n">
        <v>54.95</v>
      </c>
      <c r="O74" s="6" t="n">
        <v>54.95</v>
      </c>
      <c r="P74" s="6" t="n">
        <f aca="false">O74-I74</f>
        <v>0</v>
      </c>
    </row>
    <row r="75" customFormat="false" ht="15" hidden="false" customHeight="false" outlineLevel="0" collapsed="false">
      <c r="A75" s="5" t="s">
        <v>245</v>
      </c>
      <c r="B75" s="5" t="s">
        <v>246</v>
      </c>
      <c r="C75" s="5" t="s">
        <v>16</v>
      </c>
      <c r="D75" s="5" t="s">
        <v>227</v>
      </c>
      <c r="E75" s="5" t="n">
        <v>28</v>
      </c>
      <c r="F75" s="6" t="n">
        <v>54.95</v>
      </c>
      <c r="G75" s="6" t="n">
        <v>91.95</v>
      </c>
      <c r="H75" s="12" t="n">
        <f aca="false">1-F75/G75</f>
        <v>0.402392604676455</v>
      </c>
      <c r="I75" s="13" t="n">
        <v>54.95</v>
      </c>
      <c r="J75" s="6" t="n">
        <f aca="false">ROUNDUP(I75/(1-H75),0)-0.05</f>
        <v>91.95</v>
      </c>
      <c r="K75" s="6" t="n">
        <f aca="false">I75-F75</f>
        <v>0</v>
      </c>
      <c r="L75" s="5" t="s">
        <v>17</v>
      </c>
      <c r="M75" s="5" t="n">
        <v>6</v>
      </c>
      <c r="N75" s="6" t="n">
        <v>54.95</v>
      </c>
      <c r="O75" s="6" t="n">
        <v>54.95</v>
      </c>
      <c r="P75" s="6" t="n">
        <f aca="false">O75-I75</f>
        <v>0</v>
      </c>
    </row>
    <row r="76" customFormat="false" ht="15" hidden="false" customHeight="false" outlineLevel="0" collapsed="false">
      <c r="A76" s="5" t="s">
        <v>247</v>
      </c>
      <c r="B76" s="5" t="s">
        <v>248</v>
      </c>
      <c r="C76" s="5" t="s">
        <v>16</v>
      </c>
      <c r="D76" s="5" t="s">
        <v>249</v>
      </c>
      <c r="E76" s="5" t="n">
        <v>42</v>
      </c>
      <c r="F76" s="6" t="n">
        <v>54.95</v>
      </c>
      <c r="G76" s="6" t="n">
        <v>91.95</v>
      </c>
      <c r="H76" s="12" t="n">
        <f aca="false">1-F76/G76</f>
        <v>0.402392604676455</v>
      </c>
      <c r="I76" s="13" t="n">
        <v>54.95</v>
      </c>
      <c r="J76" s="6" t="n">
        <f aca="false">ROUNDUP(I76/(1-H76),0)-0.05</f>
        <v>91.95</v>
      </c>
      <c r="K76" s="6" t="n">
        <f aca="false">I76-F76</f>
        <v>0</v>
      </c>
      <c r="L76" s="5" t="s">
        <v>17</v>
      </c>
      <c r="M76" s="5" t="n">
        <v>6</v>
      </c>
      <c r="N76" s="6" t="n">
        <v>54.95</v>
      </c>
      <c r="O76" s="6" t="n">
        <v>54.95</v>
      </c>
      <c r="P76" s="6" t="n">
        <f aca="false">O76-I76</f>
        <v>0</v>
      </c>
    </row>
    <row r="77" customFormat="false" ht="15" hidden="false" customHeight="false" outlineLevel="0" collapsed="false">
      <c r="A77" s="5" t="s">
        <v>250</v>
      </c>
      <c r="B77" s="5" t="s">
        <v>251</v>
      </c>
      <c r="C77" s="5" t="s">
        <v>16</v>
      </c>
      <c r="D77" s="5" t="s">
        <v>227</v>
      </c>
      <c r="E77" s="5" t="n">
        <v>48</v>
      </c>
      <c r="F77" s="6" t="n">
        <v>54.95</v>
      </c>
      <c r="G77" s="6" t="n">
        <v>109.95</v>
      </c>
      <c r="H77" s="12" t="n">
        <f aca="false">1-F77/G77</f>
        <v>0.500227376080036</v>
      </c>
      <c r="I77" s="13" t="n">
        <v>54.95</v>
      </c>
      <c r="J77" s="6" t="n">
        <f aca="false">ROUNDUP(I77/(1-H77),0)-0.05</f>
        <v>109.95</v>
      </c>
      <c r="K77" s="6" t="n">
        <f aca="false">I77-F77</f>
        <v>0</v>
      </c>
      <c r="L77" s="5" t="s">
        <v>17</v>
      </c>
      <c r="M77" s="5" t="n">
        <v>6</v>
      </c>
      <c r="N77" s="6" t="n">
        <v>54.95</v>
      </c>
      <c r="O77" s="6" t="n">
        <v>54.95</v>
      </c>
      <c r="P77" s="6" t="n">
        <f aca="false">O77-I77</f>
        <v>0</v>
      </c>
    </row>
    <row r="78" customFormat="false" ht="15" hidden="false" customHeight="false" outlineLevel="0" collapsed="false">
      <c r="A78" s="5" t="s">
        <v>252</v>
      </c>
      <c r="B78" s="5" t="s">
        <v>253</v>
      </c>
      <c r="C78" s="5" t="s">
        <v>16</v>
      </c>
      <c r="D78" s="5" t="s">
        <v>227</v>
      </c>
      <c r="E78" s="5" t="n">
        <v>21</v>
      </c>
      <c r="F78" s="6" t="n">
        <v>54.95</v>
      </c>
      <c r="G78" s="6" t="n">
        <v>99.95</v>
      </c>
      <c r="H78" s="12" t="n">
        <f aca="false">1-F78/G78</f>
        <v>0.450225112556278</v>
      </c>
      <c r="I78" s="13" t="n">
        <v>54.95</v>
      </c>
      <c r="J78" s="6" t="n">
        <f aca="false">ROUNDUP(I78/(1-H78),0)-0.05</f>
        <v>99.95</v>
      </c>
      <c r="K78" s="6" t="n">
        <f aca="false">I78-F78</f>
        <v>0</v>
      </c>
      <c r="L78" s="5" t="s">
        <v>17</v>
      </c>
      <c r="M78" s="5" t="n">
        <v>6</v>
      </c>
      <c r="N78" s="6" t="n">
        <v>54.95</v>
      </c>
      <c r="O78" s="6" t="n">
        <v>54.95</v>
      </c>
      <c r="P78" s="6" t="n">
        <f aca="false">O78-I78</f>
        <v>0</v>
      </c>
    </row>
    <row r="79" customFormat="false" ht="15" hidden="false" customHeight="false" outlineLevel="0" collapsed="false">
      <c r="A79" s="5" t="s">
        <v>254</v>
      </c>
      <c r="B79" s="5" t="s">
        <v>255</v>
      </c>
      <c r="C79" s="5" t="s">
        <v>16</v>
      </c>
      <c r="D79" s="5" t="s">
        <v>256</v>
      </c>
      <c r="E79" s="5" t="n">
        <v>53</v>
      </c>
      <c r="F79" s="6" t="n">
        <v>54.95</v>
      </c>
      <c r="G79" s="6" t="n">
        <v>109.95</v>
      </c>
      <c r="H79" s="12" t="n">
        <f aca="false">1-F79/G79</f>
        <v>0.500227376080036</v>
      </c>
      <c r="I79" s="13" t="n">
        <v>54.95</v>
      </c>
      <c r="J79" s="6" t="n">
        <f aca="false">ROUNDUP(I79/(1-H79),0)-0.05</f>
        <v>109.95</v>
      </c>
      <c r="K79" s="6" t="n">
        <f aca="false">I79-F79</f>
        <v>0</v>
      </c>
      <c r="L79" s="5" t="s">
        <v>17</v>
      </c>
      <c r="M79" s="5" t="n">
        <v>6</v>
      </c>
      <c r="N79" s="6" t="n">
        <v>54.95</v>
      </c>
      <c r="O79" s="6" t="n">
        <v>54.95</v>
      </c>
      <c r="P79" s="6" t="n">
        <f aca="false">O79-I79</f>
        <v>0</v>
      </c>
    </row>
    <row r="80" customFormat="false" ht="15" hidden="false" customHeight="false" outlineLevel="0" collapsed="false">
      <c r="A80" s="5" t="s">
        <v>257</v>
      </c>
      <c r="B80" s="5" t="s">
        <v>258</v>
      </c>
      <c r="C80" s="5" t="s">
        <v>16</v>
      </c>
      <c r="D80" s="5" t="s">
        <v>259</v>
      </c>
      <c r="E80" s="5" t="n">
        <v>25</v>
      </c>
      <c r="F80" s="6" t="n">
        <v>54.95</v>
      </c>
      <c r="G80" s="6" t="n">
        <v>109.95</v>
      </c>
      <c r="H80" s="12" t="n">
        <f aca="false">1-F80/G80</f>
        <v>0.500227376080036</v>
      </c>
      <c r="I80" s="13" t="n">
        <v>54.95</v>
      </c>
      <c r="J80" s="6" t="n">
        <f aca="false">ROUNDUP(I80/(1-H80),0)-0.05</f>
        <v>109.95</v>
      </c>
      <c r="K80" s="6" t="n">
        <f aca="false">I80-F80</f>
        <v>0</v>
      </c>
      <c r="L80" s="5" t="s">
        <v>17</v>
      </c>
      <c r="M80" s="5" t="n">
        <v>6</v>
      </c>
      <c r="N80" s="6" t="n">
        <v>54.95</v>
      </c>
      <c r="O80" s="6" t="n">
        <v>54.95</v>
      </c>
      <c r="P80" s="6" t="n">
        <f aca="false">O80-I80</f>
        <v>0</v>
      </c>
    </row>
    <row r="81" customFormat="false" ht="15" hidden="false" customHeight="false" outlineLevel="0" collapsed="false">
      <c r="A81" s="5" t="s">
        <v>260</v>
      </c>
      <c r="B81" s="5" t="s">
        <v>261</v>
      </c>
      <c r="C81" s="5" t="s">
        <v>16</v>
      </c>
      <c r="D81" s="5" t="s">
        <v>227</v>
      </c>
      <c r="E81" s="5" t="n">
        <v>24</v>
      </c>
      <c r="F81" s="6" t="n">
        <v>54.95</v>
      </c>
      <c r="G81" s="6" t="n">
        <v>109.95</v>
      </c>
      <c r="H81" s="12" t="n">
        <f aca="false">1-F81/G81</f>
        <v>0.500227376080036</v>
      </c>
      <c r="I81" s="13" t="n">
        <v>54.95</v>
      </c>
      <c r="J81" s="6" t="n">
        <f aca="false">ROUNDUP(I81/(1-H81),0)-0.05</f>
        <v>109.95</v>
      </c>
      <c r="K81" s="6" t="n">
        <f aca="false">I81-F81</f>
        <v>0</v>
      </c>
      <c r="L81" s="5" t="s">
        <v>17</v>
      </c>
      <c r="M81" s="5" t="n">
        <v>6</v>
      </c>
      <c r="N81" s="6" t="n">
        <v>54.95</v>
      </c>
      <c r="O81" s="6" t="n">
        <v>54.95</v>
      </c>
      <c r="P81" s="6" t="n">
        <f aca="false">O81-I81</f>
        <v>0</v>
      </c>
    </row>
    <row r="82" customFormat="false" ht="15" hidden="false" customHeight="false" outlineLevel="0" collapsed="false">
      <c r="A82" s="5" t="s">
        <v>262</v>
      </c>
      <c r="B82" s="5" t="s">
        <v>263</v>
      </c>
      <c r="C82" s="5" t="s">
        <v>16</v>
      </c>
      <c r="D82" s="5" t="s">
        <v>264</v>
      </c>
      <c r="E82" s="5" t="n">
        <v>48</v>
      </c>
      <c r="F82" s="6" t="n">
        <v>54.95</v>
      </c>
      <c r="G82" s="6" t="n">
        <v>91.95</v>
      </c>
      <c r="H82" s="12" t="n">
        <f aca="false">1-F82/G82</f>
        <v>0.402392604676455</v>
      </c>
      <c r="I82" s="13" t="n">
        <v>54.95</v>
      </c>
      <c r="J82" s="6" t="n">
        <f aca="false">ROUNDUP(I82/(1-H82),0)-0.05</f>
        <v>91.95</v>
      </c>
      <c r="K82" s="6" t="n">
        <f aca="false">I82-F82</f>
        <v>0</v>
      </c>
      <c r="L82" s="5" t="s">
        <v>17</v>
      </c>
      <c r="M82" s="5" t="n">
        <v>6</v>
      </c>
      <c r="N82" s="6" t="n">
        <v>54.95</v>
      </c>
      <c r="O82" s="6" t="n">
        <v>54.95</v>
      </c>
      <c r="P82" s="6" t="n">
        <f aca="false">O82-I82</f>
        <v>0</v>
      </c>
    </row>
    <row r="83" customFormat="false" ht="15" hidden="false" customHeight="false" outlineLevel="0" collapsed="false">
      <c r="A83" s="5" t="s">
        <v>265</v>
      </c>
      <c r="B83" s="5" t="s">
        <v>266</v>
      </c>
      <c r="C83" s="5" t="s">
        <v>16</v>
      </c>
      <c r="D83" s="5" t="s">
        <v>227</v>
      </c>
      <c r="E83" s="5" t="n">
        <v>64</v>
      </c>
      <c r="F83" s="6" t="n">
        <v>54.95</v>
      </c>
      <c r="G83" s="6" t="n">
        <v>99.95</v>
      </c>
      <c r="H83" s="12" t="n">
        <f aca="false">1-F83/G83</f>
        <v>0.450225112556278</v>
      </c>
      <c r="I83" s="13" t="n">
        <v>54.95</v>
      </c>
      <c r="J83" s="6" t="n">
        <f aca="false">ROUNDUP(I83/(1-H83),0)-0.05</f>
        <v>99.95</v>
      </c>
      <c r="K83" s="6" t="n">
        <f aca="false">I83-F83</f>
        <v>0</v>
      </c>
      <c r="L83" s="5" t="s">
        <v>17</v>
      </c>
      <c r="M83" s="5" t="n">
        <v>6</v>
      </c>
      <c r="N83" s="6" t="n">
        <v>54.95</v>
      </c>
      <c r="O83" s="6" t="n">
        <v>54.95</v>
      </c>
      <c r="P83" s="6" t="n">
        <f aca="false">O83-I83</f>
        <v>0</v>
      </c>
    </row>
    <row r="84" customFormat="false" ht="15" hidden="false" customHeight="false" outlineLevel="0" collapsed="false">
      <c r="A84" s="5" t="s">
        <v>267</v>
      </c>
      <c r="B84" s="5" t="s">
        <v>268</v>
      </c>
      <c r="C84" s="5" t="s">
        <v>16</v>
      </c>
      <c r="D84" s="5" t="s">
        <v>227</v>
      </c>
      <c r="E84" s="5" t="n">
        <v>65</v>
      </c>
      <c r="F84" s="6" t="n">
        <v>54.95</v>
      </c>
      <c r="G84" s="6" t="n">
        <v>91.95</v>
      </c>
      <c r="H84" s="12" t="n">
        <f aca="false">1-F84/G84</f>
        <v>0.402392604676455</v>
      </c>
      <c r="I84" s="13" t="n">
        <v>54.95</v>
      </c>
      <c r="J84" s="6" t="n">
        <f aca="false">ROUNDUP(I84/(1-H84),0)-0.05</f>
        <v>91.95</v>
      </c>
      <c r="K84" s="6" t="n">
        <f aca="false">I84-F84</f>
        <v>0</v>
      </c>
      <c r="L84" s="5" t="s">
        <v>17</v>
      </c>
      <c r="M84" s="5" t="n">
        <v>6</v>
      </c>
      <c r="N84" s="6" t="n">
        <v>54.95</v>
      </c>
      <c r="O84" s="6" t="n">
        <v>54.95</v>
      </c>
      <c r="P84" s="6" t="n">
        <f aca="false">O84-I84</f>
        <v>0</v>
      </c>
    </row>
    <row r="85" customFormat="false" ht="15" hidden="false" customHeight="false" outlineLevel="0" collapsed="false">
      <c r="A85" s="5" t="s">
        <v>269</v>
      </c>
      <c r="B85" s="5" t="s">
        <v>270</v>
      </c>
      <c r="C85" s="5" t="s">
        <v>16</v>
      </c>
      <c r="D85" s="5" t="s">
        <v>271</v>
      </c>
      <c r="E85" s="5" t="n">
        <v>30</v>
      </c>
      <c r="F85" s="6" t="n">
        <v>54.95</v>
      </c>
      <c r="G85" s="6" t="n">
        <v>99.95</v>
      </c>
      <c r="H85" s="12" t="n">
        <f aca="false">1-F85/G85</f>
        <v>0.450225112556278</v>
      </c>
      <c r="I85" s="13" t="n">
        <v>54.95</v>
      </c>
      <c r="J85" s="6" t="n">
        <f aca="false">ROUNDUP(I85/(1-H85),0)-0.05</f>
        <v>99.95</v>
      </c>
      <c r="K85" s="6" t="n">
        <f aca="false">I85-F85</f>
        <v>0</v>
      </c>
      <c r="L85" s="5" t="s">
        <v>17</v>
      </c>
      <c r="M85" s="5" t="n">
        <v>6</v>
      </c>
      <c r="N85" s="6" t="n">
        <v>54.95</v>
      </c>
      <c r="O85" s="6" t="n">
        <v>54.95</v>
      </c>
      <c r="P85" s="6" t="n">
        <f aca="false">O85-I85</f>
        <v>0</v>
      </c>
    </row>
    <row r="86" customFormat="false" ht="15" hidden="false" customHeight="false" outlineLevel="0" collapsed="false">
      <c r="A86" s="5" t="s">
        <v>272</v>
      </c>
      <c r="B86" s="5" t="s">
        <v>273</v>
      </c>
      <c r="C86" s="5" t="s">
        <v>16</v>
      </c>
      <c r="D86" s="5" t="s">
        <v>274</v>
      </c>
      <c r="E86" s="5" t="n">
        <v>50</v>
      </c>
      <c r="F86" s="6" t="n">
        <v>54.95</v>
      </c>
      <c r="G86" s="6" t="n">
        <v>91.95</v>
      </c>
      <c r="H86" s="12" t="n">
        <f aca="false">1-F86/G86</f>
        <v>0.402392604676455</v>
      </c>
      <c r="I86" s="13" t="n">
        <v>54.95</v>
      </c>
      <c r="J86" s="6" t="n">
        <f aca="false">ROUNDUP(I86/(1-H86),0)-0.05</f>
        <v>91.95</v>
      </c>
      <c r="K86" s="6" t="n">
        <f aca="false">I86-F86</f>
        <v>0</v>
      </c>
      <c r="L86" s="5" t="s">
        <v>17</v>
      </c>
      <c r="M86" s="5" t="n">
        <v>6</v>
      </c>
      <c r="N86" s="6" t="n">
        <v>54.95</v>
      </c>
      <c r="O86" s="6" t="n">
        <v>54.95</v>
      </c>
      <c r="P86" s="6" t="n">
        <f aca="false">O86-I86</f>
        <v>0</v>
      </c>
    </row>
    <row r="87" customFormat="false" ht="15" hidden="false" customHeight="false" outlineLevel="0" collapsed="false">
      <c r="A87" s="5" t="s">
        <v>275</v>
      </c>
      <c r="B87" s="5" t="s">
        <v>276</v>
      </c>
      <c r="C87" s="5" t="s">
        <v>16</v>
      </c>
      <c r="D87" s="5" t="s">
        <v>277</v>
      </c>
      <c r="E87" s="5" t="n">
        <v>24</v>
      </c>
      <c r="F87" s="6" t="n">
        <v>54.95</v>
      </c>
      <c r="G87" s="6" t="n">
        <v>91.95</v>
      </c>
      <c r="H87" s="12" t="n">
        <f aca="false">1-F87/G87</f>
        <v>0.402392604676455</v>
      </c>
      <c r="I87" s="13" t="n">
        <v>54.95</v>
      </c>
      <c r="J87" s="6" t="n">
        <f aca="false">ROUNDUP(I87/(1-H87),0)-0.05</f>
        <v>91.95</v>
      </c>
      <c r="K87" s="6" t="n">
        <f aca="false">I87-F87</f>
        <v>0</v>
      </c>
      <c r="L87" s="5" t="s">
        <v>17</v>
      </c>
      <c r="M87" s="5" t="n">
        <v>6</v>
      </c>
      <c r="N87" s="6" t="n">
        <v>54.95</v>
      </c>
      <c r="O87" s="6" t="n">
        <v>54.95</v>
      </c>
      <c r="P87" s="6" t="n">
        <f aca="false">O87-I87</f>
        <v>0</v>
      </c>
    </row>
    <row r="88" customFormat="false" ht="15" hidden="false" customHeight="false" outlineLevel="0" collapsed="false">
      <c r="A88" s="5" t="s">
        <v>278</v>
      </c>
      <c r="B88" s="5" t="s">
        <v>279</v>
      </c>
      <c r="C88" s="5" t="s">
        <v>16</v>
      </c>
      <c r="D88" s="5" t="s">
        <v>16</v>
      </c>
      <c r="E88" s="5" t="n">
        <v>36</v>
      </c>
      <c r="F88" s="6" t="n">
        <v>54.95</v>
      </c>
      <c r="G88" s="6" t="n">
        <v>91.95</v>
      </c>
      <c r="H88" s="12" t="n">
        <f aca="false">1-F88/G88</f>
        <v>0.402392604676455</v>
      </c>
      <c r="I88" s="13" t="n">
        <v>54.95</v>
      </c>
      <c r="J88" s="6" t="n">
        <f aca="false">ROUNDUP(I88/(1-H88),0)-0.05</f>
        <v>91.95</v>
      </c>
      <c r="K88" s="6" t="n">
        <f aca="false">I88-F88</f>
        <v>0</v>
      </c>
      <c r="L88" s="5" t="s">
        <v>17</v>
      </c>
      <c r="M88" s="5" t="n">
        <v>6</v>
      </c>
      <c r="N88" s="6" t="n">
        <v>54.95</v>
      </c>
      <c r="O88" s="6" t="n">
        <v>54.95</v>
      </c>
      <c r="P88" s="6" t="n">
        <f aca="false">O88-I88</f>
        <v>0</v>
      </c>
    </row>
    <row r="89" customFormat="false" ht="15" hidden="false" customHeight="false" outlineLevel="0" collapsed="false">
      <c r="A89" s="5" t="s">
        <v>280</v>
      </c>
      <c r="B89" s="5" t="s">
        <v>281</v>
      </c>
      <c r="C89" s="5" t="s">
        <v>16</v>
      </c>
      <c r="D89" s="5" t="s">
        <v>282</v>
      </c>
      <c r="E89" s="5" t="n">
        <v>5</v>
      </c>
      <c r="F89" s="6" t="n">
        <v>54.95</v>
      </c>
      <c r="G89" s="6" t="n">
        <v>99.95</v>
      </c>
      <c r="H89" s="12" t="n">
        <f aca="false">1-F89/G89</f>
        <v>0.450225112556278</v>
      </c>
      <c r="I89" s="13" t="n">
        <v>54.95</v>
      </c>
      <c r="J89" s="6" t="n">
        <f aca="false">ROUNDUP(I89/(1-H89),0)-0.05</f>
        <v>99.95</v>
      </c>
      <c r="K89" s="6" t="n">
        <f aca="false">I89-F89</f>
        <v>0</v>
      </c>
      <c r="L89" s="5" t="s">
        <v>17</v>
      </c>
      <c r="M89" s="5" t="n">
        <v>6</v>
      </c>
      <c r="N89" s="6" t="n">
        <v>54.95</v>
      </c>
      <c r="O89" s="6" t="n">
        <v>54.95</v>
      </c>
      <c r="P89" s="6" t="n">
        <f aca="false">O89-I89</f>
        <v>0</v>
      </c>
    </row>
    <row r="90" customFormat="false" ht="15" hidden="false" customHeight="false" outlineLevel="0" collapsed="false">
      <c r="A90" s="5" t="s">
        <v>283</v>
      </c>
      <c r="B90" s="5" t="s">
        <v>284</v>
      </c>
      <c r="C90" s="5" t="s">
        <v>16</v>
      </c>
      <c r="D90" s="5" t="s">
        <v>285</v>
      </c>
      <c r="E90" s="5" t="n">
        <v>12</v>
      </c>
      <c r="F90" s="6" t="n">
        <v>54.95</v>
      </c>
      <c r="G90" s="6" t="n">
        <v>91.95</v>
      </c>
      <c r="H90" s="12" t="n">
        <f aca="false">1-F90/G90</f>
        <v>0.402392604676455</v>
      </c>
      <c r="I90" s="13" t="n">
        <v>54.95</v>
      </c>
      <c r="J90" s="6" t="n">
        <f aca="false">ROUNDUP(I90/(1-H90),0)-0.05</f>
        <v>91.95</v>
      </c>
      <c r="K90" s="6" t="n">
        <f aca="false">I90-F90</f>
        <v>0</v>
      </c>
      <c r="L90" s="5" t="s">
        <v>17</v>
      </c>
      <c r="M90" s="5" t="n">
        <v>6</v>
      </c>
      <c r="N90" s="6" t="n">
        <v>54.95</v>
      </c>
      <c r="O90" s="6" t="n">
        <v>54.95</v>
      </c>
      <c r="P90" s="6" t="n">
        <f aca="false">O90-I90</f>
        <v>0</v>
      </c>
    </row>
    <row r="91" customFormat="false" ht="15" hidden="false" customHeight="false" outlineLevel="0" collapsed="false">
      <c r="A91" s="5" t="s">
        <v>286</v>
      </c>
      <c r="B91" s="5" t="s">
        <v>287</v>
      </c>
      <c r="C91" s="5" t="s">
        <v>16</v>
      </c>
      <c r="D91" s="5" t="s">
        <v>227</v>
      </c>
      <c r="E91" s="5" t="n">
        <v>28</v>
      </c>
      <c r="F91" s="6" t="n">
        <v>54.95</v>
      </c>
      <c r="G91" s="6" t="n">
        <v>91.95</v>
      </c>
      <c r="H91" s="12" t="n">
        <f aca="false">1-F91/G91</f>
        <v>0.402392604676455</v>
      </c>
      <c r="I91" s="13" t="n">
        <v>54.95</v>
      </c>
      <c r="J91" s="6" t="n">
        <f aca="false">ROUNDUP(I91/(1-H91),0)-0.05</f>
        <v>91.95</v>
      </c>
      <c r="K91" s="6" t="n">
        <f aca="false">I91-F91</f>
        <v>0</v>
      </c>
      <c r="L91" s="5" t="s">
        <v>17</v>
      </c>
      <c r="M91" s="5" t="n">
        <v>6</v>
      </c>
      <c r="N91" s="6" t="n">
        <v>54.95</v>
      </c>
      <c r="O91" s="6" t="n">
        <v>54.95</v>
      </c>
      <c r="P91" s="6" t="n">
        <f aca="false">O91-I91</f>
        <v>0</v>
      </c>
    </row>
    <row r="92" customFormat="false" ht="15" hidden="false" customHeight="false" outlineLevel="0" collapsed="false">
      <c r="A92" s="5" t="s">
        <v>288</v>
      </c>
      <c r="B92" s="5" t="s">
        <v>289</v>
      </c>
      <c r="C92" s="5" t="s">
        <v>16</v>
      </c>
      <c r="D92" s="5" t="s">
        <v>227</v>
      </c>
      <c r="E92" s="5" t="n">
        <v>7</v>
      </c>
      <c r="F92" s="6" t="n">
        <v>54.95</v>
      </c>
      <c r="G92" s="6" t="n">
        <v>99.95</v>
      </c>
      <c r="H92" s="12" t="n">
        <f aca="false">1-F92/G92</f>
        <v>0.450225112556278</v>
      </c>
      <c r="I92" s="13" t="n">
        <v>54.95</v>
      </c>
      <c r="J92" s="6" t="n">
        <f aca="false">ROUNDUP(I92/(1-H92),0)-0.05</f>
        <v>99.95</v>
      </c>
      <c r="K92" s="6" t="n">
        <f aca="false">I92-F92</f>
        <v>0</v>
      </c>
      <c r="L92" s="5" t="s">
        <v>17</v>
      </c>
      <c r="M92" s="5" t="n">
        <v>6</v>
      </c>
      <c r="N92" s="6" t="n">
        <v>54.95</v>
      </c>
      <c r="O92" s="6" t="n">
        <v>54.95</v>
      </c>
      <c r="P92" s="6" t="n">
        <f aca="false">O92-I92</f>
        <v>0</v>
      </c>
    </row>
    <row r="93" customFormat="false" ht="15" hidden="false" customHeight="false" outlineLevel="0" collapsed="false">
      <c r="A93" s="5" t="s">
        <v>290</v>
      </c>
      <c r="B93" s="5" t="s">
        <v>291</v>
      </c>
      <c r="C93" s="5" t="s">
        <v>16</v>
      </c>
      <c r="D93" s="5" t="s">
        <v>292</v>
      </c>
      <c r="E93" s="5" t="n">
        <v>25</v>
      </c>
      <c r="F93" s="6" t="n">
        <v>54.95</v>
      </c>
      <c r="G93" s="6" t="n">
        <v>99.95</v>
      </c>
      <c r="H93" s="12" t="n">
        <f aca="false">1-F93/G93</f>
        <v>0.450225112556278</v>
      </c>
      <c r="I93" s="13" t="n">
        <v>54.95</v>
      </c>
      <c r="J93" s="6" t="n">
        <f aca="false">ROUNDUP(I93/(1-H93),0)-0.05</f>
        <v>99.95</v>
      </c>
      <c r="K93" s="6" t="n">
        <f aca="false">I93-F93</f>
        <v>0</v>
      </c>
      <c r="L93" s="5" t="s">
        <v>17</v>
      </c>
      <c r="M93" s="5" t="n">
        <v>6</v>
      </c>
      <c r="N93" s="6" t="n">
        <v>54.95</v>
      </c>
      <c r="O93" s="6" t="n">
        <v>54.95</v>
      </c>
      <c r="P93" s="6" t="n">
        <f aca="false">O93-I93</f>
        <v>0</v>
      </c>
    </row>
    <row r="94" customFormat="false" ht="15" hidden="false" customHeight="false" outlineLevel="0" collapsed="false">
      <c r="A94" s="5" t="s">
        <v>293</v>
      </c>
      <c r="B94" s="5" t="s">
        <v>294</v>
      </c>
      <c r="C94" s="5" t="s">
        <v>16</v>
      </c>
      <c r="D94" s="5" t="s">
        <v>295</v>
      </c>
      <c r="E94" s="5" t="n">
        <v>44</v>
      </c>
      <c r="F94" s="6" t="n">
        <v>54.95</v>
      </c>
      <c r="G94" s="6" t="n">
        <v>91.95</v>
      </c>
      <c r="H94" s="12" t="n">
        <f aca="false">1-F94/G94</f>
        <v>0.402392604676455</v>
      </c>
      <c r="I94" s="13" t="n">
        <v>54.95</v>
      </c>
      <c r="J94" s="6" t="n">
        <f aca="false">ROUNDUP(I94/(1-H94),0)-0.05</f>
        <v>91.95</v>
      </c>
      <c r="K94" s="6" t="n">
        <f aca="false">I94-F94</f>
        <v>0</v>
      </c>
      <c r="L94" s="5" t="s">
        <v>17</v>
      </c>
      <c r="M94" s="5" t="n">
        <v>6</v>
      </c>
      <c r="N94" s="6" t="n">
        <v>54.95</v>
      </c>
      <c r="O94" s="6" t="n">
        <v>54.95</v>
      </c>
      <c r="P94" s="6" t="n">
        <f aca="false">O94-I94</f>
        <v>0</v>
      </c>
    </row>
    <row r="95" customFormat="false" ht="15" hidden="false" customHeight="false" outlineLevel="0" collapsed="false">
      <c r="A95" s="5" t="s">
        <v>296</v>
      </c>
      <c r="B95" s="5" t="s">
        <v>297</v>
      </c>
      <c r="C95" s="5" t="s">
        <v>16</v>
      </c>
      <c r="D95" s="5" t="s">
        <v>227</v>
      </c>
      <c r="E95" s="5" t="n">
        <v>5</v>
      </c>
      <c r="F95" s="6" t="n">
        <v>54.95</v>
      </c>
      <c r="G95" s="6" t="n">
        <v>109.95</v>
      </c>
      <c r="H95" s="12" t="n">
        <f aca="false">1-F95/G95</f>
        <v>0.500227376080036</v>
      </c>
      <c r="I95" s="13" t="n">
        <v>54.95</v>
      </c>
      <c r="J95" s="6" t="n">
        <f aca="false">ROUNDUP(I95/(1-H95),0)-0.05</f>
        <v>109.95</v>
      </c>
      <c r="K95" s="6" t="n">
        <f aca="false">I95-F95</f>
        <v>0</v>
      </c>
      <c r="L95" s="5" t="s">
        <v>17</v>
      </c>
      <c r="M95" s="5" t="n">
        <v>6</v>
      </c>
      <c r="N95" s="6" t="n">
        <v>54.95</v>
      </c>
      <c r="O95" s="6" t="n">
        <v>54.95</v>
      </c>
      <c r="P95" s="6" t="n">
        <f aca="false">O95-I95</f>
        <v>0</v>
      </c>
    </row>
    <row r="96" customFormat="false" ht="15" hidden="false" customHeight="false" outlineLevel="0" collapsed="false">
      <c r="A96" s="5" t="s">
        <v>298</v>
      </c>
      <c r="B96" s="5" t="s">
        <v>299</v>
      </c>
      <c r="C96" s="5" t="s">
        <v>16</v>
      </c>
      <c r="D96" s="5" t="s">
        <v>227</v>
      </c>
      <c r="E96" s="5" t="n">
        <v>35</v>
      </c>
      <c r="F96" s="6" t="n">
        <v>54.95</v>
      </c>
      <c r="G96" s="6" t="n">
        <v>109.95</v>
      </c>
      <c r="H96" s="12" t="n">
        <f aca="false">1-F96/G96</f>
        <v>0.500227376080036</v>
      </c>
      <c r="I96" s="13" t="n">
        <v>54.95</v>
      </c>
      <c r="J96" s="6" t="n">
        <f aca="false">ROUNDUP(I96/(1-H96),0)-0.05</f>
        <v>109.95</v>
      </c>
      <c r="K96" s="6" t="n">
        <f aca="false">I96-F96</f>
        <v>0</v>
      </c>
      <c r="L96" s="5" t="s">
        <v>17</v>
      </c>
      <c r="M96" s="5" t="n">
        <v>6</v>
      </c>
      <c r="N96" s="6" t="n">
        <v>54.95</v>
      </c>
      <c r="O96" s="6" t="n">
        <v>54.95</v>
      </c>
      <c r="P96" s="6" t="n">
        <f aca="false">O96-I96</f>
        <v>0</v>
      </c>
    </row>
    <row r="97" customFormat="false" ht="15" hidden="false" customHeight="false" outlineLevel="0" collapsed="false">
      <c r="A97" s="5" t="s">
        <v>300</v>
      </c>
      <c r="B97" s="5" t="s">
        <v>301</v>
      </c>
      <c r="C97" s="5" t="s">
        <v>16</v>
      </c>
      <c r="D97" s="5" t="s">
        <v>302</v>
      </c>
      <c r="E97" s="5" t="n">
        <v>28</v>
      </c>
      <c r="F97" s="6" t="n">
        <v>54.95</v>
      </c>
      <c r="G97" s="6" t="n">
        <v>109.95</v>
      </c>
      <c r="H97" s="12" t="n">
        <f aca="false">1-F97/G97</f>
        <v>0.500227376080036</v>
      </c>
      <c r="I97" s="13" t="n">
        <v>54.95</v>
      </c>
      <c r="J97" s="6" t="n">
        <f aca="false">ROUNDUP(I97/(1-H97),0)-0.05</f>
        <v>109.95</v>
      </c>
      <c r="K97" s="6" t="n">
        <f aca="false">I97-F97</f>
        <v>0</v>
      </c>
      <c r="L97" s="5" t="s">
        <v>17</v>
      </c>
      <c r="M97" s="5" t="n">
        <v>6</v>
      </c>
      <c r="N97" s="6" t="n">
        <v>54.95</v>
      </c>
      <c r="O97" s="6" t="n">
        <v>54.95</v>
      </c>
      <c r="P97" s="6" t="n">
        <f aca="false">O97-I97</f>
        <v>0</v>
      </c>
    </row>
    <row r="98" customFormat="false" ht="15" hidden="false" customHeight="false" outlineLevel="0" collapsed="false">
      <c r="A98" s="5" t="s">
        <v>303</v>
      </c>
      <c r="B98" s="5" t="s">
        <v>304</v>
      </c>
      <c r="C98" s="5" t="s">
        <v>16</v>
      </c>
      <c r="D98" s="5" t="s">
        <v>227</v>
      </c>
      <c r="E98" s="5" t="n">
        <v>42</v>
      </c>
      <c r="F98" s="6" t="n">
        <v>54.95</v>
      </c>
      <c r="G98" s="6" t="n">
        <v>109.95</v>
      </c>
      <c r="H98" s="12" t="n">
        <f aca="false">1-F98/G98</f>
        <v>0.500227376080036</v>
      </c>
      <c r="I98" s="13" t="n">
        <v>54.95</v>
      </c>
      <c r="J98" s="6" t="n">
        <f aca="false">ROUNDUP(I98/(1-H98),0)-0.05</f>
        <v>109.95</v>
      </c>
      <c r="K98" s="6" t="n">
        <f aca="false">I98-F98</f>
        <v>0</v>
      </c>
      <c r="L98" s="5" t="s">
        <v>17</v>
      </c>
      <c r="M98" s="5" t="n">
        <v>6</v>
      </c>
      <c r="N98" s="6" t="n">
        <v>54.95</v>
      </c>
      <c r="O98" s="6" t="n">
        <v>54.95</v>
      </c>
      <c r="P98" s="6" t="n">
        <f aca="false">O98-I98</f>
        <v>0</v>
      </c>
    </row>
    <row r="99" customFormat="false" ht="15" hidden="false" customHeight="false" outlineLevel="0" collapsed="false">
      <c r="A99" s="5" t="s">
        <v>305</v>
      </c>
      <c r="B99" s="5" t="s">
        <v>306</v>
      </c>
      <c r="C99" s="5" t="s">
        <v>16</v>
      </c>
      <c r="D99" s="5" t="s">
        <v>176</v>
      </c>
      <c r="E99" s="5" t="n">
        <v>24</v>
      </c>
      <c r="F99" s="6" t="n">
        <v>54.95</v>
      </c>
      <c r="G99" s="6" t="n">
        <v>91.95</v>
      </c>
      <c r="H99" s="12" t="n">
        <f aca="false">1-F99/G99</f>
        <v>0.402392604676455</v>
      </c>
      <c r="I99" s="13" t="n">
        <v>54.95</v>
      </c>
      <c r="J99" s="6" t="n">
        <f aca="false">ROUNDUP(I99/(1-H99),0)-0.05</f>
        <v>91.95</v>
      </c>
      <c r="K99" s="6" t="n">
        <f aca="false">I99-F99</f>
        <v>0</v>
      </c>
      <c r="L99" s="5" t="s">
        <v>17</v>
      </c>
      <c r="M99" s="5" t="n">
        <v>6</v>
      </c>
      <c r="N99" s="6" t="n">
        <v>54.95</v>
      </c>
      <c r="O99" s="6" t="n">
        <v>54.95</v>
      </c>
      <c r="P99" s="6" t="n">
        <f aca="false">O99-I99</f>
        <v>0</v>
      </c>
    </row>
    <row r="100" customFormat="false" ht="15" hidden="false" customHeight="false" outlineLevel="0" collapsed="false">
      <c r="A100" s="5" t="s">
        <v>307</v>
      </c>
      <c r="B100" s="5" t="s">
        <v>308</v>
      </c>
      <c r="C100" s="5" t="s">
        <v>16</v>
      </c>
      <c r="D100" s="5" t="s">
        <v>227</v>
      </c>
      <c r="E100" s="5" t="n">
        <v>80</v>
      </c>
      <c r="F100" s="6" t="n">
        <v>54.95</v>
      </c>
      <c r="G100" s="6" t="n">
        <v>99.95</v>
      </c>
      <c r="H100" s="12" t="n">
        <f aca="false">1-F100/G100</f>
        <v>0.450225112556278</v>
      </c>
      <c r="I100" s="13" t="n">
        <v>54.95</v>
      </c>
      <c r="J100" s="6" t="n">
        <f aca="false">ROUNDUP(I100/(1-H100),0)-0.05</f>
        <v>99.95</v>
      </c>
      <c r="K100" s="6" t="n">
        <f aca="false">I100-F100</f>
        <v>0</v>
      </c>
      <c r="L100" s="5" t="s">
        <v>17</v>
      </c>
      <c r="M100" s="5" t="n">
        <v>6</v>
      </c>
      <c r="N100" s="6" t="n">
        <v>54.95</v>
      </c>
      <c r="O100" s="6" t="n">
        <v>54.95</v>
      </c>
      <c r="P100" s="6" t="n">
        <f aca="false">O100-I100</f>
        <v>0</v>
      </c>
    </row>
    <row r="101" customFormat="false" ht="15" hidden="false" customHeight="false" outlineLevel="0" collapsed="false">
      <c r="A101" s="5" t="s">
        <v>309</v>
      </c>
      <c r="B101" s="5" t="s">
        <v>310</v>
      </c>
      <c r="C101" s="5" t="s">
        <v>16</v>
      </c>
      <c r="D101" s="5" t="s">
        <v>311</v>
      </c>
      <c r="E101" s="5" t="n">
        <v>34</v>
      </c>
      <c r="F101" s="6" t="n">
        <v>54.95</v>
      </c>
      <c r="G101" s="6" t="n">
        <v>91.95</v>
      </c>
      <c r="H101" s="12" t="n">
        <f aca="false">1-F101/G101</f>
        <v>0.402392604676455</v>
      </c>
      <c r="I101" s="13" t="n">
        <v>54.95</v>
      </c>
      <c r="J101" s="6" t="n">
        <f aca="false">ROUNDUP(I101/(1-H101),0)-0.05</f>
        <v>91.95</v>
      </c>
      <c r="K101" s="6" t="n">
        <f aca="false">I101-F101</f>
        <v>0</v>
      </c>
      <c r="L101" s="5" t="s">
        <v>17</v>
      </c>
      <c r="M101" s="5" t="n">
        <v>6</v>
      </c>
      <c r="N101" s="6" t="n">
        <v>54.95</v>
      </c>
      <c r="O101" s="6" t="n">
        <v>54.95</v>
      </c>
      <c r="P101" s="6" t="n">
        <f aca="false">O101-I101</f>
        <v>0</v>
      </c>
    </row>
    <row r="102" customFormat="false" ht="15" hidden="false" customHeight="false" outlineLevel="0" collapsed="false">
      <c r="A102" s="5" t="s">
        <v>312</v>
      </c>
      <c r="B102" s="5" t="s">
        <v>313</v>
      </c>
      <c r="C102" s="5" t="s">
        <v>16</v>
      </c>
      <c r="D102" s="5" t="s">
        <v>277</v>
      </c>
      <c r="E102" s="5" t="n">
        <v>40</v>
      </c>
      <c r="F102" s="6" t="n">
        <v>54.95</v>
      </c>
      <c r="G102" s="6" t="n">
        <v>99.95</v>
      </c>
      <c r="H102" s="12" t="n">
        <f aca="false">1-F102/G102</f>
        <v>0.450225112556278</v>
      </c>
      <c r="I102" s="13" t="n">
        <v>54.95</v>
      </c>
      <c r="J102" s="6" t="n">
        <f aca="false">ROUNDUP(I102/(1-H102),0)-0.05</f>
        <v>99.95</v>
      </c>
      <c r="K102" s="6" t="n">
        <f aca="false">I102-F102</f>
        <v>0</v>
      </c>
      <c r="L102" s="5" t="s">
        <v>17</v>
      </c>
      <c r="M102" s="5" t="n">
        <v>6</v>
      </c>
      <c r="N102" s="6" t="n">
        <v>54.95</v>
      </c>
      <c r="O102" s="6" t="n">
        <v>54.95</v>
      </c>
      <c r="P102" s="6" t="n">
        <f aca="false">O102-I102</f>
        <v>0</v>
      </c>
    </row>
    <row r="103" customFormat="false" ht="15" hidden="false" customHeight="false" outlineLevel="0" collapsed="false">
      <c r="A103" s="5" t="s">
        <v>314</v>
      </c>
      <c r="B103" s="5" t="s">
        <v>315</v>
      </c>
      <c r="C103" s="5" t="s">
        <v>16</v>
      </c>
      <c r="D103" s="5" t="s">
        <v>183</v>
      </c>
      <c r="E103" s="5" t="n">
        <v>40</v>
      </c>
      <c r="F103" s="6" t="n">
        <v>54.95</v>
      </c>
      <c r="G103" s="6" t="n">
        <v>91.95</v>
      </c>
      <c r="H103" s="12" t="n">
        <f aca="false">1-F103/G103</f>
        <v>0.402392604676455</v>
      </c>
      <c r="I103" s="13" t="n">
        <v>54.95</v>
      </c>
      <c r="J103" s="6" t="n">
        <f aca="false">ROUNDUP(I103/(1-H103),0)-0.05</f>
        <v>91.95</v>
      </c>
      <c r="K103" s="6" t="n">
        <f aca="false">I103-F103</f>
        <v>0</v>
      </c>
      <c r="L103" s="5" t="s">
        <v>17</v>
      </c>
      <c r="M103" s="5" t="n">
        <v>6</v>
      </c>
      <c r="N103" s="6" t="n">
        <v>54.95</v>
      </c>
      <c r="O103" s="6" t="n">
        <v>54.95</v>
      </c>
      <c r="P103" s="6" t="n">
        <f aca="false">O103-I103</f>
        <v>0</v>
      </c>
    </row>
    <row r="104" customFormat="false" ht="15" hidden="false" customHeight="false" outlineLevel="0" collapsed="false">
      <c r="A104" s="5" t="s">
        <v>316</v>
      </c>
      <c r="B104" s="5" t="s">
        <v>317</v>
      </c>
      <c r="C104" s="5" t="s">
        <v>16</v>
      </c>
      <c r="D104" s="5" t="s">
        <v>318</v>
      </c>
      <c r="E104" s="5" t="n">
        <v>54</v>
      </c>
      <c r="F104" s="6" t="n">
        <v>54.95</v>
      </c>
      <c r="G104" s="6" t="n">
        <v>109.95</v>
      </c>
      <c r="H104" s="12" t="n">
        <f aca="false">1-F104/G104</f>
        <v>0.500227376080036</v>
      </c>
      <c r="I104" s="13" t="n">
        <v>54.95</v>
      </c>
      <c r="J104" s="6" t="n">
        <f aca="false">ROUNDUP(I104/(1-H104),0)-0.05</f>
        <v>109.95</v>
      </c>
      <c r="K104" s="6" t="n">
        <f aca="false">I104-F104</f>
        <v>0</v>
      </c>
      <c r="L104" s="5" t="s">
        <v>17</v>
      </c>
      <c r="M104" s="5" t="n">
        <v>6</v>
      </c>
      <c r="N104" s="6" t="n">
        <v>54.95</v>
      </c>
      <c r="O104" s="6" t="n">
        <v>54.95</v>
      </c>
      <c r="P104" s="6" t="n">
        <f aca="false">O104-I104</f>
        <v>0</v>
      </c>
    </row>
    <row r="105" customFormat="false" ht="15" hidden="false" customHeight="false" outlineLevel="0" collapsed="false">
      <c r="A105" s="5" t="s">
        <v>319</v>
      </c>
      <c r="B105" s="5" t="s">
        <v>320</v>
      </c>
      <c r="C105" s="5" t="s">
        <v>16</v>
      </c>
      <c r="D105" s="5" t="s">
        <v>227</v>
      </c>
      <c r="E105" s="5" t="n">
        <v>48</v>
      </c>
      <c r="F105" s="6" t="n">
        <v>54.95</v>
      </c>
      <c r="G105" s="6" t="n">
        <v>91.95</v>
      </c>
      <c r="H105" s="12" t="n">
        <f aca="false">1-F105/G105</f>
        <v>0.402392604676455</v>
      </c>
      <c r="I105" s="13" t="n">
        <v>54.95</v>
      </c>
      <c r="J105" s="6" t="n">
        <f aca="false">ROUNDUP(I105/(1-H105),0)-0.05</f>
        <v>91.95</v>
      </c>
      <c r="K105" s="6" t="n">
        <f aca="false">I105-F105</f>
        <v>0</v>
      </c>
      <c r="L105" s="5" t="s">
        <v>17</v>
      </c>
      <c r="M105" s="5" t="n">
        <v>6</v>
      </c>
      <c r="N105" s="6" t="n">
        <v>54.95</v>
      </c>
      <c r="O105" s="6" t="n">
        <v>54.95</v>
      </c>
      <c r="P105" s="6" t="n">
        <f aca="false">O105-I105</f>
        <v>0</v>
      </c>
    </row>
    <row r="106" customFormat="false" ht="15" hidden="false" customHeight="false" outlineLevel="0" collapsed="false">
      <c r="A106" s="5" t="s">
        <v>321</v>
      </c>
      <c r="B106" s="5" t="s">
        <v>322</v>
      </c>
      <c r="C106" s="5" t="s">
        <v>16</v>
      </c>
      <c r="D106" s="5" t="s">
        <v>227</v>
      </c>
      <c r="E106" s="5" t="n">
        <v>21</v>
      </c>
      <c r="F106" s="6" t="n">
        <v>54.95</v>
      </c>
      <c r="G106" s="6" t="n">
        <v>99.95</v>
      </c>
      <c r="H106" s="12" t="n">
        <f aca="false">1-F106/G106</f>
        <v>0.450225112556278</v>
      </c>
      <c r="I106" s="13" t="n">
        <v>54.95</v>
      </c>
      <c r="J106" s="6" t="n">
        <f aca="false">ROUNDUP(I106/(1-H106),0)-0.05</f>
        <v>99.95</v>
      </c>
      <c r="K106" s="6" t="n">
        <f aca="false">I106-F106</f>
        <v>0</v>
      </c>
      <c r="L106" s="5" t="s">
        <v>17</v>
      </c>
      <c r="M106" s="5" t="n">
        <v>6</v>
      </c>
      <c r="N106" s="6" t="n">
        <v>54.95</v>
      </c>
      <c r="O106" s="6" t="n">
        <v>54.95</v>
      </c>
      <c r="P106" s="6" t="n">
        <f aca="false">O106-I106</f>
        <v>0</v>
      </c>
    </row>
    <row r="107" customFormat="false" ht="15" hidden="false" customHeight="false" outlineLevel="0" collapsed="false">
      <c r="A107" s="5" t="s">
        <v>323</v>
      </c>
      <c r="B107" s="5" t="s">
        <v>324</v>
      </c>
      <c r="C107" s="5" t="s">
        <v>16</v>
      </c>
      <c r="D107" s="5" t="s">
        <v>325</v>
      </c>
      <c r="E107" s="5" t="n">
        <v>35</v>
      </c>
      <c r="F107" s="6" t="n">
        <v>54.95</v>
      </c>
      <c r="G107" s="6" t="n">
        <v>99.95</v>
      </c>
      <c r="H107" s="12" t="n">
        <f aca="false">1-F107/G107</f>
        <v>0.450225112556278</v>
      </c>
      <c r="I107" s="13" t="n">
        <v>54.95</v>
      </c>
      <c r="J107" s="6" t="n">
        <f aca="false">ROUNDUP(I107/(1-H107),0)-0.05</f>
        <v>99.95</v>
      </c>
      <c r="K107" s="6" t="n">
        <f aca="false">I107-F107</f>
        <v>0</v>
      </c>
      <c r="L107" s="5" t="s">
        <v>17</v>
      </c>
      <c r="M107" s="5" t="n">
        <v>6</v>
      </c>
      <c r="N107" s="6" t="n">
        <v>54.95</v>
      </c>
      <c r="O107" s="6" t="n">
        <v>54.95</v>
      </c>
      <c r="P107" s="6" t="n">
        <f aca="false">O107-I107</f>
        <v>0</v>
      </c>
    </row>
    <row r="108" customFormat="false" ht="15" hidden="false" customHeight="false" outlineLevel="0" collapsed="false">
      <c r="A108" s="5" t="s">
        <v>326</v>
      </c>
      <c r="B108" s="5" t="s">
        <v>327</v>
      </c>
      <c r="C108" s="5" t="s">
        <v>16</v>
      </c>
      <c r="D108" s="5" t="s">
        <v>244</v>
      </c>
      <c r="E108" s="5" t="n">
        <v>48</v>
      </c>
      <c r="F108" s="6" t="n">
        <v>54.95</v>
      </c>
      <c r="G108" s="6" t="n">
        <v>109.95</v>
      </c>
      <c r="H108" s="12" t="n">
        <f aca="false">1-F108/G108</f>
        <v>0.500227376080036</v>
      </c>
      <c r="I108" s="13" t="n">
        <v>54.95</v>
      </c>
      <c r="J108" s="6" t="n">
        <f aca="false">ROUNDUP(I108/(1-H108),0)-0.05</f>
        <v>109.95</v>
      </c>
      <c r="K108" s="6" t="n">
        <f aca="false">I108-F108</f>
        <v>0</v>
      </c>
      <c r="L108" s="5" t="s">
        <v>17</v>
      </c>
      <c r="M108" s="5" t="n">
        <v>6</v>
      </c>
      <c r="N108" s="6" t="n">
        <v>54.95</v>
      </c>
      <c r="O108" s="6" t="n">
        <v>54.95</v>
      </c>
      <c r="P108" s="6" t="n">
        <f aca="false">O108-I108</f>
        <v>0</v>
      </c>
    </row>
    <row r="109" customFormat="false" ht="15" hidden="false" customHeight="false" outlineLevel="0" collapsed="false">
      <c r="A109" s="5" t="s">
        <v>328</v>
      </c>
      <c r="B109" s="5" t="s">
        <v>329</v>
      </c>
      <c r="C109" s="5" t="s">
        <v>16</v>
      </c>
      <c r="D109" s="5" t="s">
        <v>16</v>
      </c>
      <c r="E109" s="5" t="n">
        <v>56</v>
      </c>
      <c r="F109" s="6" t="n">
        <v>54.95</v>
      </c>
      <c r="G109" s="6" t="n">
        <v>109.95</v>
      </c>
      <c r="H109" s="12" t="n">
        <f aca="false">1-F109/G109</f>
        <v>0.500227376080036</v>
      </c>
      <c r="I109" s="13" t="n">
        <v>54.95</v>
      </c>
      <c r="J109" s="6" t="n">
        <f aca="false">ROUNDUP(I109/(1-H109),0)-0.05</f>
        <v>109.95</v>
      </c>
      <c r="K109" s="6" t="n">
        <f aca="false">I109-F109</f>
        <v>0</v>
      </c>
      <c r="L109" s="5" t="s">
        <v>17</v>
      </c>
      <c r="M109" s="5" t="n">
        <v>6</v>
      </c>
      <c r="N109" s="6" t="n">
        <v>54.95</v>
      </c>
      <c r="O109" s="6" t="n">
        <v>54.95</v>
      </c>
      <c r="P109" s="6" t="n">
        <f aca="false">O109-I109</f>
        <v>0</v>
      </c>
    </row>
    <row r="110" customFormat="false" ht="15" hidden="false" customHeight="false" outlineLevel="0" collapsed="false">
      <c r="A110" s="5" t="s">
        <v>330</v>
      </c>
      <c r="B110" s="5" t="s">
        <v>331</v>
      </c>
      <c r="C110" s="5" t="s">
        <v>16</v>
      </c>
      <c r="D110" s="5" t="s">
        <v>332</v>
      </c>
      <c r="E110" s="5" t="n">
        <v>24</v>
      </c>
      <c r="F110" s="6" t="n">
        <v>54.95</v>
      </c>
      <c r="G110" s="6" t="n">
        <v>109.95</v>
      </c>
      <c r="H110" s="12" t="n">
        <f aca="false">1-F110/G110</f>
        <v>0.500227376080036</v>
      </c>
      <c r="I110" s="13" t="n">
        <v>54.95</v>
      </c>
      <c r="J110" s="6" t="n">
        <f aca="false">ROUNDUP(I110/(1-H110),0)-0.05</f>
        <v>109.95</v>
      </c>
      <c r="K110" s="6" t="n">
        <f aca="false">I110-F110</f>
        <v>0</v>
      </c>
      <c r="L110" s="5" t="s">
        <v>17</v>
      </c>
      <c r="M110" s="5" t="n">
        <v>6</v>
      </c>
      <c r="N110" s="6" t="n">
        <v>54.95</v>
      </c>
      <c r="O110" s="6" t="n">
        <v>54.95</v>
      </c>
      <c r="P110" s="6" t="n">
        <f aca="false">O110-I110</f>
        <v>0</v>
      </c>
    </row>
    <row r="111" customFormat="false" ht="15" hidden="false" customHeight="false" outlineLevel="0" collapsed="false">
      <c r="A111" s="5" t="s">
        <v>333</v>
      </c>
      <c r="B111" s="5" t="s">
        <v>334</v>
      </c>
      <c r="C111" s="5" t="s">
        <v>16</v>
      </c>
      <c r="D111" s="5" t="s">
        <v>227</v>
      </c>
      <c r="E111" s="5" t="n">
        <v>30</v>
      </c>
      <c r="F111" s="6" t="n">
        <v>54.95</v>
      </c>
      <c r="G111" s="6" t="n">
        <v>91.95</v>
      </c>
      <c r="H111" s="12" t="n">
        <f aca="false">1-F111/G111</f>
        <v>0.402392604676455</v>
      </c>
      <c r="I111" s="13" t="n">
        <v>54.95</v>
      </c>
      <c r="J111" s="6" t="n">
        <f aca="false">ROUNDUP(I111/(1-H111),0)-0.05</f>
        <v>91.95</v>
      </c>
      <c r="K111" s="6" t="n">
        <f aca="false">I111-F111</f>
        <v>0</v>
      </c>
      <c r="L111" s="5" t="s">
        <v>17</v>
      </c>
      <c r="M111" s="5" t="n">
        <v>6</v>
      </c>
      <c r="N111" s="6" t="n">
        <v>54.95</v>
      </c>
      <c r="O111" s="6" t="n">
        <v>54.95</v>
      </c>
      <c r="P111" s="6" t="n">
        <f aca="false">O111-I111</f>
        <v>0</v>
      </c>
    </row>
    <row r="112" customFormat="false" ht="15" hidden="false" customHeight="false" outlineLevel="0" collapsed="false">
      <c r="A112" s="5" t="s">
        <v>335</v>
      </c>
      <c r="B112" s="5" t="s">
        <v>336</v>
      </c>
      <c r="C112" s="5" t="s">
        <v>16</v>
      </c>
      <c r="D112" s="5" t="s">
        <v>176</v>
      </c>
      <c r="E112" s="5" t="n">
        <v>25</v>
      </c>
      <c r="F112" s="6" t="n">
        <v>54.95</v>
      </c>
      <c r="G112" s="6" t="n">
        <v>99.95</v>
      </c>
      <c r="H112" s="12" t="n">
        <f aca="false">1-F112/G112</f>
        <v>0.450225112556278</v>
      </c>
      <c r="I112" s="13" t="n">
        <v>54.95</v>
      </c>
      <c r="J112" s="6" t="n">
        <f aca="false">ROUNDUP(I112/(1-H112),0)-0.05</f>
        <v>99.95</v>
      </c>
      <c r="K112" s="6" t="n">
        <f aca="false">I112-F112</f>
        <v>0</v>
      </c>
      <c r="L112" s="5" t="s">
        <v>17</v>
      </c>
      <c r="M112" s="5" t="n">
        <v>6</v>
      </c>
      <c r="N112" s="6" t="n">
        <v>54.95</v>
      </c>
      <c r="O112" s="6" t="n">
        <v>54.95</v>
      </c>
      <c r="P112" s="6" t="n">
        <f aca="false">O112-I112</f>
        <v>0</v>
      </c>
    </row>
    <row r="113" customFormat="false" ht="15" hidden="false" customHeight="false" outlineLevel="0" collapsed="false">
      <c r="A113" s="5" t="s">
        <v>337</v>
      </c>
      <c r="B113" s="5" t="s">
        <v>338</v>
      </c>
      <c r="C113" s="5" t="s">
        <v>16</v>
      </c>
      <c r="D113" s="5" t="s">
        <v>325</v>
      </c>
      <c r="E113" s="5" t="n">
        <v>48</v>
      </c>
      <c r="F113" s="6" t="n">
        <v>54.95</v>
      </c>
      <c r="G113" s="6" t="n">
        <v>99.95</v>
      </c>
      <c r="H113" s="12" t="n">
        <f aca="false">1-F113/G113</f>
        <v>0.450225112556278</v>
      </c>
      <c r="I113" s="13" t="n">
        <v>54.95</v>
      </c>
      <c r="J113" s="6" t="n">
        <f aca="false">ROUNDUP(I113/(1-H113),0)-0.05</f>
        <v>99.95</v>
      </c>
      <c r="K113" s="6" t="n">
        <f aca="false">I113-F113</f>
        <v>0</v>
      </c>
      <c r="L113" s="5" t="s">
        <v>17</v>
      </c>
      <c r="M113" s="5" t="n">
        <v>6</v>
      </c>
      <c r="N113" s="6" t="n">
        <v>54.95</v>
      </c>
      <c r="O113" s="6" t="n">
        <v>54.95</v>
      </c>
      <c r="P113" s="6" t="n">
        <f aca="false">O113-I113</f>
        <v>0</v>
      </c>
    </row>
    <row r="114" customFormat="false" ht="15" hidden="false" customHeight="false" outlineLevel="0" collapsed="false">
      <c r="A114" s="5" t="s">
        <v>339</v>
      </c>
      <c r="B114" s="5" t="s">
        <v>340</v>
      </c>
      <c r="C114" s="5" t="s">
        <v>16</v>
      </c>
      <c r="D114" s="5" t="s">
        <v>227</v>
      </c>
      <c r="E114" s="5" t="n">
        <v>30</v>
      </c>
      <c r="F114" s="6" t="n">
        <v>54.95</v>
      </c>
      <c r="G114" s="6" t="n">
        <v>91.95</v>
      </c>
      <c r="H114" s="12" t="n">
        <f aca="false">1-F114/G114</f>
        <v>0.402392604676455</v>
      </c>
      <c r="I114" s="13" t="n">
        <v>54.95</v>
      </c>
      <c r="J114" s="6" t="n">
        <f aca="false">ROUNDUP(I114/(1-H114),0)-0.05</f>
        <v>91.95</v>
      </c>
      <c r="K114" s="6" t="n">
        <f aca="false">I114-F114</f>
        <v>0</v>
      </c>
      <c r="L114" s="5" t="s">
        <v>17</v>
      </c>
      <c r="M114" s="5" t="n">
        <v>6</v>
      </c>
      <c r="N114" s="6" t="n">
        <v>54.95</v>
      </c>
      <c r="O114" s="6" t="n">
        <v>54.95</v>
      </c>
      <c r="P114" s="6" t="n">
        <f aca="false">O114-I114</f>
        <v>0</v>
      </c>
    </row>
    <row r="115" customFormat="false" ht="15" hidden="false" customHeight="false" outlineLevel="0" collapsed="false">
      <c r="A115" s="5" t="s">
        <v>341</v>
      </c>
      <c r="B115" s="5" t="s">
        <v>342</v>
      </c>
      <c r="C115" s="5" t="s">
        <v>16</v>
      </c>
      <c r="D115" s="5" t="s">
        <v>343</v>
      </c>
      <c r="E115" s="5" t="n">
        <v>20</v>
      </c>
      <c r="F115" s="6" t="n">
        <v>54.95</v>
      </c>
      <c r="G115" s="6" t="n">
        <v>109.95</v>
      </c>
      <c r="H115" s="12" t="n">
        <f aca="false">1-F115/G115</f>
        <v>0.500227376080036</v>
      </c>
      <c r="I115" s="13" t="n">
        <v>54.95</v>
      </c>
      <c r="J115" s="6" t="n">
        <f aca="false">ROUNDUP(I115/(1-H115),0)-0.05</f>
        <v>109.95</v>
      </c>
      <c r="K115" s="6" t="n">
        <f aca="false">I115-F115</f>
        <v>0</v>
      </c>
      <c r="L115" s="5" t="s">
        <v>17</v>
      </c>
      <c r="M115" s="5" t="n">
        <v>6</v>
      </c>
      <c r="N115" s="6" t="n">
        <v>54.95</v>
      </c>
      <c r="O115" s="6" t="n">
        <v>54.95</v>
      </c>
      <c r="P115" s="6" t="n">
        <f aca="false">O115-I115</f>
        <v>0</v>
      </c>
    </row>
    <row r="116" customFormat="false" ht="15" hidden="false" customHeight="false" outlineLevel="0" collapsed="false">
      <c r="A116" s="5" t="s">
        <v>344</v>
      </c>
      <c r="B116" s="5" t="s">
        <v>345</v>
      </c>
      <c r="C116" s="5" t="s">
        <v>16</v>
      </c>
      <c r="D116" s="5" t="s">
        <v>346</v>
      </c>
      <c r="E116" s="5" t="n">
        <v>16</v>
      </c>
      <c r="F116" s="6" t="n">
        <v>54.95</v>
      </c>
      <c r="G116" s="6" t="n">
        <v>109.95</v>
      </c>
      <c r="H116" s="12" t="n">
        <f aca="false">1-F116/G116</f>
        <v>0.500227376080036</v>
      </c>
      <c r="I116" s="13" t="n">
        <v>54.95</v>
      </c>
      <c r="J116" s="6" t="n">
        <f aca="false">ROUNDUP(I116/(1-H116),0)-0.05</f>
        <v>109.95</v>
      </c>
      <c r="K116" s="6" t="n">
        <f aca="false">I116-F116</f>
        <v>0</v>
      </c>
      <c r="L116" s="5" t="s">
        <v>17</v>
      </c>
      <c r="M116" s="5" t="n">
        <v>6</v>
      </c>
      <c r="N116" s="6" t="n">
        <v>54.95</v>
      </c>
      <c r="O116" s="6" t="n">
        <v>54.95</v>
      </c>
      <c r="P116" s="6" t="n">
        <f aca="false">O116-I116</f>
        <v>0</v>
      </c>
    </row>
    <row r="117" customFormat="false" ht="15" hidden="false" customHeight="false" outlineLevel="0" collapsed="false">
      <c r="A117" s="5" t="s">
        <v>347</v>
      </c>
      <c r="B117" s="5" t="s">
        <v>348</v>
      </c>
      <c r="C117" s="5" t="s">
        <v>16</v>
      </c>
      <c r="D117" s="5" t="s">
        <v>349</v>
      </c>
      <c r="E117" s="5" t="n">
        <v>60</v>
      </c>
      <c r="F117" s="6" t="n">
        <v>54.95</v>
      </c>
      <c r="G117" s="6" t="n">
        <v>91.95</v>
      </c>
      <c r="H117" s="12" t="n">
        <f aca="false">1-F117/G117</f>
        <v>0.402392604676455</v>
      </c>
      <c r="I117" s="13" t="n">
        <v>54.95</v>
      </c>
      <c r="J117" s="6" t="n">
        <f aca="false">ROUNDUP(I117/(1-H117),0)-0.05</f>
        <v>91.95</v>
      </c>
      <c r="K117" s="6" t="n">
        <f aca="false">I117-F117</f>
        <v>0</v>
      </c>
      <c r="L117" s="5" t="s">
        <v>17</v>
      </c>
      <c r="M117" s="5" t="n">
        <v>6</v>
      </c>
      <c r="N117" s="6" t="n">
        <v>54.95</v>
      </c>
      <c r="O117" s="6" t="n">
        <v>54.95</v>
      </c>
      <c r="P117" s="6" t="n">
        <f aca="false">O117-I117</f>
        <v>0</v>
      </c>
    </row>
    <row r="118" customFormat="false" ht="15" hidden="false" customHeight="false" outlineLevel="0" collapsed="false">
      <c r="A118" s="5" t="s">
        <v>350</v>
      </c>
      <c r="B118" s="5" t="s">
        <v>351</v>
      </c>
      <c r="C118" s="5" t="s">
        <v>16</v>
      </c>
      <c r="D118" s="5" t="s">
        <v>227</v>
      </c>
      <c r="E118" s="5" t="n">
        <v>48</v>
      </c>
      <c r="F118" s="6" t="n">
        <v>54.95</v>
      </c>
      <c r="G118" s="6" t="n">
        <v>91.95</v>
      </c>
      <c r="H118" s="12" t="n">
        <f aca="false">1-F118/G118</f>
        <v>0.402392604676455</v>
      </c>
      <c r="I118" s="13" t="n">
        <v>54.95</v>
      </c>
      <c r="J118" s="6" t="n">
        <f aca="false">ROUNDUP(I118/(1-H118),0)-0.05</f>
        <v>91.95</v>
      </c>
      <c r="K118" s="6" t="n">
        <f aca="false">I118-F118</f>
        <v>0</v>
      </c>
      <c r="L118" s="5" t="s">
        <v>17</v>
      </c>
      <c r="M118" s="5" t="n">
        <v>6</v>
      </c>
      <c r="N118" s="6" t="n">
        <v>54.95</v>
      </c>
      <c r="O118" s="6" t="n">
        <v>54.95</v>
      </c>
      <c r="P118" s="6" t="n">
        <f aca="false">O118-I118</f>
        <v>0</v>
      </c>
    </row>
    <row r="119" customFormat="false" ht="15" hidden="false" customHeight="false" outlineLevel="0" collapsed="false">
      <c r="A119" s="5" t="s">
        <v>352</v>
      </c>
      <c r="B119" s="5" t="s">
        <v>353</v>
      </c>
      <c r="C119" s="5" t="s">
        <v>16</v>
      </c>
      <c r="D119" s="5" t="s">
        <v>227</v>
      </c>
      <c r="E119" s="5" t="n">
        <v>49</v>
      </c>
      <c r="F119" s="6" t="n">
        <v>54.95</v>
      </c>
      <c r="G119" s="6" t="n">
        <v>109.95</v>
      </c>
      <c r="H119" s="12" t="n">
        <f aca="false">1-F119/G119</f>
        <v>0.500227376080036</v>
      </c>
      <c r="I119" s="13" t="n">
        <v>54.95</v>
      </c>
      <c r="J119" s="6" t="n">
        <f aca="false">ROUNDUP(I119/(1-H119),0)-0.05</f>
        <v>109.95</v>
      </c>
      <c r="K119" s="6" t="n">
        <f aca="false">I119-F119</f>
        <v>0</v>
      </c>
      <c r="L119" s="5" t="s">
        <v>17</v>
      </c>
      <c r="M119" s="5" t="n">
        <v>6</v>
      </c>
      <c r="N119" s="6" t="n">
        <v>54.95</v>
      </c>
      <c r="O119" s="6" t="n">
        <v>54.95</v>
      </c>
      <c r="P119" s="6" t="n">
        <f aca="false">O119-I119</f>
        <v>0</v>
      </c>
    </row>
    <row r="120" customFormat="false" ht="15" hidden="false" customHeight="false" outlineLevel="0" collapsed="false">
      <c r="A120" s="5" t="s">
        <v>354</v>
      </c>
      <c r="B120" s="5" t="s">
        <v>355</v>
      </c>
      <c r="C120" s="5" t="s">
        <v>16</v>
      </c>
      <c r="D120" s="5" t="s">
        <v>232</v>
      </c>
      <c r="E120" s="5" t="n">
        <v>44</v>
      </c>
      <c r="F120" s="6" t="n">
        <v>54.95</v>
      </c>
      <c r="G120" s="6" t="n">
        <v>91.95</v>
      </c>
      <c r="H120" s="12" t="n">
        <f aca="false">1-F120/G120</f>
        <v>0.402392604676455</v>
      </c>
      <c r="I120" s="13" t="n">
        <v>54.95</v>
      </c>
      <c r="J120" s="6" t="n">
        <f aca="false">ROUNDUP(I120/(1-H120),0)-0.05</f>
        <v>91.95</v>
      </c>
      <c r="K120" s="6" t="n">
        <f aca="false">I120-F120</f>
        <v>0</v>
      </c>
      <c r="L120" s="5" t="s">
        <v>17</v>
      </c>
      <c r="M120" s="5" t="n">
        <v>6</v>
      </c>
      <c r="N120" s="6" t="n">
        <v>54.95</v>
      </c>
      <c r="O120" s="6" t="n">
        <v>54.95</v>
      </c>
      <c r="P120" s="6" t="n">
        <f aca="false">O120-I120</f>
        <v>0</v>
      </c>
    </row>
    <row r="121" customFormat="false" ht="15" hidden="false" customHeight="false" outlineLevel="0" collapsed="false">
      <c r="A121" s="5" t="s">
        <v>356</v>
      </c>
      <c r="B121" s="5" t="s">
        <v>357</v>
      </c>
      <c r="C121" s="5" t="s">
        <v>16</v>
      </c>
      <c r="D121" s="5" t="s">
        <v>84</v>
      </c>
      <c r="E121" s="5" t="n">
        <v>21</v>
      </c>
      <c r="F121" s="6" t="n">
        <v>54.95</v>
      </c>
      <c r="G121" s="6" t="n">
        <v>99.95</v>
      </c>
      <c r="H121" s="12" t="n">
        <f aca="false">1-F121/G121</f>
        <v>0.450225112556278</v>
      </c>
      <c r="I121" s="13" t="n">
        <v>54.95</v>
      </c>
      <c r="J121" s="6" t="n">
        <f aca="false">ROUNDUP(I121/(1-H121),0)-0.05</f>
        <v>99.95</v>
      </c>
      <c r="K121" s="6" t="n">
        <f aca="false">I121-F121</f>
        <v>0</v>
      </c>
      <c r="L121" s="5" t="s">
        <v>17</v>
      </c>
      <c r="M121" s="5" t="n">
        <v>6</v>
      </c>
      <c r="N121" s="6" t="n">
        <v>54.95</v>
      </c>
      <c r="O121" s="6" t="n">
        <v>54.95</v>
      </c>
      <c r="P121" s="6" t="n">
        <f aca="false">O121-I121</f>
        <v>0</v>
      </c>
    </row>
    <row r="122" customFormat="false" ht="15" hidden="false" customHeight="false" outlineLevel="0" collapsed="false">
      <c r="A122" s="5" t="s">
        <v>358</v>
      </c>
      <c r="B122" s="5" t="s">
        <v>359</v>
      </c>
      <c r="C122" s="5" t="s">
        <v>16</v>
      </c>
      <c r="D122" s="5" t="s">
        <v>227</v>
      </c>
      <c r="E122" s="5" t="n">
        <v>54</v>
      </c>
      <c r="F122" s="6" t="n">
        <v>54.95</v>
      </c>
      <c r="G122" s="6" t="n">
        <v>109.95</v>
      </c>
      <c r="H122" s="12" t="n">
        <f aca="false">1-F122/G122</f>
        <v>0.500227376080036</v>
      </c>
      <c r="I122" s="13" t="n">
        <v>54.95</v>
      </c>
      <c r="J122" s="6" t="n">
        <f aca="false">ROUNDUP(I122/(1-H122),0)-0.05</f>
        <v>109.95</v>
      </c>
      <c r="K122" s="6" t="n">
        <f aca="false">I122-F122</f>
        <v>0</v>
      </c>
      <c r="L122" s="5" t="s">
        <v>17</v>
      </c>
      <c r="M122" s="5" t="n">
        <v>6</v>
      </c>
      <c r="N122" s="6" t="n">
        <v>54.95</v>
      </c>
      <c r="O122" s="6" t="n">
        <v>54.95</v>
      </c>
      <c r="P122" s="6" t="n">
        <f aca="false">O122-I122</f>
        <v>0</v>
      </c>
    </row>
    <row r="123" customFormat="false" ht="15" hidden="false" customHeight="false" outlineLevel="0" collapsed="false">
      <c r="A123" s="5" t="s">
        <v>360</v>
      </c>
      <c r="B123" s="5" t="s">
        <v>361</v>
      </c>
      <c r="C123" s="5" t="s">
        <v>16</v>
      </c>
      <c r="D123" s="5" t="s">
        <v>227</v>
      </c>
      <c r="E123" s="5" t="n">
        <v>56</v>
      </c>
      <c r="F123" s="6" t="n">
        <v>54.95</v>
      </c>
      <c r="G123" s="6" t="n">
        <v>91.95</v>
      </c>
      <c r="H123" s="12" t="n">
        <f aca="false">1-F123/G123</f>
        <v>0.402392604676455</v>
      </c>
      <c r="I123" s="13" t="n">
        <v>54.95</v>
      </c>
      <c r="J123" s="6" t="n">
        <f aca="false">ROUNDUP(I123/(1-H123),0)-0.05</f>
        <v>91.95</v>
      </c>
      <c r="K123" s="6" t="n">
        <f aca="false">I123-F123</f>
        <v>0</v>
      </c>
      <c r="L123" s="5" t="s">
        <v>17</v>
      </c>
      <c r="M123" s="5" t="n">
        <v>6</v>
      </c>
      <c r="N123" s="6" t="n">
        <v>54.95</v>
      </c>
      <c r="O123" s="6" t="n">
        <v>54.95</v>
      </c>
      <c r="P123" s="6" t="n">
        <f aca="false">O123-I123</f>
        <v>0</v>
      </c>
    </row>
    <row r="124" customFormat="false" ht="15" hidden="false" customHeight="false" outlineLevel="0" collapsed="false">
      <c r="A124" s="5" t="s">
        <v>362</v>
      </c>
      <c r="B124" s="5" t="s">
        <v>363</v>
      </c>
      <c r="C124" s="5" t="s">
        <v>16</v>
      </c>
      <c r="D124" s="5" t="s">
        <v>232</v>
      </c>
      <c r="E124" s="5" t="n">
        <v>33</v>
      </c>
      <c r="F124" s="6" t="n">
        <v>54.95</v>
      </c>
      <c r="G124" s="6" t="n">
        <v>91.95</v>
      </c>
      <c r="H124" s="12" t="n">
        <f aca="false">1-F124/G124</f>
        <v>0.402392604676455</v>
      </c>
      <c r="I124" s="13" t="n">
        <v>54.95</v>
      </c>
      <c r="J124" s="6" t="n">
        <f aca="false">ROUNDUP(I124/(1-H124),0)-0.05</f>
        <v>91.95</v>
      </c>
      <c r="K124" s="6" t="n">
        <f aca="false">I124-F124</f>
        <v>0</v>
      </c>
      <c r="L124" s="5" t="s">
        <v>17</v>
      </c>
      <c r="M124" s="5" t="n">
        <v>6</v>
      </c>
      <c r="N124" s="6" t="n">
        <v>54.95</v>
      </c>
      <c r="O124" s="6" t="n">
        <v>54.95</v>
      </c>
      <c r="P124" s="6" t="n">
        <f aca="false">O124-I124</f>
        <v>0</v>
      </c>
    </row>
    <row r="125" customFormat="false" ht="15" hidden="false" customHeight="false" outlineLevel="0" collapsed="false">
      <c r="A125" s="5" t="s">
        <v>364</v>
      </c>
      <c r="B125" s="5" t="s">
        <v>365</v>
      </c>
      <c r="C125" s="5" t="s">
        <v>38</v>
      </c>
      <c r="D125" s="5" t="s">
        <v>96</v>
      </c>
      <c r="E125" s="5" t="n">
        <v>24</v>
      </c>
      <c r="F125" s="6" t="n">
        <v>69.95</v>
      </c>
      <c r="G125" s="6" t="n">
        <v>139.95</v>
      </c>
      <c r="H125" s="12" t="n">
        <f aca="false">1-F125/G125</f>
        <v>0.500178635226867</v>
      </c>
      <c r="I125" s="13" t="n">
        <v>74.95</v>
      </c>
      <c r="J125" s="6" t="n">
        <f aca="false">ROUNDUP(I125/(1-H125),0)-0.05</f>
        <v>149.95</v>
      </c>
      <c r="K125" s="6" t="n">
        <f aca="false">I125-F125</f>
        <v>5</v>
      </c>
      <c r="L125" s="5" t="s">
        <v>39</v>
      </c>
      <c r="M125" s="5" t="n">
        <v>22</v>
      </c>
      <c r="N125" s="6" t="n">
        <v>71.2</v>
      </c>
      <c r="O125" s="6" t="n">
        <v>79.95</v>
      </c>
      <c r="P125" s="6" t="n">
        <f aca="false">O125-I125</f>
        <v>5</v>
      </c>
    </row>
    <row r="126" customFormat="false" ht="15" hidden="false" customHeight="false" outlineLevel="0" collapsed="false">
      <c r="A126" s="5" t="s">
        <v>366</v>
      </c>
      <c r="B126" s="5" t="s">
        <v>367</v>
      </c>
      <c r="C126" s="5" t="s">
        <v>38</v>
      </c>
      <c r="D126" s="5" t="s">
        <v>368</v>
      </c>
      <c r="E126" s="5" t="n">
        <v>35</v>
      </c>
      <c r="F126" s="6" t="n">
        <v>69.95</v>
      </c>
      <c r="G126" s="6" t="n">
        <v>127.95</v>
      </c>
      <c r="H126" s="12" t="n">
        <f aca="false">1-F126/G126</f>
        <v>0.453302071121532</v>
      </c>
      <c r="I126" s="13" t="n">
        <v>74.95</v>
      </c>
      <c r="J126" s="6" t="n">
        <f aca="false">ROUNDUP(I126/(1-H126),0)-0.05</f>
        <v>137.95</v>
      </c>
      <c r="K126" s="6" t="n">
        <f aca="false">I126-F126</f>
        <v>5</v>
      </c>
      <c r="L126" s="5" t="s">
        <v>39</v>
      </c>
      <c r="M126" s="5" t="n">
        <v>22</v>
      </c>
      <c r="N126" s="6" t="n">
        <v>71.2</v>
      </c>
      <c r="O126" s="6" t="n">
        <v>79.95</v>
      </c>
      <c r="P126" s="6" t="n">
        <f aca="false">O126-I126</f>
        <v>5</v>
      </c>
    </row>
    <row r="127" customFormat="false" ht="15" hidden="false" customHeight="false" outlineLevel="0" collapsed="false">
      <c r="A127" s="5" t="s">
        <v>369</v>
      </c>
      <c r="B127" s="5" t="s">
        <v>370</v>
      </c>
      <c r="C127" s="5" t="s">
        <v>38</v>
      </c>
      <c r="D127" s="5" t="s">
        <v>371</v>
      </c>
      <c r="E127" s="5" t="n">
        <v>25</v>
      </c>
      <c r="F127" s="6" t="n">
        <v>69.95</v>
      </c>
      <c r="G127" s="6" t="n">
        <v>127.95</v>
      </c>
      <c r="H127" s="12" t="n">
        <f aca="false">1-F127/G127</f>
        <v>0.453302071121532</v>
      </c>
      <c r="I127" s="13" t="n">
        <v>74.95</v>
      </c>
      <c r="J127" s="6" t="n">
        <f aca="false">ROUNDUP(I127/(1-H127),0)-0.05</f>
        <v>137.95</v>
      </c>
      <c r="K127" s="6" t="n">
        <f aca="false">I127-F127</f>
        <v>5</v>
      </c>
      <c r="L127" s="5" t="s">
        <v>39</v>
      </c>
      <c r="M127" s="5" t="n">
        <v>22</v>
      </c>
      <c r="N127" s="6" t="n">
        <v>71.2</v>
      </c>
      <c r="O127" s="6" t="n">
        <v>79.95</v>
      </c>
      <c r="P127" s="6" t="n">
        <f aca="false">O127-I127</f>
        <v>5</v>
      </c>
    </row>
    <row r="128" customFormat="false" ht="15" hidden="false" customHeight="false" outlineLevel="0" collapsed="false">
      <c r="A128" s="5" t="s">
        <v>372</v>
      </c>
      <c r="B128" s="5" t="s">
        <v>373</v>
      </c>
      <c r="C128" s="5" t="s">
        <v>38</v>
      </c>
      <c r="D128" s="5" t="s">
        <v>374</v>
      </c>
      <c r="E128" s="5" t="n">
        <v>45</v>
      </c>
      <c r="F128" s="6" t="n">
        <v>69.95</v>
      </c>
      <c r="G128" s="6" t="n">
        <v>127.95</v>
      </c>
      <c r="H128" s="12" t="n">
        <f aca="false">1-F128/G128</f>
        <v>0.453302071121532</v>
      </c>
      <c r="I128" s="13" t="n">
        <v>74.95</v>
      </c>
      <c r="J128" s="6" t="n">
        <f aca="false">ROUNDUP(I128/(1-H128),0)-0.05</f>
        <v>137.95</v>
      </c>
      <c r="K128" s="6" t="n">
        <f aca="false">I128-F128</f>
        <v>5</v>
      </c>
      <c r="L128" s="5" t="s">
        <v>39</v>
      </c>
      <c r="M128" s="5" t="n">
        <v>22</v>
      </c>
      <c r="N128" s="6" t="n">
        <v>71.2</v>
      </c>
      <c r="O128" s="6" t="n">
        <v>79.95</v>
      </c>
      <c r="P128" s="6" t="n">
        <f aca="false">O128-I128</f>
        <v>5</v>
      </c>
    </row>
    <row r="129" customFormat="false" ht="15" hidden="false" customHeight="false" outlineLevel="0" collapsed="false">
      <c r="A129" s="5" t="s">
        <v>375</v>
      </c>
      <c r="B129" s="5" t="s">
        <v>376</v>
      </c>
      <c r="C129" s="5" t="s">
        <v>38</v>
      </c>
      <c r="D129" s="5" t="s">
        <v>371</v>
      </c>
      <c r="E129" s="5" t="n">
        <v>16</v>
      </c>
      <c r="F129" s="6" t="n">
        <v>69.95</v>
      </c>
      <c r="G129" s="6" t="n">
        <v>127.95</v>
      </c>
      <c r="H129" s="12" t="n">
        <f aca="false">1-F129/G129</f>
        <v>0.453302071121532</v>
      </c>
      <c r="I129" s="13" t="n">
        <v>74.95</v>
      </c>
      <c r="J129" s="6" t="n">
        <f aca="false">ROUNDUP(I129/(1-H129),0)-0.05</f>
        <v>137.95</v>
      </c>
      <c r="K129" s="6" t="n">
        <f aca="false">I129-F129</f>
        <v>5</v>
      </c>
      <c r="L129" s="5" t="s">
        <v>39</v>
      </c>
      <c r="M129" s="5" t="n">
        <v>22</v>
      </c>
      <c r="N129" s="6" t="n">
        <v>71.2</v>
      </c>
      <c r="O129" s="6" t="n">
        <v>79.95</v>
      </c>
      <c r="P129" s="6" t="n">
        <f aca="false">O129-I129</f>
        <v>5</v>
      </c>
    </row>
    <row r="130" customFormat="false" ht="15" hidden="false" customHeight="false" outlineLevel="0" collapsed="false">
      <c r="A130" s="5" t="s">
        <v>377</v>
      </c>
      <c r="B130" s="5" t="s">
        <v>378</v>
      </c>
      <c r="C130" s="5" t="s">
        <v>34</v>
      </c>
      <c r="D130" s="5" t="s">
        <v>227</v>
      </c>
      <c r="E130" s="5" t="n">
        <v>49</v>
      </c>
      <c r="F130" s="6" t="n">
        <v>54.95</v>
      </c>
      <c r="G130" s="6" t="n">
        <v>99.95</v>
      </c>
      <c r="H130" s="12" t="n">
        <f aca="false">1-F130/G130</f>
        <v>0.450225112556278</v>
      </c>
      <c r="I130" s="13" t="n">
        <v>54.95</v>
      </c>
      <c r="J130" s="6" t="n">
        <f aca="false">ROUNDUP(I130/(1-H130),0)-0.05</f>
        <v>99.95</v>
      </c>
      <c r="K130" s="6" t="n">
        <f aca="false">I130-F130</f>
        <v>0</v>
      </c>
      <c r="L130" s="5" t="s">
        <v>35</v>
      </c>
      <c r="M130" s="5" t="n">
        <v>6</v>
      </c>
      <c r="N130" s="6" t="n">
        <v>49.95</v>
      </c>
      <c r="O130" s="6" t="n">
        <v>52.45</v>
      </c>
      <c r="P130" s="6" t="n">
        <f aca="false">O130-I130</f>
        <v>-2.5</v>
      </c>
    </row>
    <row r="131" customFormat="false" ht="15" hidden="false" customHeight="false" outlineLevel="0" collapsed="false">
      <c r="A131" s="5" t="s">
        <v>379</v>
      </c>
      <c r="B131" s="5" t="s">
        <v>380</v>
      </c>
      <c r="C131" s="5" t="s">
        <v>34</v>
      </c>
      <c r="D131" s="5" t="s">
        <v>227</v>
      </c>
      <c r="E131" s="5" t="n">
        <v>35</v>
      </c>
      <c r="F131" s="6" t="n">
        <v>54.95</v>
      </c>
      <c r="G131" s="6" t="n">
        <v>91.95</v>
      </c>
      <c r="H131" s="12" t="n">
        <f aca="false">1-F131/G131</f>
        <v>0.402392604676455</v>
      </c>
      <c r="I131" s="13" t="n">
        <v>54.95</v>
      </c>
      <c r="J131" s="6" t="n">
        <f aca="false">ROUNDUP(I131/(1-H131),0)-0.05</f>
        <v>91.95</v>
      </c>
      <c r="K131" s="6" t="n">
        <f aca="false">I131-F131</f>
        <v>0</v>
      </c>
      <c r="L131" s="5" t="s">
        <v>35</v>
      </c>
      <c r="M131" s="5" t="n">
        <v>6</v>
      </c>
      <c r="N131" s="6" t="n">
        <v>49.95</v>
      </c>
      <c r="O131" s="6" t="n">
        <v>52.45</v>
      </c>
      <c r="P131" s="6" t="n">
        <f aca="false">O131-I131</f>
        <v>-2.5</v>
      </c>
    </row>
    <row r="132" customFormat="false" ht="15" hidden="false" customHeight="false" outlineLevel="0" collapsed="false">
      <c r="A132" s="5" t="s">
        <v>381</v>
      </c>
      <c r="B132" s="5" t="s">
        <v>382</v>
      </c>
      <c r="C132" s="5" t="s">
        <v>34</v>
      </c>
      <c r="D132" s="5" t="s">
        <v>277</v>
      </c>
      <c r="E132" s="5" t="n">
        <v>54</v>
      </c>
      <c r="F132" s="6" t="n">
        <v>54.95</v>
      </c>
      <c r="G132" s="6" t="n">
        <v>109.95</v>
      </c>
      <c r="H132" s="12" t="n">
        <f aca="false">1-F132/G132</f>
        <v>0.500227376080036</v>
      </c>
      <c r="I132" s="13" t="n">
        <v>54.95</v>
      </c>
      <c r="J132" s="6" t="n">
        <f aca="false">ROUNDUP(I132/(1-H132),0)-0.05</f>
        <v>109.95</v>
      </c>
      <c r="K132" s="6" t="n">
        <f aca="false">I132-F132</f>
        <v>0</v>
      </c>
      <c r="L132" s="5" t="s">
        <v>35</v>
      </c>
      <c r="M132" s="5" t="n">
        <v>6</v>
      </c>
      <c r="N132" s="6" t="n">
        <v>49.95</v>
      </c>
      <c r="O132" s="6" t="n">
        <v>52.45</v>
      </c>
      <c r="P132" s="6" t="n">
        <f aca="false">O132-I132</f>
        <v>-2.5</v>
      </c>
    </row>
    <row r="133" customFormat="false" ht="15" hidden="false" customHeight="false" outlineLevel="0" collapsed="false">
      <c r="A133" s="5" t="s">
        <v>383</v>
      </c>
      <c r="B133" s="5" t="s">
        <v>384</v>
      </c>
      <c r="C133" s="5" t="s">
        <v>34</v>
      </c>
      <c r="D133" s="5" t="s">
        <v>325</v>
      </c>
      <c r="E133" s="5" t="n">
        <v>36</v>
      </c>
      <c r="F133" s="6" t="n">
        <v>54.95</v>
      </c>
      <c r="G133" s="6" t="n">
        <v>109.95</v>
      </c>
      <c r="H133" s="12" t="n">
        <f aca="false">1-F133/G133</f>
        <v>0.500227376080036</v>
      </c>
      <c r="I133" s="13" t="n">
        <v>54.95</v>
      </c>
      <c r="J133" s="6" t="n">
        <f aca="false">ROUNDUP(I133/(1-H133),0)-0.05</f>
        <v>109.95</v>
      </c>
      <c r="K133" s="6" t="n">
        <f aca="false">I133-F133</f>
        <v>0</v>
      </c>
      <c r="L133" s="5" t="s">
        <v>35</v>
      </c>
      <c r="M133" s="5" t="n">
        <v>6</v>
      </c>
      <c r="N133" s="6" t="n">
        <v>49.95</v>
      </c>
      <c r="O133" s="6" t="n">
        <v>52.45</v>
      </c>
      <c r="P133" s="6" t="n">
        <f aca="false">O133-I133</f>
        <v>-2.5</v>
      </c>
    </row>
    <row r="134" customFormat="false" ht="15" hidden="false" customHeight="false" outlineLevel="0" collapsed="false">
      <c r="A134" s="5" t="s">
        <v>385</v>
      </c>
      <c r="B134" s="5" t="s">
        <v>386</v>
      </c>
      <c r="C134" s="5" t="s">
        <v>34</v>
      </c>
      <c r="D134" s="5" t="s">
        <v>387</v>
      </c>
      <c r="E134" s="5" t="n">
        <v>90</v>
      </c>
      <c r="F134" s="6" t="n">
        <v>54.95</v>
      </c>
      <c r="G134" s="6" t="n">
        <v>91.95</v>
      </c>
      <c r="H134" s="12" t="n">
        <f aca="false">1-F134/G134</f>
        <v>0.402392604676455</v>
      </c>
      <c r="I134" s="13" t="n">
        <v>54.95</v>
      </c>
      <c r="J134" s="6" t="n">
        <f aca="false">ROUNDUP(I134/(1-H134),0)-0.05</f>
        <v>91.95</v>
      </c>
      <c r="K134" s="6" t="n">
        <f aca="false">I134-F134</f>
        <v>0</v>
      </c>
      <c r="L134" s="5" t="s">
        <v>35</v>
      </c>
      <c r="M134" s="5" t="n">
        <v>6</v>
      </c>
      <c r="N134" s="6" t="n">
        <v>49.95</v>
      </c>
      <c r="O134" s="6" t="n">
        <v>52.45</v>
      </c>
      <c r="P134" s="6" t="n">
        <f aca="false">O134-I134</f>
        <v>-2.5</v>
      </c>
    </row>
    <row r="135" customFormat="false" ht="15" hidden="false" customHeight="false" outlineLevel="0" collapsed="false">
      <c r="A135" s="5" t="s">
        <v>388</v>
      </c>
      <c r="B135" s="5" t="s">
        <v>389</v>
      </c>
      <c r="C135" s="5" t="s">
        <v>34</v>
      </c>
      <c r="D135" s="5" t="s">
        <v>390</v>
      </c>
      <c r="E135" s="5" t="n">
        <v>24</v>
      </c>
      <c r="F135" s="6" t="n">
        <v>54.95</v>
      </c>
      <c r="G135" s="6" t="n">
        <v>91.95</v>
      </c>
      <c r="H135" s="12" t="n">
        <f aca="false">1-F135/G135</f>
        <v>0.402392604676455</v>
      </c>
      <c r="I135" s="13" t="n">
        <v>54.95</v>
      </c>
      <c r="J135" s="6" t="n">
        <f aca="false">ROUNDUP(I135/(1-H135),0)-0.05</f>
        <v>91.95</v>
      </c>
      <c r="K135" s="6" t="n">
        <f aca="false">I135-F135</f>
        <v>0</v>
      </c>
      <c r="L135" s="5" t="s">
        <v>35</v>
      </c>
      <c r="M135" s="5" t="n">
        <v>6</v>
      </c>
      <c r="N135" s="6" t="n">
        <v>49.95</v>
      </c>
      <c r="O135" s="6" t="n">
        <v>52.45</v>
      </c>
      <c r="P135" s="6" t="n">
        <f aca="false">O135-I135</f>
        <v>-2.5</v>
      </c>
    </row>
    <row r="136" customFormat="false" ht="15" hidden="false" customHeight="false" outlineLevel="0" collapsed="false">
      <c r="A136" s="5" t="s">
        <v>391</v>
      </c>
      <c r="B136" s="5" t="s">
        <v>392</v>
      </c>
      <c r="C136" s="5" t="s">
        <v>34</v>
      </c>
      <c r="D136" s="5" t="s">
        <v>393</v>
      </c>
      <c r="E136" s="5" t="n">
        <v>63</v>
      </c>
      <c r="F136" s="6" t="n">
        <v>54.95</v>
      </c>
      <c r="G136" s="6" t="n">
        <v>109.95</v>
      </c>
      <c r="H136" s="12" t="n">
        <f aca="false">1-F136/G136</f>
        <v>0.500227376080036</v>
      </c>
      <c r="I136" s="13" t="n">
        <v>54.95</v>
      </c>
      <c r="J136" s="6" t="n">
        <f aca="false">ROUNDUP(I136/(1-H136),0)-0.05</f>
        <v>109.95</v>
      </c>
      <c r="K136" s="6" t="n">
        <f aca="false">I136-F136</f>
        <v>0</v>
      </c>
      <c r="L136" s="5" t="s">
        <v>35</v>
      </c>
      <c r="M136" s="5" t="n">
        <v>6</v>
      </c>
      <c r="N136" s="6" t="n">
        <v>49.95</v>
      </c>
      <c r="O136" s="6" t="n">
        <v>52.45</v>
      </c>
      <c r="P136" s="6" t="n">
        <f aca="false">O136-I136</f>
        <v>-2.5</v>
      </c>
    </row>
    <row r="137" customFormat="false" ht="15" hidden="false" customHeight="false" outlineLevel="0" collapsed="false">
      <c r="A137" s="5" t="s">
        <v>394</v>
      </c>
      <c r="B137" s="5" t="s">
        <v>395</v>
      </c>
      <c r="C137" s="5" t="s">
        <v>34</v>
      </c>
      <c r="D137" s="5" t="s">
        <v>396</v>
      </c>
      <c r="E137" s="5" t="n">
        <v>15</v>
      </c>
      <c r="F137" s="6" t="n">
        <v>54.95</v>
      </c>
      <c r="G137" s="6" t="n">
        <v>109.95</v>
      </c>
      <c r="H137" s="12" t="n">
        <f aca="false">1-F137/G137</f>
        <v>0.500227376080036</v>
      </c>
      <c r="I137" s="13" t="n">
        <v>54.95</v>
      </c>
      <c r="J137" s="6" t="n">
        <f aca="false">ROUNDUP(I137/(1-H137),0)-0.05</f>
        <v>109.95</v>
      </c>
      <c r="K137" s="6" t="n">
        <f aca="false">I137-F137</f>
        <v>0</v>
      </c>
      <c r="L137" s="5" t="s">
        <v>35</v>
      </c>
      <c r="M137" s="5" t="n">
        <v>6</v>
      </c>
      <c r="N137" s="6" t="n">
        <v>49.95</v>
      </c>
      <c r="O137" s="6" t="n">
        <v>52.45</v>
      </c>
      <c r="P137" s="6" t="n">
        <f aca="false">O137-I137</f>
        <v>-2.5</v>
      </c>
    </row>
    <row r="138" customFormat="false" ht="15" hidden="false" customHeight="false" outlineLevel="0" collapsed="false">
      <c r="A138" s="5" t="s">
        <v>397</v>
      </c>
      <c r="B138" s="5" t="s">
        <v>398</v>
      </c>
      <c r="C138" s="5" t="s">
        <v>34</v>
      </c>
      <c r="D138" s="5" t="s">
        <v>227</v>
      </c>
      <c r="E138" s="5" t="n">
        <v>42</v>
      </c>
      <c r="F138" s="6" t="n">
        <v>54.95</v>
      </c>
      <c r="G138" s="6" t="n">
        <v>91.95</v>
      </c>
      <c r="H138" s="12" t="n">
        <f aca="false">1-F138/G138</f>
        <v>0.402392604676455</v>
      </c>
      <c r="I138" s="13" t="n">
        <v>54.95</v>
      </c>
      <c r="J138" s="6" t="n">
        <f aca="false">ROUNDUP(I138/(1-H138),0)-0.05</f>
        <v>91.95</v>
      </c>
      <c r="K138" s="6" t="n">
        <f aca="false">I138-F138</f>
        <v>0</v>
      </c>
      <c r="L138" s="5" t="s">
        <v>35</v>
      </c>
      <c r="M138" s="5" t="n">
        <v>6</v>
      </c>
      <c r="N138" s="6" t="n">
        <v>49.95</v>
      </c>
      <c r="O138" s="6" t="n">
        <v>52.45</v>
      </c>
      <c r="P138" s="6" t="n">
        <f aca="false">O138-I138</f>
        <v>-2.5</v>
      </c>
    </row>
    <row r="139" customFormat="false" ht="15" hidden="false" customHeight="false" outlineLevel="0" collapsed="false">
      <c r="A139" s="5" t="s">
        <v>399</v>
      </c>
      <c r="B139" s="5" t="s">
        <v>400</v>
      </c>
      <c r="C139" s="5" t="s">
        <v>34</v>
      </c>
      <c r="D139" s="5" t="s">
        <v>325</v>
      </c>
      <c r="E139" s="5" t="n">
        <v>8</v>
      </c>
      <c r="F139" s="6" t="n">
        <v>54.95</v>
      </c>
      <c r="G139" s="6" t="n">
        <v>99.95</v>
      </c>
      <c r="H139" s="12" t="n">
        <f aca="false">1-F139/G139</f>
        <v>0.450225112556278</v>
      </c>
      <c r="I139" s="13" t="n">
        <v>54.95</v>
      </c>
      <c r="J139" s="6" t="n">
        <f aca="false">ROUNDUP(I139/(1-H139),0)-0.05</f>
        <v>99.95</v>
      </c>
      <c r="K139" s="6" t="n">
        <f aca="false">I139-F139</f>
        <v>0</v>
      </c>
      <c r="L139" s="5" t="s">
        <v>35</v>
      </c>
      <c r="M139" s="5" t="n">
        <v>6</v>
      </c>
      <c r="N139" s="6" t="n">
        <v>49.95</v>
      </c>
      <c r="O139" s="6" t="n">
        <v>52.45</v>
      </c>
      <c r="P139" s="6" t="n">
        <f aca="false">O139-I139</f>
        <v>-2.5</v>
      </c>
    </row>
    <row r="140" customFormat="false" ht="15" hidden="false" customHeight="false" outlineLevel="0" collapsed="false">
      <c r="A140" s="5" t="s">
        <v>401</v>
      </c>
      <c r="B140" s="5" t="s">
        <v>402</v>
      </c>
      <c r="C140" s="5" t="s">
        <v>34</v>
      </c>
      <c r="D140" s="5" t="s">
        <v>332</v>
      </c>
      <c r="E140" s="5" t="n">
        <v>42</v>
      </c>
      <c r="F140" s="6" t="n">
        <v>54.95</v>
      </c>
      <c r="G140" s="6" t="n">
        <v>109.95</v>
      </c>
      <c r="H140" s="12" t="n">
        <f aca="false">1-F140/G140</f>
        <v>0.500227376080036</v>
      </c>
      <c r="I140" s="13" t="n">
        <v>54.95</v>
      </c>
      <c r="J140" s="6" t="n">
        <f aca="false">ROUNDUP(I140/(1-H140),0)-0.05</f>
        <v>109.95</v>
      </c>
      <c r="K140" s="6" t="n">
        <f aca="false">I140-F140</f>
        <v>0</v>
      </c>
      <c r="L140" s="5" t="s">
        <v>35</v>
      </c>
      <c r="M140" s="5" t="n">
        <v>6</v>
      </c>
      <c r="N140" s="6" t="n">
        <v>49.95</v>
      </c>
      <c r="O140" s="6" t="n">
        <v>52.45</v>
      </c>
      <c r="P140" s="6" t="n">
        <f aca="false">O140-I140</f>
        <v>-2.5</v>
      </c>
    </row>
    <row r="141" customFormat="false" ht="15" hidden="false" customHeight="false" outlineLevel="0" collapsed="false">
      <c r="A141" s="5" t="s">
        <v>403</v>
      </c>
      <c r="B141" s="5" t="s">
        <v>404</v>
      </c>
      <c r="C141" s="5" t="s">
        <v>34</v>
      </c>
      <c r="D141" s="5" t="s">
        <v>405</v>
      </c>
      <c r="E141" s="5" t="n">
        <v>66</v>
      </c>
      <c r="F141" s="6" t="n">
        <v>54.95</v>
      </c>
      <c r="G141" s="6" t="n">
        <v>109.95</v>
      </c>
      <c r="H141" s="12" t="n">
        <f aca="false">1-F141/G141</f>
        <v>0.500227376080036</v>
      </c>
      <c r="I141" s="13" t="n">
        <v>54.95</v>
      </c>
      <c r="J141" s="6" t="n">
        <f aca="false">ROUNDUP(I141/(1-H141),0)-0.05</f>
        <v>109.95</v>
      </c>
      <c r="K141" s="6" t="n">
        <f aca="false">I141-F141</f>
        <v>0</v>
      </c>
      <c r="L141" s="5" t="s">
        <v>35</v>
      </c>
      <c r="M141" s="5" t="n">
        <v>6</v>
      </c>
      <c r="N141" s="6" t="n">
        <v>49.95</v>
      </c>
      <c r="O141" s="6" t="n">
        <v>52.45</v>
      </c>
      <c r="P141" s="6" t="n">
        <f aca="false">O141-I141</f>
        <v>-2.5</v>
      </c>
    </row>
    <row r="142" customFormat="false" ht="15" hidden="false" customHeight="false" outlineLevel="0" collapsed="false">
      <c r="A142" s="5" t="s">
        <v>406</v>
      </c>
      <c r="B142" s="5" t="s">
        <v>407</v>
      </c>
      <c r="C142" s="5" t="s">
        <v>14</v>
      </c>
      <c r="D142" s="5" t="s">
        <v>170</v>
      </c>
      <c r="E142" s="5" t="n">
        <v>24</v>
      </c>
      <c r="F142" s="6" t="n">
        <v>64.95</v>
      </c>
      <c r="G142" s="6" t="n">
        <v>129.95</v>
      </c>
      <c r="H142" s="12" t="n">
        <f aca="false">1-F142/G142</f>
        <v>0.500192381685264</v>
      </c>
      <c r="I142" s="13" t="n">
        <v>69.95</v>
      </c>
      <c r="J142" s="6" t="n">
        <f aca="false">ROUNDUP(I142/(1-H142),0)-0.05</f>
        <v>139.95</v>
      </c>
      <c r="K142" s="6" t="n">
        <f aca="false">I142-F142</f>
        <v>5</v>
      </c>
      <c r="L142" s="5" t="s">
        <v>15</v>
      </c>
      <c r="M142" s="5" t="n">
        <v>6</v>
      </c>
      <c r="N142" s="6" t="n">
        <v>66.2</v>
      </c>
      <c r="O142" s="6" t="n">
        <v>69.95</v>
      </c>
      <c r="P142" s="6" t="n">
        <f aca="false">O142-I142</f>
        <v>0</v>
      </c>
    </row>
    <row r="143" customFormat="false" ht="15" hidden="false" customHeight="false" outlineLevel="0" collapsed="false">
      <c r="A143" s="5" t="s">
        <v>408</v>
      </c>
      <c r="B143" s="5" t="s">
        <v>409</v>
      </c>
      <c r="C143" s="5" t="s">
        <v>14</v>
      </c>
      <c r="D143" s="5" t="s">
        <v>410</v>
      </c>
      <c r="E143" s="5" t="n">
        <v>4</v>
      </c>
      <c r="F143" s="6" t="n">
        <v>64.95</v>
      </c>
      <c r="G143" s="6" t="n">
        <v>118.95</v>
      </c>
      <c r="H143" s="12" t="n">
        <f aca="false">1-F143/G143</f>
        <v>0.453972257250946</v>
      </c>
      <c r="I143" s="13" t="n">
        <v>69.95</v>
      </c>
      <c r="J143" s="6" t="n">
        <f aca="false">ROUNDUP(I143/(1-H143),0)-0.05</f>
        <v>128.95</v>
      </c>
      <c r="K143" s="6" t="n">
        <f aca="false">I143-F143</f>
        <v>5</v>
      </c>
      <c r="L143" s="5" t="s">
        <v>15</v>
      </c>
      <c r="M143" s="5" t="n">
        <v>6</v>
      </c>
      <c r="N143" s="6" t="n">
        <v>66.2</v>
      </c>
      <c r="O143" s="6" t="n">
        <v>69.95</v>
      </c>
      <c r="P143" s="6" t="n">
        <f aca="false">O143-I143</f>
        <v>0</v>
      </c>
    </row>
    <row r="144" customFormat="false" ht="15" hidden="false" customHeight="false" outlineLevel="0" collapsed="false">
      <c r="A144" s="5" t="s">
        <v>411</v>
      </c>
      <c r="B144" s="5" t="s">
        <v>412</v>
      </c>
      <c r="C144" s="5" t="s">
        <v>14</v>
      </c>
      <c r="D144" s="5" t="s">
        <v>170</v>
      </c>
      <c r="E144" s="5" t="n">
        <v>45</v>
      </c>
      <c r="F144" s="6" t="n">
        <v>64.95</v>
      </c>
      <c r="G144" s="6" t="n">
        <v>129.95</v>
      </c>
      <c r="H144" s="12" t="n">
        <f aca="false">1-F144/G144</f>
        <v>0.500192381685264</v>
      </c>
      <c r="I144" s="13" t="n">
        <v>69.95</v>
      </c>
      <c r="J144" s="6" t="n">
        <f aca="false">ROUNDUP(I144/(1-H144),0)-0.05</f>
        <v>139.95</v>
      </c>
      <c r="K144" s="6" t="n">
        <f aca="false">I144-F144</f>
        <v>5</v>
      </c>
      <c r="L144" s="5" t="s">
        <v>15</v>
      </c>
      <c r="M144" s="5" t="n">
        <v>6</v>
      </c>
      <c r="N144" s="6" t="n">
        <v>66.2</v>
      </c>
      <c r="O144" s="6" t="n">
        <v>69.95</v>
      </c>
      <c r="P144" s="6" t="n">
        <f aca="false">O144-I144</f>
        <v>0</v>
      </c>
    </row>
    <row r="145" customFormat="false" ht="15" hidden="false" customHeight="false" outlineLevel="0" collapsed="false">
      <c r="A145" s="5" t="s">
        <v>413</v>
      </c>
      <c r="B145" s="5" t="s">
        <v>414</v>
      </c>
      <c r="C145" s="5" t="s">
        <v>14</v>
      </c>
      <c r="D145" s="5" t="s">
        <v>170</v>
      </c>
      <c r="E145" s="5" t="n">
        <v>30</v>
      </c>
      <c r="F145" s="6" t="n">
        <v>64.95</v>
      </c>
      <c r="G145" s="6" t="n">
        <v>108.95</v>
      </c>
      <c r="H145" s="12" t="n">
        <f aca="false">1-F145/G145</f>
        <v>0.403854979348325</v>
      </c>
      <c r="I145" s="13" t="n">
        <v>69.95</v>
      </c>
      <c r="J145" s="6" t="n">
        <f aca="false">ROUNDUP(I145/(1-H145),0)-0.05</f>
        <v>117.95</v>
      </c>
      <c r="K145" s="6" t="n">
        <f aca="false">I145-F145</f>
        <v>5</v>
      </c>
      <c r="L145" s="5" t="s">
        <v>15</v>
      </c>
      <c r="M145" s="5" t="n">
        <v>6</v>
      </c>
      <c r="N145" s="6" t="n">
        <v>66.2</v>
      </c>
      <c r="O145" s="6" t="n">
        <v>69.95</v>
      </c>
      <c r="P145" s="6" t="n">
        <f aca="false">O145-I145</f>
        <v>0</v>
      </c>
    </row>
    <row r="146" customFormat="false" ht="15" hidden="false" customHeight="false" outlineLevel="0" collapsed="false">
      <c r="A146" s="5" t="s">
        <v>415</v>
      </c>
      <c r="B146" s="5" t="s">
        <v>416</v>
      </c>
      <c r="C146" s="5" t="s">
        <v>14</v>
      </c>
      <c r="D146" s="5" t="s">
        <v>170</v>
      </c>
      <c r="E146" s="5" t="n">
        <v>28</v>
      </c>
      <c r="F146" s="6" t="n">
        <v>64.95</v>
      </c>
      <c r="G146" s="6" t="n">
        <v>108.95</v>
      </c>
      <c r="H146" s="12" t="n">
        <f aca="false">1-F146/G146</f>
        <v>0.403854979348325</v>
      </c>
      <c r="I146" s="13" t="n">
        <v>69.95</v>
      </c>
      <c r="J146" s="6" t="n">
        <f aca="false">ROUNDUP(I146/(1-H146),0)-0.05</f>
        <v>117.95</v>
      </c>
      <c r="K146" s="6" t="n">
        <f aca="false">I146-F146</f>
        <v>5</v>
      </c>
      <c r="L146" s="5" t="s">
        <v>15</v>
      </c>
      <c r="M146" s="5" t="n">
        <v>6</v>
      </c>
      <c r="N146" s="6" t="n">
        <v>66.2</v>
      </c>
      <c r="O146" s="6" t="n">
        <v>69.95</v>
      </c>
      <c r="P146" s="6" t="n">
        <f aca="false">O146-I146</f>
        <v>0</v>
      </c>
    </row>
    <row r="147" customFormat="false" ht="15" hidden="false" customHeight="false" outlineLevel="0" collapsed="false">
      <c r="A147" s="5" t="s">
        <v>417</v>
      </c>
      <c r="B147" s="5" t="s">
        <v>418</v>
      </c>
      <c r="C147" s="5" t="s">
        <v>14</v>
      </c>
      <c r="D147" s="5" t="s">
        <v>170</v>
      </c>
      <c r="E147" s="5" t="n">
        <v>28</v>
      </c>
      <c r="F147" s="6" t="n">
        <v>64.95</v>
      </c>
      <c r="G147" s="6" t="n">
        <v>118.95</v>
      </c>
      <c r="H147" s="12" t="n">
        <f aca="false">1-F147/G147</f>
        <v>0.453972257250946</v>
      </c>
      <c r="I147" s="13" t="n">
        <v>69.95</v>
      </c>
      <c r="J147" s="6" t="n">
        <f aca="false">ROUNDUP(I147/(1-H147),0)-0.05</f>
        <v>128.95</v>
      </c>
      <c r="K147" s="6" t="n">
        <f aca="false">I147-F147</f>
        <v>5</v>
      </c>
      <c r="L147" s="5" t="s">
        <v>15</v>
      </c>
      <c r="M147" s="5" t="n">
        <v>6</v>
      </c>
      <c r="N147" s="6" t="n">
        <v>66.2</v>
      </c>
      <c r="O147" s="6" t="n">
        <v>69.95</v>
      </c>
      <c r="P147" s="6" t="n">
        <f aca="false">O147-I147</f>
        <v>0</v>
      </c>
    </row>
    <row r="148" customFormat="false" ht="15" hidden="false" customHeight="false" outlineLevel="0" collapsed="false">
      <c r="A148" s="5" t="s">
        <v>419</v>
      </c>
      <c r="B148" s="5" t="s">
        <v>420</v>
      </c>
      <c r="C148" s="5" t="s">
        <v>14</v>
      </c>
      <c r="D148" s="5" t="s">
        <v>170</v>
      </c>
      <c r="E148" s="5" t="n">
        <v>28</v>
      </c>
      <c r="F148" s="6" t="n">
        <v>64.95</v>
      </c>
      <c r="G148" s="6" t="n">
        <v>129.95</v>
      </c>
      <c r="H148" s="12" t="n">
        <f aca="false">1-F148/G148</f>
        <v>0.500192381685264</v>
      </c>
      <c r="I148" s="13" t="n">
        <v>69.95</v>
      </c>
      <c r="J148" s="6" t="n">
        <f aca="false">ROUNDUP(I148/(1-H148),0)-0.05</f>
        <v>139.95</v>
      </c>
      <c r="K148" s="6" t="n">
        <f aca="false">I148-F148</f>
        <v>5</v>
      </c>
      <c r="L148" s="5" t="s">
        <v>15</v>
      </c>
      <c r="M148" s="5" t="n">
        <v>6</v>
      </c>
      <c r="N148" s="6" t="n">
        <v>66.2</v>
      </c>
      <c r="O148" s="6" t="n">
        <v>69.95</v>
      </c>
      <c r="P148" s="6" t="n">
        <f aca="false">O148-I148</f>
        <v>0</v>
      </c>
    </row>
    <row r="149" customFormat="false" ht="15" hidden="false" customHeight="false" outlineLevel="0" collapsed="false">
      <c r="A149" s="5" t="s">
        <v>421</v>
      </c>
      <c r="B149" s="5" t="s">
        <v>422</v>
      </c>
      <c r="C149" s="5" t="s">
        <v>14</v>
      </c>
      <c r="D149" s="5" t="s">
        <v>84</v>
      </c>
      <c r="E149" s="5" t="n">
        <v>35</v>
      </c>
      <c r="F149" s="6" t="n">
        <v>64.95</v>
      </c>
      <c r="G149" s="6" t="n">
        <v>118.95</v>
      </c>
      <c r="H149" s="12" t="n">
        <f aca="false">1-F149/G149</f>
        <v>0.453972257250946</v>
      </c>
      <c r="I149" s="13" t="n">
        <v>69.95</v>
      </c>
      <c r="J149" s="6" t="n">
        <f aca="false">ROUNDUP(I149/(1-H149),0)-0.05</f>
        <v>128.95</v>
      </c>
      <c r="K149" s="6" t="n">
        <f aca="false">I149-F149</f>
        <v>5</v>
      </c>
      <c r="L149" s="5" t="s">
        <v>15</v>
      </c>
      <c r="M149" s="5" t="n">
        <v>6</v>
      </c>
      <c r="N149" s="6" t="n">
        <v>66.2</v>
      </c>
      <c r="O149" s="6" t="n">
        <v>69.95</v>
      </c>
      <c r="P149" s="6" t="n">
        <f aca="false">O149-I149</f>
        <v>0</v>
      </c>
    </row>
    <row r="150" customFormat="false" ht="15" hidden="false" customHeight="false" outlineLevel="0" collapsed="false">
      <c r="A150" s="5" t="s">
        <v>423</v>
      </c>
      <c r="B150" s="5" t="s">
        <v>424</v>
      </c>
      <c r="C150" s="5" t="s">
        <v>14</v>
      </c>
      <c r="D150" s="5" t="s">
        <v>256</v>
      </c>
      <c r="E150" s="5" t="n">
        <v>36</v>
      </c>
      <c r="F150" s="6" t="n">
        <v>64.95</v>
      </c>
      <c r="G150" s="6" t="n">
        <v>108.95</v>
      </c>
      <c r="H150" s="12" t="n">
        <f aca="false">1-F150/G150</f>
        <v>0.403854979348325</v>
      </c>
      <c r="I150" s="13" t="n">
        <v>69.95</v>
      </c>
      <c r="J150" s="6" t="n">
        <f aca="false">ROUNDUP(I150/(1-H150),0)-0.05</f>
        <v>117.95</v>
      </c>
      <c r="K150" s="6" t="n">
        <f aca="false">I150-F150</f>
        <v>5</v>
      </c>
      <c r="L150" s="5" t="s">
        <v>15</v>
      </c>
      <c r="M150" s="5" t="n">
        <v>6</v>
      </c>
      <c r="N150" s="6" t="n">
        <v>66.2</v>
      </c>
      <c r="O150" s="6" t="n">
        <v>69.95</v>
      </c>
      <c r="P150" s="6" t="n">
        <f aca="false">O150-I150</f>
        <v>0</v>
      </c>
    </row>
    <row r="151" customFormat="false" ht="15" hidden="false" customHeight="false" outlineLevel="0" collapsed="false">
      <c r="A151" s="5" t="s">
        <v>425</v>
      </c>
      <c r="B151" s="5" t="s">
        <v>426</v>
      </c>
      <c r="C151" s="5" t="s">
        <v>14</v>
      </c>
      <c r="D151" s="5" t="s">
        <v>427</v>
      </c>
      <c r="E151" s="5" t="n">
        <v>42</v>
      </c>
      <c r="F151" s="6" t="n">
        <v>64.95</v>
      </c>
      <c r="G151" s="6" t="n">
        <v>129.95</v>
      </c>
      <c r="H151" s="12" t="n">
        <f aca="false">1-F151/G151</f>
        <v>0.500192381685264</v>
      </c>
      <c r="I151" s="13" t="n">
        <v>69.95</v>
      </c>
      <c r="J151" s="6" t="n">
        <f aca="false">ROUNDUP(I151/(1-H151),0)-0.05</f>
        <v>139.95</v>
      </c>
      <c r="K151" s="6" t="n">
        <f aca="false">I151-F151</f>
        <v>5</v>
      </c>
      <c r="L151" s="5" t="s">
        <v>15</v>
      </c>
      <c r="M151" s="5" t="n">
        <v>6</v>
      </c>
      <c r="N151" s="6" t="n">
        <v>66.2</v>
      </c>
      <c r="O151" s="6" t="n">
        <v>69.95</v>
      </c>
      <c r="P151" s="6" t="n">
        <f aca="false">O151-I151</f>
        <v>0</v>
      </c>
    </row>
    <row r="152" customFormat="false" ht="15" hidden="false" customHeight="false" outlineLevel="0" collapsed="false">
      <c r="A152" s="5" t="s">
        <v>428</v>
      </c>
      <c r="B152" s="5" t="s">
        <v>429</v>
      </c>
      <c r="C152" s="5" t="s">
        <v>14</v>
      </c>
      <c r="D152" s="5" t="s">
        <v>256</v>
      </c>
      <c r="E152" s="5" t="n">
        <v>20</v>
      </c>
      <c r="F152" s="6" t="n">
        <v>64.95</v>
      </c>
      <c r="G152" s="6" t="n">
        <v>108.95</v>
      </c>
      <c r="H152" s="12" t="n">
        <f aca="false">1-F152/G152</f>
        <v>0.403854979348325</v>
      </c>
      <c r="I152" s="13" t="n">
        <v>69.95</v>
      </c>
      <c r="J152" s="6" t="n">
        <f aca="false">ROUNDUP(I152/(1-H152),0)-0.05</f>
        <v>117.95</v>
      </c>
      <c r="K152" s="6" t="n">
        <f aca="false">I152-F152</f>
        <v>5</v>
      </c>
      <c r="L152" s="5" t="s">
        <v>15</v>
      </c>
      <c r="M152" s="5" t="n">
        <v>6</v>
      </c>
      <c r="N152" s="6" t="n">
        <v>66.2</v>
      </c>
      <c r="O152" s="6" t="n">
        <v>69.95</v>
      </c>
      <c r="P152" s="6" t="n">
        <f aca="false">O152-I152</f>
        <v>0</v>
      </c>
    </row>
    <row r="153" customFormat="false" ht="15" hidden="false" customHeight="false" outlineLevel="0" collapsed="false">
      <c r="A153" s="5" t="s">
        <v>430</v>
      </c>
      <c r="B153" s="5" t="s">
        <v>431</v>
      </c>
      <c r="C153" s="5" t="s">
        <v>14</v>
      </c>
      <c r="D153" s="5" t="s">
        <v>256</v>
      </c>
      <c r="E153" s="5" t="n">
        <v>28</v>
      </c>
      <c r="F153" s="6" t="n">
        <v>64.95</v>
      </c>
      <c r="G153" s="6" t="n">
        <v>108.95</v>
      </c>
      <c r="H153" s="12" t="n">
        <f aca="false">1-F153/G153</f>
        <v>0.403854979348325</v>
      </c>
      <c r="I153" s="13" t="n">
        <v>69.95</v>
      </c>
      <c r="J153" s="6" t="n">
        <f aca="false">ROUNDUP(I153/(1-H153),0)-0.05</f>
        <v>117.95</v>
      </c>
      <c r="K153" s="6" t="n">
        <f aca="false">I153-F153</f>
        <v>5</v>
      </c>
      <c r="L153" s="5" t="s">
        <v>15</v>
      </c>
      <c r="M153" s="5" t="n">
        <v>6</v>
      </c>
      <c r="N153" s="6" t="n">
        <v>66.2</v>
      </c>
      <c r="O153" s="6" t="n">
        <v>69.95</v>
      </c>
      <c r="P153" s="6" t="n">
        <f aca="false">O153-I153</f>
        <v>0</v>
      </c>
    </row>
    <row r="154" customFormat="false" ht="15" hidden="false" customHeight="false" outlineLevel="0" collapsed="false">
      <c r="A154" s="5" t="s">
        <v>432</v>
      </c>
      <c r="B154" s="5" t="s">
        <v>433</v>
      </c>
      <c r="C154" s="5" t="s">
        <v>14</v>
      </c>
      <c r="D154" s="5" t="s">
        <v>170</v>
      </c>
      <c r="E154" s="5" t="n">
        <v>36</v>
      </c>
      <c r="F154" s="6" t="n">
        <v>64.95</v>
      </c>
      <c r="G154" s="6" t="n">
        <v>118.95</v>
      </c>
      <c r="H154" s="12" t="n">
        <f aca="false">1-F154/G154</f>
        <v>0.453972257250946</v>
      </c>
      <c r="I154" s="13" t="n">
        <v>69.95</v>
      </c>
      <c r="J154" s="6" t="n">
        <f aca="false">ROUNDUP(I154/(1-H154),0)-0.05</f>
        <v>128.95</v>
      </c>
      <c r="K154" s="6" t="n">
        <f aca="false">I154-F154</f>
        <v>5</v>
      </c>
      <c r="L154" s="5" t="s">
        <v>15</v>
      </c>
      <c r="M154" s="5" t="n">
        <v>6</v>
      </c>
      <c r="N154" s="6" t="n">
        <v>66.2</v>
      </c>
      <c r="O154" s="6" t="n">
        <v>69.95</v>
      </c>
      <c r="P154" s="6" t="n">
        <f aca="false">O154-I154</f>
        <v>0</v>
      </c>
    </row>
    <row r="155" customFormat="false" ht="15" hidden="false" customHeight="false" outlineLevel="0" collapsed="false">
      <c r="A155" s="5" t="s">
        <v>434</v>
      </c>
      <c r="B155" s="5" t="s">
        <v>435</v>
      </c>
      <c r="C155" s="5" t="s">
        <v>14</v>
      </c>
      <c r="D155" s="5" t="s">
        <v>170</v>
      </c>
      <c r="E155" s="5" t="n">
        <v>28</v>
      </c>
      <c r="F155" s="6" t="n">
        <v>64.95</v>
      </c>
      <c r="G155" s="6" t="n">
        <v>108.95</v>
      </c>
      <c r="H155" s="12" t="n">
        <f aca="false">1-F155/G155</f>
        <v>0.403854979348325</v>
      </c>
      <c r="I155" s="13" t="n">
        <v>69.95</v>
      </c>
      <c r="J155" s="6" t="n">
        <f aca="false">ROUNDUP(I155/(1-H155),0)-0.05</f>
        <v>117.95</v>
      </c>
      <c r="K155" s="6" t="n">
        <f aca="false">I155-F155</f>
        <v>5</v>
      </c>
      <c r="L155" s="5" t="s">
        <v>15</v>
      </c>
      <c r="M155" s="5" t="n">
        <v>6</v>
      </c>
      <c r="N155" s="6" t="n">
        <v>66.2</v>
      </c>
      <c r="O155" s="6" t="n">
        <v>69.95</v>
      </c>
      <c r="P155" s="6" t="n">
        <f aca="false">O155-I155</f>
        <v>0</v>
      </c>
    </row>
    <row r="156" customFormat="false" ht="15" hidden="false" customHeight="false" outlineLevel="0" collapsed="false">
      <c r="A156" s="5" t="s">
        <v>436</v>
      </c>
      <c r="B156" s="5" t="s">
        <v>437</v>
      </c>
      <c r="C156" s="5" t="s">
        <v>14</v>
      </c>
      <c r="D156" s="5" t="s">
        <v>256</v>
      </c>
      <c r="E156" s="5" t="n">
        <v>21</v>
      </c>
      <c r="F156" s="6" t="n">
        <v>64.95</v>
      </c>
      <c r="G156" s="6" t="n">
        <v>108.95</v>
      </c>
      <c r="H156" s="12" t="n">
        <f aca="false">1-F156/G156</f>
        <v>0.403854979348325</v>
      </c>
      <c r="I156" s="13" t="n">
        <v>69.95</v>
      </c>
      <c r="J156" s="6" t="n">
        <f aca="false">ROUNDUP(I156/(1-H156),0)-0.05</f>
        <v>117.95</v>
      </c>
      <c r="K156" s="6" t="n">
        <f aca="false">I156-F156</f>
        <v>5</v>
      </c>
      <c r="L156" s="5" t="s">
        <v>15</v>
      </c>
      <c r="M156" s="5" t="n">
        <v>6</v>
      </c>
      <c r="N156" s="6" t="n">
        <v>66.2</v>
      </c>
      <c r="O156" s="6" t="n">
        <v>69.95</v>
      </c>
      <c r="P156" s="6" t="n">
        <f aca="false">O156-I156</f>
        <v>0</v>
      </c>
    </row>
    <row r="157" customFormat="false" ht="15" hidden="false" customHeight="false" outlineLevel="0" collapsed="false">
      <c r="A157" s="5" t="s">
        <v>438</v>
      </c>
      <c r="B157" s="5" t="s">
        <v>439</v>
      </c>
      <c r="C157" s="5" t="s">
        <v>14</v>
      </c>
      <c r="D157" s="5" t="s">
        <v>170</v>
      </c>
      <c r="E157" s="5" t="n">
        <v>6</v>
      </c>
      <c r="F157" s="6" t="n">
        <v>64.95</v>
      </c>
      <c r="G157" s="6" t="n">
        <v>108.95</v>
      </c>
      <c r="H157" s="12" t="n">
        <f aca="false">1-F157/G157</f>
        <v>0.403854979348325</v>
      </c>
      <c r="I157" s="13" t="n">
        <v>69.95</v>
      </c>
      <c r="J157" s="6" t="n">
        <f aca="false">ROUNDUP(I157/(1-H157),0)-0.05</f>
        <v>117.95</v>
      </c>
      <c r="K157" s="6" t="n">
        <f aca="false">I157-F157</f>
        <v>5</v>
      </c>
      <c r="L157" s="5" t="s">
        <v>15</v>
      </c>
      <c r="M157" s="5" t="n">
        <v>6</v>
      </c>
      <c r="N157" s="6" t="n">
        <v>66.2</v>
      </c>
      <c r="O157" s="6" t="n">
        <v>69.95</v>
      </c>
      <c r="P157" s="6" t="n">
        <f aca="false">O157-I157</f>
        <v>0</v>
      </c>
    </row>
    <row r="158" customFormat="false" ht="15" hidden="false" customHeight="false" outlineLevel="0" collapsed="false">
      <c r="A158" s="5" t="s">
        <v>440</v>
      </c>
      <c r="B158" s="5" t="s">
        <v>441</v>
      </c>
      <c r="C158" s="5" t="s">
        <v>14</v>
      </c>
      <c r="D158" s="5" t="s">
        <v>170</v>
      </c>
      <c r="E158" s="5" t="n">
        <v>35</v>
      </c>
      <c r="F158" s="6" t="n">
        <v>64.95</v>
      </c>
      <c r="G158" s="6" t="n">
        <v>108.95</v>
      </c>
      <c r="H158" s="12" t="n">
        <f aca="false">1-F158/G158</f>
        <v>0.403854979348325</v>
      </c>
      <c r="I158" s="13" t="n">
        <v>69.95</v>
      </c>
      <c r="J158" s="6" t="n">
        <f aca="false">ROUNDUP(I158/(1-H158),0)-0.05</f>
        <v>117.95</v>
      </c>
      <c r="K158" s="6" t="n">
        <f aca="false">I158-F158</f>
        <v>5</v>
      </c>
      <c r="L158" s="5" t="s">
        <v>15</v>
      </c>
      <c r="M158" s="5" t="n">
        <v>6</v>
      </c>
      <c r="N158" s="6" t="n">
        <v>66.2</v>
      </c>
      <c r="O158" s="6" t="n">
        <v>69.95</v>
      </c>
      <c r="P158" s="6" t="n">
        <f aca="false">O158-I158</f>
        <v>0</v>
      </c>
    </row>
    <row r="159" customFormat="false" ht="15" hidden="false" customHeight="false" outlineLevel="0" collapsed="false">
      <c r="A159" s="5" t="s">
        <v>442</v>
      </c>
      <c r="B159" s="5" t="s">
        <v>443</v>
      </c>
      <c r="C159" s="5" t="s">
        <v>14</v>
      </c>
      <c r="D159" s="5" t="s">
        <v>444</v>
      </c>
      <c r="E159" s="5" t="n">
        <v>24</v>
      </c>
      <c r="F159" s="6" t="n">
        <v>64.95</v>
      </c>
      <c r="G159" s="6" t="n">
        <v>129.95</v>
      </c>
      <c r="H159" s="12" t="n">
        <f aca="false">1-F159/G159</f>
        <v>0.500192381685264</v>
      </c>
      <c r="I159" s="13" t="n">
        <v>69.95</v>
      </c>
      <c r="J159" s="6" t="n">
        <f aca="false">ROUNDUP(I159/(1-H159),0)-0.05</f>
        <v>139.95</v>
      </c>
      <c r="K159" s="6" t="n">
        <f aca="false">I159-F159</f>
        <v>5</v>
      </c>
      <c r="L159" s="5" t="s">
        <v>15</v>
      </c>
      <c r="M159" s="5" t="n">
        <v>6</v>
      </c>
      <c r="N159" s="6" t="n">
        <v>66.2</v>
      </c>
      <c r="O159" s="6" t="n">
        <v>69.95</v>
      </c>
      <c r="P159" s="6" t="n">
        <f aca="false">O159-I159</f>
        <v>0</v>
      </c>
    </row>
    <row r="160" customFormat="false" ht="15" hidden="false" customHeight="false" outlineLevel="0" collapsed="false">
      <c r="A160" s="5" t="s">
        <v>445</v>
      </c>
      <c r="B160" s="5" t="s">
        <v>446</v>
      </c>
      <c r="C160" s="5" t="s">
        <v>14</v>
      </c>
      <c r="D160" s="5" t="s">
        <v>447</v>
      </c>
      <c r="E160" s="5" t="n">
        <v>44</v>
      </c>
      <c r="F160" s="6" t="n">
        <v>64.95</v>
      </c>
      <c r="G160" s="6" t="n">
        <v>129.95</v>
      </c>
      <c r="H160" s="12" t="n">
        <f aca="false">1-F160/G160</f>
        <v>0.500192381685264</v>
      </c>
      <c r="I160" s="13" t="n">
        <v>69.95</v>
      </c>
      <c r="J160" s="6" t="n">
        <f aca="false">ROUNDUP(I160/(1-H160),0)-0.05</f>
        <v>139.95</v>
      </c>
      <c r="K160" s="6" t="n">
        <f aca="false">I160-F160</f>
        <v>5</v>
      </c>
      <c r="L160" s="5" t="s">
        <v>15</v>
      </c>
      <c r="M160" s="5" t="n">
        <v>6</v>
      </c>
      <c r="N160" s="6" t="n">
        <v>66.2</v>
      </c>
      <c r="O160" s="6" t="n">
        <v>69.95</v>
      </c>
      <c r="P160" s="6" t="n">
        <f aca="false">O160-I160</f>
        <v>0</v>
      </c>
    </row>
    <row r="161" customFormat="false" ht="15" hidden="false" customHeight="false" outlineLevel="0" collapsed="false">
      <c r="A161" s="5" t="s">
        <v>448</v>
      </c>
      <c r="B161" s="5" t="s">
        <v>449</v>
      </c>
      <c r="C161" s="5" t="s">
        <v>14</v>
      </c>
      <c r="D161" s="5" t="s">
        <v>450</v>
      </c>
      <c r="E161" s="5" t="n">
        <v>24</v>
      </c>
      <c r="F161" s="6" t="n">
        <v>64.95</v>
      </c>
      <c r="G161" s="6" t="n">
        <v>118.95</v>
      </c>
      <c r="H161" s="12" t="n">
        <f aca="false">1-F161/G161</f>
        <v>0.453972257250946</v>
      </c>
      <c r="I161" s="13" t="n">
        <v>69.95</v>
      </c>
      <c r="J161" s="6" t="n">
        <f aca="false">ROUNDUP(I161/(1-H161),0)-0.05</f>
        <v>128.95</v>
      </c>
      <c r="K161" s="6" t="n">
        <f aca="false">I161-F161</f>
        <v>5</v>
      </c>
      <c r="L161" s="5" t="s">
        <v>15</v>
      </c>
      <c r="M161" s="5" t="n">
        <v>6</v>
      </c>
      <c r="N161" s="6" t="n">
        <v>66.2</v>
      </c>
      <c r="O161" s="6" t="n">
        <v>69.95</v>
      </c>
      <c r="P161" s="6" t="n">
        <f aca="false">O161-I161</f>
        <v>0</v>
      </c>
    </row>
    <row r="162" customFormat="false" ht="15" hidden="false" customHeight="false" outlineLevel="0" collapsed="false">
      <c r="A162" s="5" t="s">
        <v>451</v>
      </c>
      <c r="B162" s="5" t="s">
        <v>452</v>
      </c>
      <c r="C162" s="5" t="s">
        <v>14</v>
      </c>
      <c r="D162" s="5" t="s">
        <v>170</v>
      </c>
      <c r="E162" s="5" t="n">
        <v>28</v>
      </c>
      <c r="F162" s="6" t="n">
        <v>64.95</v>
      </c>
      <c r="G162" s="6" t="n">
        <v>129.95</v>
      </c>
      <c r="H162" s="12" t="n">
        <f aca="false">1-F162/G162</f>
        <v>0.500192381685264</v>
      </c>
      <c r="I162" s="13" t="n">
        <v>69.95</v>
      </c>
      <c r="J162" s="6" t="n">
        <f aca="false">ROUNDUP(I162/(1-H162),0)-0.05</f>
        <v>139.95</v>
      </c>
      <c r="K162" s="6" t="n">
        <f aca="false">I162-F162</f>
        <v>5</v>
      </c>
      <c r="L162" s="5" t="s">
        <v>15</v>
      </c>
      <c r="M162" s="5" t="n">
        <v>6</v>
      </c>
      <c r="N162" s="6" t="n">
        <v>66.2</v>
      </c>
      <c r="O162" s="6" t="n">
        <v>69.95</v>
      </c>
      <c r="P162" s="6" t="n">
        <f aca="false">O162-I162</f>
        <v>0</v>
      </c>
    </row>
    <row r="163" customFormat="false" ht="15" hidden="false" customHeight="false" outlineLevel="0" collapsed="false">
      <c r="A163" s="5" t="s">
        <v>453</v>
      </c>
      <c r="B163" s="5" t="s">
        <v>454</v>
      </c>
      <c r="C163" s="5" t="s">
        <v>14</v>
      </c>
      <c r="D163" s="5" t="s">
        <v>227</v>
      </c>
      <c r="E163" s="5" t="n">
        <v>21</v>
      </c>
      <c r="F163" s="6" t="n">
        <v>64.95</v>
      </c>
      <c r="G163" s="6" t="n">
        <v>108.95</v>
      </c>
      <c r="H163" s="12" t="n">
        <f aca="false">1-F163/G163</f>
        <v>0.403854979348325</v>
      </c>
      <c r="I163" s="13" t="n">
        <v>69.95</v>
      </c>
      <c r="J163" s="6" t="n">
        <f aca="false">ROUNDUP(I163/(1-H163),0)-0.05</f>
        <v>117.95</v>
      </c>
      <c r="K163" s="6" t="n">
        <f aca="false">I163-F163</f>
        <v>5</v>
      </c>
      <c r="L163" s="5" t="s">
        <v>15</v>
      </c>
      <c r="M163" s="5" t="n">
        <v>6</v>
      </c>
      <c r="N163" s="6" t="n">
        <v>66.2</v>
      </c>
      <c r="O163" s="6" t="n">
        <v>69.95</v>
      </c>
      <c r="P163" s="6" t="n">
        <f aca="false">O163-I163</f>
        <v>0</v>
      </c>
    </row>
    <row r="164" customFormat="false" ht="15" hidden="false" customHeight="false" outlineLevel="0" collapsed="false">
      <c r="A164" s="5" t="s">
        <v>455</v>
      </c>
      <c r="B164" s="5" t="s">
        <v>456</v>
      </c>
      <c r="C164" s="5" t="s">
        <v>14</v>
      </c>
      <c r="D164" s="5" t="s">
        <v>393</v>
      </c>
      <c r="E164" s="5" t="n">
        <v>42</v>
      </c>
      <c r="F164" s="6" t="n">
        <v>64.95</v>
      </c>
      <c r="G164" s="6" t="n">
        <v>118.95</v>
      </c>
      <c r="H164" s="12" t="n">
        <f aca="false">1-F164/G164</f>
        <v>0.453972257250946</v>
      </c>
      <c r="I164" s="13" t="n">
        <v>69.95</v>
      </c>
      <c r="J164" s="6" t="n">
        <f aca="false">ROUNDUP(I164/(1-H164),0)-0.05</f>
        <v>128.95</v>
      </c>
      <c r="K164" s="6" t="n">
        <f aca="false">I164-F164</f>
        <v>5</v>
      </c>
      <c r="L164" s="5" t="s">
        <v>15</v>
      </c>
      <c r="M164" s="5" t="n">
        <v>6</v>
      </c>
      <c r="N164" s="6" t="n">
        <v>66.2</v>
      </c>
      <c r="O164" s="6" t="n">
        <v>69.95</v>
      </c>
      <c r="P164" s="6" t="n">
        <f aca="false">O164-I164</f>
        <v>0</v>
      </c>
    </row>
    <row r="165" customFormat="false" ht="15" hidden="false" customHeight="false" outlineLevel="0" collapsed="false">
      <c r="A165" s="5" t="s">
        <v>457</v>
      </c>
      <c r="B165" s="5" t="s">
        <v>458</v>
      </c>
      <c r="C165" s="5" t="s">
        <v>14</v>
      </c>
      <c r="D165" s="5" t="s">
        <v>176</v>
      </c>
      <c r="E165" s="5" t="n">
        <v>16</v>
      </c>
      <c r="F165" s="6" t="n">
        <v>64.95</v>
      </c>
      <c r="G165" s="6" t="n">
        <v>108.95</v>
      </c>
      <c r="H165" s="12" t="n">
        <f aca="false">1-F165/G165</f>
        <v>0.403854979348325</v>
      </c>
      <c r="I165" s="13" t="n">
        <v>69.95</v>
      </c>
      <c r="J165" s="6" t="n">
        <f aca="false">ROUNDUP(I165/(1-H165),0)-0.05</f>
        <v>117.95</v>
      </c>
      <c r="K165" s="6" t="n">
        <f aca="false">I165-F165</f>
        <v>5</v>
      </c>
      <c r="L165" s="5" t="s">
        <v>15</v>
      </c>
      <c r="M165" s="5" t="n">
        <v>6</v>
      </c>
      <c r="N165" s="6" t="n">
        <v>66.2</v>
      </c>
      <c r="O165" s="6" t="n">
        <v>69.95</v>
      </c>
      <c r="P165" s="6" t="n">
        <f aca="false">O165-I165</f>
        <v>0</v>
      </c>
    </row>
    <row r="166" customFormat="false" ht="15" hidden="false" customHeight="false" outlineLevel="0" collapsed="false">
      <c r="A166" s="5" t="s">
        <v>459</v>
      </c>
      <c r="B166" s="5" t="s">
        <v>460</v>
      </c>
      <c r="C166" s="5" t="s">
        <v>14</v>
      </c>
      <c r="D166" s="5"/>
      <c r="E166" s="5" t="n">
        <v>35</v>
      </c>
      <c r="F166" s="6" t="n">
        <v>64.95</v>
      </c>
      <c r="G166" s="6" t="n">
        <v>108.95</v>
      </c>
      <c r="H166" s="12" t="n">
        <f aca="false">1-F166/G166</f>
        <v>0.403854979348325</v>
      </c>
      <c r="I166" s="13" t="n">
        <v>69.95</v>
      </c>
      <c r="J166" s="6" t="n">
        <f aca="false">ROUNDUP(I166/(1-H166),0)-0.05</f>
        <v>117.95</v>
      </c>
      <c r="K166" s="6" t="n">
        <f aca="false">I166-F166</f>
        <v>5</v>
      </c>
      <c r="L166" s="5" t="s">
        <v>15</v>
      </c>
      <c r="M166" s="5" t="n">
        <v>6</v>
      </c>
      <c r="N166" s="6" t="n">
        <v>66.2</v>
      </c>
      <c r="O166" s="6" t="n">
        <v>69.95</v>
      </c>
      <c r="P166" s="6" t="n">
        <f aca="false">O166-I166</f>
        <v>0</v>
      </c>
    </row>
    <row r="167" customFormat="false" ht="15" hidden="false" customHeight="false" outlineLevel="0" collapsed="false">
      <c r="A167" s="5" t="s">
        <v>461</v>
      </c>
      <c r="B167" s="5" t="s">
        <v>462</v>
      </c>
      <c r="C167" s="5" t="s">
        <v>14</v>
      </c>
      <c r="D167" s="5"/>
      <c r="E167" s="5" t="n">
        <v>28</v>
      </c>
      <c r="F167" s="6" t="n">
        <v>64.95</v>
      </c>
      <c r="G167" s="6" t="n">
        <v>108.95</v>
      </c>
      <c r="H167" s="12" t="n">
        <f aca="false">1-F167/G167</f>
        <v>0.403854979348325</v>
      </c>
      <c r="I167" s="13" t="n">
        <v>69.95</v>
      </c>
      <c r="J167" s="6" t="n">
        <f aca="false">ROUNDUP(I167/(1-H167),0)-0.05</f>
        <v>117.95</v>
      </c>
      <c r="K167" s="6" t="n">
        <f aca="false">I167-F167</f>
        <v>5</v>
      </c>
      <c r="L167" s="5" t="s">
        <v>15</v>
      </c>
      <c r="M167" s="5" t="n">
        <v>6</v>
      </c>
      <c r="N167" s="6" t="n">
        <v>66.2</v>
      </c>
      <c r="O167" s="6" t="n">
        <v>69.95</v>
      </c>
      <c r="P167" s="6" t="n">
        <f aca="false">O167-I167</f>
        <v>0</v>
      </c>
    </row>
    <row r="168" customFormat="false" ht="15" hidden="false" customHeight="false" outlineLevel="0" collapsed="false">
      <c r="A168" s="5" t="s">
        <v>463</v>
      </c>
      <c r="B168" s="5" t="s">
        <v>464</v>
      </c>
      <c r="C168" s="5" t="s">
        <v>14</v>
      </c>
      <c r="D168" s="5" t="s">
        <v>465</v>
      </c>
      <c r="E168" s="5" t="n">
        <v>56</v>
      </c>
      <c r="F168" s="6" t="n">
        <v>64.95</v>
      </c>
      <c r="G168" s="6" t="n">
        <v>118.95</v>
      </c>
      <c r="H168" s="12" t="n">
        <f aca="false">1-F168/G168</f>
        <v>0.453972257250946</v>
      </c>
      <c r="I168" s="13" t="n">
        <v>69.95</v>
      </c>
      <c r="J168" s="6" t="n">
        <f aca="false">ROUNDUP(I168/(1-H168),0)-0.05</f>
        <v>128.95</v>
      </c>
      <c r="K168" s="6" t="n">
        <f aca="false">I168-F168</f>
        <v>5</v>
      </c>
      <c r="L168" s="5" t="s">
        <v>15</v>
      </c>
      <c r="M168" s="5" t="n">
        <v>6</v>
      </c>
      <c r="N168" s="6" t="n">
        <v>66.2</v>
      </c>
      <c r="O168" s="6" t="n">
        <v>69.95</v>
      </c>
      <c r="P168" s="6" t="n">
        <f aca="false">O168-I168</f>
        <v>0</v>
      </c>
    </row>
    <row r="169" customFormat="false" ht="15" hidden="false" customHeight="false" outlineLevel="0" collapsed="false">
      <c r="A169" s="5" t="s">
        <v>466</v>
      </c>
      <c r="B169" s="5" t="s">
        <v>467</v>
      </c>
      <c r="C169" s="5" t="s">
        <v>14</v>
      </c>
      <c r="D169" s="5" t="s">
        <v>427</v>
      </c>
      <c r="E169" s="5" t="n">
        <v>42</v>
      </c>
      <c r="F169" s="6" t="n">
        <v>64.95</v>
      </c>
      <c r="G169" s="6" t="n">
        <v>118.95</v>
      </c>
      <c r="H169" s="12" t="n">
        <f aca="false">1-F169/G169</f>
        <v>0.453972257250946</v>
      </c>
      <c r="I169" s="13" t="n">
        <v>69.95</v>
      </c>
      <c r="J169" s="6" t="n">
        <f aca="false">ROUNDUP(I169/(1-H169),0)-0.05</f>
        <v>128.95</v>
      </c>
      <c r="K169" s="6" t="n">
        <f aca="false">I169-F169</f>
        <v>5</v>
      </c>
      <c r="L169" s="5" t="s">
        <v>15</v>
      </c>
      <c r="M169" s="5" t="n">
        <v>6</v>
      </c>
      <c r="N169" s="6" t="n">
        <v>66.2</v>
      </c>
      <c r="O169" s="6" t="n">
        <v>69.95</v>
      </c>
      <c r="P169" s="6" t="n">
        <f aca="false">O169-I169</f>
        <v>0</v>
      </c>
    </row>
    <row r="170" customFormat="false" ht="15" hidden="false" customHeight="false" outlineLevel="0" collapsed="false">
      <c r="A170" s="5" t="s">
        <v>468</v>
      </c>
      <c r="B170" s="5" t="s">
        <v>469</v>
      </c>
      <c r="C170" s="5" t="s">
        <v>14</v>
      </c>
      <c r="D170" s="5" t="s">
        <v>427</v>
      </c>
      <c r="E170" s="5" t="n">
        <v>80</v>
      </c>
      <c r="F170" s="6" t="n">
        <v>64.95</v>
      </c>
      <c r="G170" s="6" t="n">
        <v>108.95</v>
      </c>
      <c r="H170" s="12" t="n">
        <f aca="false">1-F170/G170</f>
        <v>0.403854979348325</v>
      </c>
      <c r="I170" s="13" t="n">
        <v>69.95</v>
      </c>
      <c r="J170" s="6" t="n">
        <f aca="false">ROUNDUP(I170/(1-H170),0)-0.05</f>
        <v>117.95</v>
      </c>
      <c r="K170" s="6" t="n">
        <f aca="false">I170-F170</f>
        <v>5</v>
      </c>
      <c r="L170" s="5" t="s">
        <v>15</v>
      </c>
      <c r="M170" s="5" t="n">
        <v>6</v>
      </c>
      <c r="N170" s="6" t="n">
        <v>66.2</v>
      </c>
      <c r="O170" s="6" t="n">
        <v>69.95</v>
      </c>
      <c r="P170" s="6" t="n">
        <f aca="false">O170-I170</f>
        <v>0</v>
      </c>
    </row>
    <row r="171" customFormat="false" ht="15" hidden="false" customHeight="false" outlineLevel="0" collapsed="false">
      <c r="A171" s="5" t="s">
        <v>470</v>
      </c>
      <c r="B171" s="5" t="s">
        <v>471</v>
      </c>
      <c r="C171" s="5" t="s">
        <v>14</v>
      </c>
      <c r="D171" s="5" t="s">
        <v>472</v>
      </c>
      <c r="E171" s="5" t="n">
        <v>18</v>
      </c>
      <c r="F171" s="6" t="n">
        <v>64.95</v>
      </c>
      <c r="G171" s="6" t="n">
        <v>108.95</v>
      </c>
      <c r="H171" s="12" t="n">
        <f aca="false">1-F171/G171</f>
        <v>0.403854979348325</v>
      </c>
      <c r="I171" s="13" t="n">
        <v>69.95</v>
      </c>
      <c r="J171" s="6" t="n">
        <f aca="false">ROUNDUP(I171/(1-H171),0)-0.05</f>
        <v>117.95</v>
      </c>
      <c r="K171" s="6" t="n">
        <f aca="false">I171-F171</f>
        <v>5</v>
      </c>
      <c r="L171" s="5" t="s">
        <v>15</v>
      </c>
      <c r="M171" s="5" t="n">
        <v>6</v>
      </c>
      <c r="N171" s="6" t="n">
        <v>66.2</v>
      </c>
      <c r="O171" s="6" t="n">
        <v>69.95</v>
      </c>
      <c r="P171" s="6" t="n">
        <f aca="false">O171-I171</f>
        <v>0</v>
      </c>
    </row>
    <row r="172" customFormat="false" ht="15" hidden="false" customHeight="false" outlineLevel="0" collapsed="false">
      <c r="A172" s="5" t="s">
        <v>473</v>
      </c>
      <c r="B172" s="5" t="s">
        <v>474</v>
      </c>
      <c r="C172" s="5" t="s">
        <v>14</v>
      </c>
      <c r="D172" s="5" t="s">
        <v>472</v>
      </c>
      <c r="E172" s="5" t="n">
        <v>48</v>
      </c>
      <c r="F172" s="6" t="n">
        <v>64.95</v>
      </c>
      <c r="G172" s="6" t="n">
        <v>108.95</v>
      </c>
      <c r="H172" s="12" t="n">
        <f aca="false">1-F172/G172</f>
        <v>0.403854979348325</v>
      </c>
      <c r="I172" s="13" t="n">
        <v>69.95</v>
      </c>
      <c r="J172" s="6" t="n">
        <f aca="false">ROUNDUP(I172/(1-H172),0)-0.05</f>
        <v>117.95</v>
      </c>
      <c r="K172" s="6" t="n">
        <f aca="false">I172-F172</f>
        <v>5</v>
      </c>
      <c r="L172" s="5" t="s">
        <v>15</v>
      </c>
      <c r="M172" s="5" t="n">
        <v>6</v>
      </c>
      <c r="N172" s="6" t="n">
        <v>66.2</v>
      </c>
      <c r="O172" s="6" t="n">
        <v>69.95</v>
      </c>
      <c r="P172" s="6" t="n">
        <f aca="false">O172-I172</f>
        <v>0</v>
      </c>
    </row>
    <row r="173" customFormat="false" ht="15" hidden="false" customHeight="false" outlineLevel="0" collapsed="false">
      <c r="A173" s="5" t="s">
        <v>475</v>
      </c>
      <c r="B173" s="5" t="s">
        <v>476</v>
      </c>
      <c r="C173" s="5" t="s">
        <v>14</v>
      </c>
      <c r="D173" s="5" t="s">
        <v>427</v>
      </c>
      <c r="E173" s="5" t="n">
        <v>21</v>
      </c>
      <c r="F173" s="6" t="n">
        <v>64.95</v>
      </c>
      <c r="G173" s="6" t="n">
        <v>118.95</v>
      </c>
      <c r="H173" s="12" t="n">
        <f aca="false">1-F173/G173</f>
        <v>0.453972257250946</v>
      </c>
      <c r="I173" s="13" t="n">
        <v>69.95</v>
      </c>
      <c r="J173" s="6" t="n">
        <f aca="false">ROUNDUP(I173/(1-H173),0)-0.05</f>
        <v>128.95</v>
      </c>
      <c r="K173" s="6" t="n">
        <f aca="false">I173-F173</f>
        <v>5</v>
      </c>
      <c r="L173" s="5" t="s">
        <v>15</v>
      </c>
      <c r="M173" s="5" t="n">
        <v>6</v>
      </c>
      <c r="N173" s="6" t="n">
        <v>66.2</v>
      </c>
      <c r="O173" s="6" t="n">
        <v>69.95</v>
      </c>
      <c r="P173" s="6" t="n">
        <f aca="false">O173-I173</f>
        <v>0</v>
      </c>
    </row>
    <row r="174" customFormat="false" ht="15" hidden="false" customHeight="false" outlineLevel="0" collapsed="false">
      <c r="A174" s="5" t="s">
        <v>477</v>
      </c>
      <c r="B174" s="5" t="s">
        <v>478</v>
      </c>
      <c r="C174" s="5" t="s">
        <v>14</v>
      </c>
      <c r="D174" s="5" t="s">
        <v>170</v>
      </c>
      <c r="E174" s="5" t="n">
        <v>14</v>
      </c>
      <c r="F174" s="6" t="n">
        <v>64.95</v>
      </c>
      <c r="G174" s="6" t="n">
        <v>108.95</v>
      </c>
      <c r="H174" s="12" t="n">
        <f aca="false">1-F174/G174</f>
        <v>0.403854979348325</v>
      </c>
      <c r="I174" s="13" t="n">
        <v>69.95</v>
      </c>
      <c r="J174" s="6" t="n">
        <f aca="false">ROUNDUP(I174/(1-H174),0)-0.05</f>
        <v>117.95</v>
      </c>
      <c r="K174" s="6" t="n">
        <f aca="false">I174-F174</f>
        <v>5</v>
      </c>
      <c r="L174" s="5" t="s">
        <v>15</v>
      </c>
      <c r="M174" s="5" t="n">
        <v>6</v>
      </c>
      <c r="N174" s="6" t="n">
        <v>66.2</v>
      </c>
      <c r="O174" s="6" t="n">
        <v>69.95</v>
      </c>
      <c r="P174" s="6" t="n">
        <f aca="false">O174-I174</f>
        <v>0</v>
      </c>
    </row>
    <row r="175" customFormat="false" ht="15" hidden="false" customHeight="false" outlineLevel="0" collapsed="false">
      <c r="A175" s="5" t="s">
        <v>479</v>
      </c>
      <c r="B175" s="5" t="s">
        <v>480</v>
      </c>
      <c r="C175" s="5" t="s">
        <v>14</v>
      </c>
      <c r="D175" s="5" t="s">
        <v>170</v>
      </c>
      <c r="E175" s="5" t="n">
        <v>28</v>
      </c>
      <c r="F175" s="6" t="n">
        <v>64.95</v>
      </c>
      <c r="G175" s="6" t="n">
        <v>108.95</v>
      </c>
      <c r="H175" s="12" t="n">
        <f aca="false">1-F175/G175</f>
        <v>0.403854979348325</v>
      </c>
      <c r="I175" s="13" t="n">
        <v>69.95</v>
      </c>
      <c r="J175" s="6" t="n">
        <f aca="false">ROUNDUP(I175/(1-H175),0)-0.05</f>
        <v>117.95</v>
      </c>
      <c r="K175" s="6" t="n">
        <f aca="false">I175-F175</f>
        <v>5</v>
      </c>
      <c r="L175" s="5" t="s">
        <v>15</v>
      </c>
      <c r="M175" s="5" t="n">
        <v>6</v>
      </c>
      <c r="N175" s="6" t="n">
        <v>66.2</v>
      </c>
      <c r="O175" s="6" t="n">
        <v>69.95</v>
      </c>
      <c r="P175" s="6" t="n">
        <f aca="false">O175-I175</f>
        <v>0</v>
      </c>
    </row>
    <row r="176" customFormat="false" ht="15" hidden="false" customHeight="false" outlineLevel="0" collapsed="false">
      <c r="A176" s="5" t="s">
        <v>481</v>
      </c>
      <c r="B176" s="5" t="s">
        <v>482</v>
      </c>
      <c r="C176" s="5" t="s">
        <v>14</v>
      </c>
      <c r="D176" s="5" t="s">
        <v>256</v>
      </c>
      <c r="E176" s="5" t="n">
        <v>30</v>
      </c>
      <c r="F176" s="6" t="n">
        <v>64.95</v>
      </c>
      <c r="G176" s="6" t="n">
        <v>129.95</v>
      </c>
      <c r="H176" s="12" t="n">
        <f aca="false">1-F176/G176</f>
        <v>0.500192381685264</v>
      </c>
      <c r="I176" s="13" t="n">
        <v>69.95</v>
      </c>
      <c r="J176" s="6" t="n">
        <f aca="false">ROUNDUP(I176/(1-H176),0)-0.05</f>
        <v>139.95</v>
      </c>
      <c r="K176" s="6" t="n">
        <f aca="false">I176-F176</f>
        <v>5</v>
      </c>
      <c r="L176" s="5" t="s">
        <v>15</v>
      </c>
      <c r="M176" s="5" t="n">
        <v>6</v>
      </c>
      <c r="N176" s="6" t="n">
        <v>66.2</v>
      </c>
      <c r="O176" s="6" t="n">
        <v>69.95</v>
      </c>
      <c r="P176" s="6" t="n">
        <f aca="false">O176-I176</f>
        <v>0</v>
      </c>
    </row>
    <row r="177" customFormat="false" ht="15" hidden="false" customHeight="false" outlineLevel="0" collapsed="false">
      <c r="A177" s="5" t="s">
        <v>483</v>
      </c>
      <c r="B177" s="5" t="s">
        <v>484</v>
      </c>
      <c r="C177" s="5" t="s">
        <v>14</v>
      </c>
      <c r="D177" s="5" t="s">
        <v>427</v>
      </c>
      <c r="E177" s="5" t="n">
        <v>35</v>
      </c>
      <c r="F177" s="6" t="n">
        <v>64.95</v>
      </c>
      <c r="G177" s="6" t="n">
        <v>108.95</v>
      </c>
      <c r="H177" s="12" t="n">
        <f aca="false">1-F177/G177</f>
        <v>0.403854979348325</v>
      </c>
      <c r="I177" s="13" t="n">
        <v>69.95</v>
      </c>
      <c r="J177" s="6" t="n">
        <f aca="false">ROUNDUP(I177/(1-H177),0)-0.05</f>
        <v>117.95</v>
      </c>
      <c r="K177" s="6" t="n">
        <f aca="false">I177-F177</f>
        <v>5</v>
      </c>
      <c r="L177" s="5" t="s">
        <v>15</v>
      </c>
      <c r="M177" s="5" t="n">
        <v>6</v>
      </c>
      <c r="N177" s="6" t="n">
        <v>66.2</v>
      </c>
      <c r="O177" s="6" t="n">
        <v>69.95</v>
      </c>
      <c r="P177" s="6" t="n">
        <f aca="false">O177-I177</f>
        <v>0</v>
      </c>
    </row>
    <row r="178" customFormat="false" ht="15" hidden="false" customHeight="false" outlineLevel="0" collapsed="false">
      <c r="A178" s="5" t="s">
        <v>485</v>
      </c>
      <c r="B178" s="5" t="s">
        <v>486</v>
      </c>
      <c r="C178" s="5" t="s">
        <v>14</v>
      </c>
      <c r="D178" s="5" t="s">
        <v>14</v>
      </c>
      <c r="E178" s="5" t="n">
        <v>49</v>
      </c>
      <c r="F178" s="6" t="n">
        <v>64.95</v>
      </c>
      <c r="G178" s="6" t="n">
        <v>108.95</v>
      </c>
      <c r="H178" s="12" t="n">
        <f aca="false">1-F178/G178</f>
        <v>0.403854979348325</v>
      </c>
      <c r="I178" s="13" t="n">
        <v>69.95</v>
      </c>
      <c r="J178" s="6" t="n">
        <f aca="false">ROUNDUP(I178/(1-H178),0)-0.05</f>
        <v>117.95</v>
      </c>
      <c r="K178" s="6" t="n">
        <f aca="false">I178-F178</f>
        <v>5</v>
      </c>
      <c r="L178" s="5" t="s">
        <v>15</v>
      </c>
      <c r="M178" s="5" t="n">
        <v>6</v>
      </c>
      <c r="N178" s="6" t="n">
        <v>66.2</v>
      </c>
      <c r="O178" s="6" t="n">
        <v>69.95</v>
      </c>
      <c r="P178" s="6" t="n">
        <f aca="false">O178-I178</f>
        <v>0</v>
      </c>
    </row>
    <row r="179" customFormat="false" ht="15" hidden="false" customHeight="false" outlineLevel="0" collapsed="false">
      <c r="A179" s="5" t="s">
        <v>487</v>
      </c>
      <c r="B179" s="5" t="s">
        <v>488</v>
      </c>
      <c r="C179" s="5" t="s">
        <v>14</v>
      </c>
      <c r="D179" s="5" t="s">
        <v>489</v>
      </c>
      <c r="E179" s="5" t="n">
        <v>28</v>
      </c>
      <c r="F179" s="6" t="n">
        <v>64.95</v>
      </c>
      <c r="G179" s="6" t="n">
        <v>108.95</v>
      </c>
      <c r="H179" s="12" t="n">
        <f aca="false">1-F179/G179</f>
        <v>0.403854979348325</v>
      </c>
      <c r="I179" s="13" t="n">
        <v>69.95</v>
      </c>
      <c r="J179" s="6" t="n">
        <f aca="false">ROUNDUP(I179/(1-H179),0)-0.05</f>
        <v>117.95</v>
      </c>
      <c r="K179" s="6" t="n">
        <f aca="false">I179-F179</f>
        <v>5</v>
      </c>
      <c r="L179" s="5" t="s">
        <v>15</v>
      </c>
      <c r="M179" s="5" t="n">
        <v>6</v>
      </c>
      <c r="N179" s="6" t="n">
        <v>66.2</v>
      </c>
      <c r="O179" s="6" t="n">
        <v>69.95</v>
      </c>
      <c r="P179" s="6" t="n">
        <f aca="false">O179-I179</f>
        <v>0</v>
      </c>
    </row>
    <row r="180" customFormat="false" ht="15" hidden="false" customHeight="false" outlineLevel="0" collapsed="false">
      <c r="A180" s="5" t="s">
        <v>490</v>
      </c>
      <c r="B180" s="5" t="s">
        <v>491</v>
      </c>
      <c r="C180" s="5" t="s">
        <v>14</v>
      </c>
      <c r="D180" s="5" t="s">
        <v>170</v>
      </c>
      <c r="E180" s="5" t="n">
        <v>14</v>
      </c>
      <c r="F180" s="6" t="n">
        <v>64.95</v>
      </c>
      <c r="G180" s="6" t="n">
        <v>118.95</v>
      </c>
      <c r="H180" s="12" t="n">
        <f aca="false">1-F180/G180</f>
        <v>0.453972257250946</v>
      </c>
      <c r="I180" s="13" t="n">
        <v>69.95</v>
      </c>
      <c r="J180" s="6" t="n">
        <f aca="false">ROUNDUP(I180/(1-H180),0)-0.05</f>
        <v>128.95</v>
      </c>
      <c r="K180" s="6" t="n">
        <f aca="false">I180-F180</f>
        <v>5</v>
      </c>
      <c r="L180" s="5" t="s">
        <v>15</v>
      </c>
      <c r="M180" s="5" t="n">
        <v>6</v>
      </c>
      <c r="N180" s="6" t="n">
        <v>66.2</v>
      </c>
      <c r="O180" s="6" t="n">
        <v>69.95</v>
      </c>
      <c r="P180" s="6" t="n">
        <f aca="false">O180-I180</f>
        <v>0</v>
      </c>
    </row>
    <row r="181" customFormat="false" ht="15" hidden="false" customHeight="false" outlineLevel="0" collapsed="false">
      <c r="A181" s="5" t="s">
        <v>492</v>
      </c>
      <c r="B181" s="5" t="s">
        <v>493</v>
      </c>
      <c r="C181" s="5" t="s">
        <v>14</v>
      </c>
      <c r="D181" s="5" t="s">
        <v>176</v>
      </c>
      <c r="E181" s="5" t="n">
        <v>24</v>
      </c>
      <c r="F181" s="6" t="n">
        <v>64.95</v>
      </c>
      <c r="G181" s="6" t="n">
        <v>118.95</v>
      </c>
      <c r="H181" s="12" t="n">
        <f aca="false">1-F181/G181</f>
        <v>0.453972257250946</v>
      </c>
      <c r="I181" s="13" t="n">
        <v>69.95</v>
      </c>
      <c r="J181" s="6" t="n">
        <f aca="false">ROUNDUP(I181/(1-H181),0)-0.05</f>
        <v>128.95</v>
      </c>
      <c r="K181" s="6" t="n">
        <f aca="false">I181-F181</f>
        <v>5</v>
      </c>
      <c r="L181" s="5" t="s">
        <v>15</v>
      </c>
      <c r="M181" s="5" t="n">
        <v>6</v>
      </c>
      <c r="N181" s="6" t="n">
        <v>66.2</v>
      </c>
      <c r="O181" s="6" t="n">
        <v>69.95</v>
      </c>
      <c r="P181" s="6" t="n">
        <f aca="false">O181-I181</f>
        <v>0</v>
      </c>
    </row>
    <row r="182" customFormat="false" ht="15" hidden="false" customHeight="false" outlineLevel="0" collapsed="false">
      <c r="A182" s="5" t="s">
        <v>494</v>
      </c>
      <c r="B182" s="5" t="s">
        <v>495</v>
      </c>
      <c r="C182" s="5" t="s">
        <v>14</v>
      </c>
      <c r="D182" s="5" t="s">
        <v>427</v>
      </c>
      <c r="E182" s="5" t="n">
        <v>30</v>
      </c>
      <c r="F182" s="6" t="n">
        <v>64.95</v>
      </c>
      <c r="G182" s="6" t="n">
        <v>108.95</v>
      </c>
      <c r="H182" s="12" t="n">
        <f aca="false">1-F182/G182</f>
        <v>0.403854979348325</v>
      </c>
      <c r="I182" s="13" t="n">
        <v>69.95</v>
      </c>
      <c r="J182" s="6" t="n">
        <f aca="false">ROUNDUP(I182/(1-H182),0)-0.05</f>
        <v>117.95</v>
      </c>
      <c r="K182" s="6" t="n">
        <f aca="false">I182-F182</f>
        <v>5</v>
      </c>
      <c r="L182" s="5" t="s">
        <v>15</v>
      </c>
      <c r="M182" s="5" t="n">
        <v>6</v>
      </c>
      <c r="N182" s="6" t="n">
        <v>66.2</v>
      </c>
      <c r="O182" s="6" t="n">
        <v>69.95</v>
      </c>
      <c r="P182" s="6" t="n">
        <f aca="false">O182-I182</f>
        <v>0</v>
      </c>
    </row>
    <row r="183" customFormat="false" ht="15" hidden="false" customHeight="false" outlineLevel="0" collapsed="false">
      <c r="A183" s="5" t="s">
        <v>496</v>
      </c>
      <c r="B183" s="5" t="s">
        <v>497</v>
      </c>
      <c r="C183" s="5" t="s">
        <v>14</v>
      </c>
      <c r="D183" s="5" t="s">
        <v>170</v>
      </c>
      <c r="E183" s="5" t="n">
        <v>48</v>
      </c>
      <c r="F183" s="6" t="n">
        <v>64.95</v>
      </c>
      <c r="G183" s="6" t="n">
        <v>129.95</v>
      </c>
      <c r="H183" s="12" t="n">
        <f aca="false">1-F183/G183</f>
        <v>0.500192381685264</v>
      </c>
      <c r="I183" s="13" t="n">
        <v>69.95</v>
      </c>
      <c r="J183" s="6" t="n">
        <f aca="false">ROUNDUP(I183/(1-H183),0)-0.05</f>
        <v>139.95</v>
      </c>
      <c r="K183" s="6" t="n">
        <f aca="false">I183-F183</f>
        <v>5</v>
      </c>
      <c r="L183" s="5" t="s">
        <v>15</v>
      </c>
      <c r="M183" s="5" t="n">
        <v>6</v>
      </c>
      <c r="N183" s="6" t="n">
        <v>66.2</v>
      </c>
      <c r="O183" s="6" t="n">
        <v>69.95</v>
      </c>
      <c r="P183" s="6" t="n">
        <f aca="false">O183-I183</f>
        <v>0</v>
      </c>
    </row>
    <row r="184" customFormat="false" ht="15" hidden="false" customHeight="false" outlineLevel="0" collapsed="false">
      <c r="A184" s="5" t="s">
        <v>498</v>
      </c>
      <c r="B184" s="5" t="s">
        <v>499</v>
      </c>
      <c r="C184" s="5" t="s">
        <v>14</v>
      </c>
      <c r="D184" s="5" t="s">
        <v>500</v>
      </c>
      <c r="E184" s="5" t="n">
        <v>24</v>
      </c>
      <c r="F184" s="6" t="n">
        <v>64.95</v>
      </c>
      <c r="G184" s="6" t="n">
        <v>118.95</v>
      </c>
      <c r="H184" s="12" t="n">
        <f aca="false">1-F184/G184</f>
        <v>0.453972257250946</v>
      </c>
      <c r="I184" s="13" t="n">
        <v>69.95</v>
      </c>
      <c r="J184" s="6" t="n">
        <f aca="false">ROUNDUP(I184/(1-H184),0)-0.05</f>
        <v>128.95</v>
      </c>
      <c r="K184" s="6" t="n">
        <f aca="false">I184-F184</f>
        <v>5</v>
      </c>
      <c r="L184" s="5" t="s">
        <v>15</v>
      </c>
      <c r="M184" s="5" t="n">
        <v>6</v>
      </c>
      <c r="N184" s="6" t="n">
        <v>66.2</v>
      </c>
      <c r="O184" s="6" t="n">
        <v>69.95</v>
      </c>
      <c r="P184" s="6" t="n">
        <f aca="false">O184-I184</f>
        <v>0</v>
      </c>
    </row>
    <row r="185" customFormat="false" ht="15" hidden="false" customHeight="false" outlineLevel="0" collapsed="false">
      <c r="A185" s="5" t="s">
        <v>501</v>
      </c>
      <c r="B185" s="5" t="s">
        <v>502</v>
      </c>
      <c r="C185" s="5" t="s">
        <v>14</v>
      </c>
      <c r="D185" s="5" t="s">
        <v>183</v>
      </c>
      <c r="E185" s="5" t="n">
        <v>18</v>
      </c>
      <c r="F185" s="6" t="n">
        <v>64.95</v>
      </c>
      <c r="G185" s="6" t="n">
        <v>129.95</v>
      </c>
      <c r="H185" s="12" t="n">
        <f aca="false">1-F185/G185</f>
        <v>0.500192381685264</v>
      </c>
      <c r="I185" s="13" t="n">
        <v>69.95</v>
      </c>
      <c r="J185" s="6" t="n">
        <f aca="false">ROUNDUP(I185/(1-H185),0)-0.05</f>
        <v>139.95</v>
      </c>
      <c r="K185" s="6" t="n">
        <f aca="false">I185-F185</f>
        <v>5</v>
      </c>
      <c r="L185" s="5" t="s">
        <v>15</v>
      </c>
      <c r="M185" s="5" t="n">
        <v>6</v>
      </c>
      <c r="N185" s="6" t="n">
        <v>66.2</v>
      </c>
      <c r="O185" s="6" t="n">
        <v>69.95</v>
      </c>
      <c r="P185" s="6" t="n">
        <f aca="false">O185-I185</f>
        <v>0</v>
      </c>
    </row>
    <row r="186" customFormat="false" ht="15" hidden="false" customHeight="false" outlineLevel="0" collapsed="false">
      <c r="A186" s="5" t="s">
        <v>503</v>
      </c>
      <c r="B186" s="5" t="s">
        <v>504</v>
      </c>
      <c r="C186" s="5" t="s">
        <v>14</v>
      </c>
      <c r="D186" s="5" t="s">
        <v>170</v>
      </c>
      <c r="E186" s="5" t="n">
        <v>42</v>
      </c>
      <c r="F186" s="6" t="n">
        <v>64.95</v>
      </c>
      <c r="G186" s="6" t="n">
        <v>108.95</v>
      </c>
      <c r="H186" s="12" t="n">
        <f aca="false">1-F186/G186</f>
        <v>0.403854979348325</v>
      </c>
      <c r="I186" s="13" t="n">
        <v>69.95</v>
      </c>
      <c r="J186" s="6" t="n">
        <f aca="false">ROUNDUP(I186/(1-H186),0)-0.05</f>
        <v>117.95</v>
      </c>
      <c r="K186" s="6" t="n">
        <f aca="false">I186-F186</f>
        <v>5</v>
      </c>
      <c r="L186" s="5" t="s">
        <v>15</v>
      </c>
      <c r="M186" s="5" t="n">
        <v>6</v>
      </c>
      <c r="N186" s="6" t="n">
        <v>66.2</v>
      </c>
      <c r="O186" s="6" t="n">
        <v>69.95</v>
      </c>
      <c r="P186" s="6" t="n">
        <f aca="false">O186-I186</f>
        <v>0</v>
      </c>
    </row>
    <row r="187" customFormat="false" ht="15" hidden="false" customHeight="false" outlineLevel="0" collapsed="false">
      <c r="A187" s="5" t="s">
        <v>505</v>
      </c>
      <c r="B187" s="5" t="s">
        <v>506</v>
      </c>
      <c r="C187" s="5" t="s">
        <v>14</v>
      </c>
      <c r="D187" s="5" t="s">
        <v>500</v>
      </c>
      <c r="E187" s="5" t="n">
        <v>20</v>
      </c>
      <c r="F187" s="6" t="n">
        <v>64.95</v>
      </c>
      <c r="G187" s="6" t="n">
        <v>108.95</v>
      </c>
      <c r="H187" s="12" t="n">
        <f aca="false">1-F187/G187</f>
        <v>0.403854979348325</v>
      </c>
      <c r="I187" s="13" t="n">
        <v>69.95</v>
      </c>
      <c r="J187" s="6" t="n">
        <f aca="false">ROUNDUP(I187/(1-H187),0)-0.05</f>
        <v>117.95</v>
      </c>
      <c r="K187" s="6" t="n">
        <f aca="false">I187-F187</f>
        <v>5</v>
      </c>
      <c r="L187" s="5" t="s">
        <v>15</v>
      </c>
      <c r="M187" s="5" t="n">
        <v>6</v>
      </c>
      <c r="N187" s="6" t="n">
        <v>66.2</v>
      </c>
      <c r="O187" s="6" t="n">
        <v>69.95</v>
      </c>
      <c r="P187" s="6" t="n">
        <f aca="false">O187-I187</f>
        <v>0</v>
      </c>
    </row>
    <row r="188" customFormat="false" ht="15" hidden="false" customHeight="false" outlineLevel="0" collapsed="false">
      <c r="A188" s="5" t="s">
        <v>507</v>
      </c>
      <c r="B188" s="5" t="s">
        <v>508</v>
      </c>
      <c r="C188" s="5" t="s">
        <v>14</v>
      </c>
      <c r="D188" s="5" t="s">
        <v>170</v>
      </c>
      <c r="E188" s="5" t="n">
        <v>49</v>
      </c>
      <c r="F188" s="6" t="n">
        <v>64.95</v>
      </c>
      <c r="G188" s="6" t="n">
        <v>118.95</v>
      </c>
      <c r="H188" s="12" t="n">
        <f aca="false">1-F188/G188</f>
        <v>0.453972257250946</v>
      </c>
      <c r="I188" s="13" t="n">
        <v>69.95</v>
      </c>
      <c r="J188" s="6" t="n">
        <f aca="false">ROUNDUP(I188/(1-H188),0)-0.05</f>
        <v>128.95</v>
      </c>
      <c r="K188" s="6" t="n">
        <f aca="false">I188-F188</f>
        <v>5</v>
      </c>
      <c r="L188" s="5" t="s">
        <v>15</v>
      </c>
      <c r="M188" s="5" t="n">
        <v>6</v>
      </c>
      <c r="N188" s="6" t="n">
        <v>66.2</v>
      </c>
      <c r="O188" s="6" t="n">
        <v>69.95</v>
      </c>
      <c r="P188" s="6" t="n">
        <f aca="false">O188-I188</f>
        <v>0</v>
      </c>
    </row>
    <row r="189" customFormat="false" ht="15" hidden="false" customHeight="false" outlineLevel="0" collapsed="false">
      <c r="A189" s="5" t="s">
        <v>509</v>
      </c>
      <c r="B189" s="5" t="s">
        <v>510</v>
      </c>
      <c r="C189" s="5" t="s">
        <v>14</v>
      </c>
      <c r="D189" s="5" t="s">
        <v>511</v>
      </c>
      <c r="E189" s="5" t="n">
        <v>24</v>
      </c>
      <c r="F189" s="6" t="n">
        <v>64.95</v>
      </c>
      <c r="G189" s="6" t="n">
        <v>118.95</v>
      </c>
      <c r="H189" s="12" t="n">
        <f aca="false">1-F189/G189</f>
        <v>0.453972257250946</v>
      </c>
      <c r="I189" s="13" t="n">
        <v>69.95</v>
      </c>
      <c r="J189" s="6" t="n">
        <f aca="false">ROUNDUP(I189/(1-H189),0)-0.05</f>
        <v>128.95</v>
      </c>
      <c r="K189" s="6" t="n">
        <f aca="false">I189-F189</f>
        <v>5</v>
      </c>
      <c r="L189" s="5" t="s">
        <v>15</v>
      </c>
      <c r="M189" s="5" t="n">
        <v>6</v>
      </c>
      <c r="N189" s="6" t="n">
        <v>66.2</v>
      </c>
      <c r="O189" s="6" t="n">
        <v>69.95</v>
      </c>
      <c r="P189" s="6" t="n">
        <f aca="false">O189-I189</f>
        <v>0</v>
      </c>
    </row>
    <row r="190" customFormat="false" ht="15" hidden="false" customHeight="false" outlineLevel="0" collapsed="false">
      <c r="A190" s="5" t="s">
        <v>512</v>
      </c>
      <c r="B190" s="5" t="s">
        <v>513</v>
      </c>
      <c r="C190" s="5" t="s">
        <v>14</v>
      </c>
      <c r="D190" s="5" t="s">
        <v>170</v>
      </c>
      <c r="E190" s="5" t="n">
        <v>54</v>
      </c>
      <c r="F190" s="6" t="n">
        <v>64.95</v>
      </c>
      <c r="G190" s="6" t="n">
        <v>129.95</v>
      </c>
      <c r="H190" s="12" t="n">
        <f aca="false">1-F190/G190</f>
        <v>0.500192381685264</v>
      </c>
      <c r="I190" s="13" t="n">
        <v>69.95</v>
      </c>
      <c r="J190" s="6" t="n">
        <f aca="false">ROUNDUP(I190/(1-H190),0)-0.05</f>
        <v>139.95</v>
      </c>
      <c r="K190" s="6" t="n">
        <f aca="false">I190-F190</f>
        <v>5</v>
      </c>
      <c r="L190" s="5" t="s">
        <v>15</v>
      </c>
      <c r="M190" s="5" t="n">
        <v>6</v>
      </c>
      <c r="N190" s="6" t="n">
        <v>66.2</v>
      </c>
      <c r="O190" s="6" t="n">
        <v>69.95</v>
      </c>
      <c r="P190" s="6" t="n">
        <f aca="false">O190-I190</f>
        <v>0</v>
      </c>
    </row>
    <row r="191" customFormat="false" ht="15" hidden="false" customHeight="false" outlineLevel="0" collapsed="false">
      <c r="A191" s="5" t="s">
        <v>514</v>
      </c>
      <c r="B191" s="5" t="s">
        <v>515</v>
      </c>
      <c r="C191" s="5" t="s">
        <v>14</v>
      </c>
      <c r="D191" s="5" t="s">
        <v>500</v>
      </c>
      <c r="E191" s="5" t="n">
        <v>36</v>
      </c>
      <c r="F191" s="6" t="n">
        <v>64.95</v>
      </c>
      <c r="G191" s="6" t="n">
        <v>108.95</v>
      </c>
      <c r="H191" s="12" t="n">
        <f aca="false">1-F191/G191</f>
        <v>0.403854979348325</v>
      </c>
      <c r="I191" s="13" t="n">
        <v>69.95</v>
      </c>
      <c r="J191" s="6" t="n">
        <f aca="false">ROUNDUP(I191/(1-H191),0)-0.05</f>
        <v>117.95</v>
      </c>
      <c r="K191" s="6" t="n">
        <f aca="false">I191-F191</f>
        <v>5</v>
      </c>
      <c r="L191" s="5" t="s">
        <v>15</v>
      </c>
      <c r="M191" s="5" t="n">
        <v>6</v>
      </c>
      <c r="N191" s="6" t="n">
        <v>66.2</v>
      </c>
      <c r="O191" s="6" t="n">
        <v>69.95</v>
      </c>
      <c r="P191" s="6" t="n">
        <f aca="false">O191-I191</f>
        <v>0</v>
      </c>
    </row>
    <row r="192" customFormat="false" ht="15" hidden="false" customHeight="false" outlineLevel="0" collapsed="false">
      <c r="A192" s="5" t="s">
        <v>516</v>
      </c>
      <c r="B192" s="5" t="s">
        <v>517</v>
      </c>
      <c r="C192" s="5" t="s">
        <v>14</v>
      </c>
      <c r="D192" s="5" t="s">
        <v>518</v>
      </c>
      <c r="E192" s="5" t="n">
        <v>10</v>
      </c>
      <c r="F192" s="6" t="n">
        <v>64.95</v>
      </c>
      <c r="G192" s="6" t="n">
        <v>108.95</v>
      </c>
      <c r="H192" s="12" t="n">
        <f aca="false">1-F192/G192</f>
        <v>0.403854979348325</v>
      </c>
      <c r="I192" s="13" t="n">
        <v>69.95</v>
      </c>
      <c r="J192" s="6" t="n">
        <f aca="false">ROUNDUP(I192/(1-H192),0)-0.05</f>
        <v>117.95</v>
      </c>
      <c r="K192" s="6" t="n">
        <f aca="false">I192-F192</f>
        <v>5</v>
      </c>
      <c r="L192" s="5" t="s">
        <v>15</v>
      </c>
      <c r="M192" s="5" t="n">
        <v>6</v>
      </c>
      <c r="N192" s="6" t="n">
        <v>66.2</v>
      </c>
      <c r="O192" s="6" t="n">
        <v>69.95</v>
      </c>
      <c r="P192" s="6" t="n">
        <f aca="false">O192-I192</f>
        <v>0</v>
      </c>
    </row>
    <row r="193" customFormat="false" ht="15" hidden="false" customHeight="false" outlineLevel="0" collapsed="false">
      <c r="A193" s="5" t="s">
        <v>519</v>
      </c>
      <c r="B193" s="5" t="s">
        <v>520</v>
      </c>
      <c r="C193" s="5" t="s">
        <v>14</v>
      </c>
      <c r="D193" s="5" t="s">
        <v>427</v>
      </c>
      <c r="E193" s="5" t="n">
        <v>30</v>
      </c>
      <c r="F193" s="6" t="n">
        <v>64.95</v>
      </c>
      <c r="G193" s="6" t="n">
        <v>129.95</v>
      </c>
      <c r="H193" s="12" t="n">
        <f aca="false">1-F193/G193</f>
        <v>0.500192381685264</v>
      </c>
      <c r="I193" s="13" t="n">
        <v>69.95</v>
      </c>
      <c r="J193" s="6" t="n">
        <f aca="false">ROUNDUP(I193/(1-H193),0)-0.05</f>
        <v>139.95</v>
      </c>
      <c r="K193" s="6" t="n">
        <f aca="false">I193-F193</f>
        <v>5</v>
      </c>
      <c r="L193" s="5" t="s">
        <v>15</v>
      </c>
      <c r="M193" s="5" t="n">
        <v>6</v>
      </c>
      <c r="N193" s="6" t="n">
        <v>66.2</v>
      </c>
      <c r="O193" s="6" t="n">
        <v>69.95</v>
      </c>
      <c r="P193" s="6" t="n">
        <f aca="false">O193-I193</f>
        <v>0</v>
      </c>
    </row>
    <row r="194" customFormat="false" ht="15" hidden="false" customHeight="false" outlineLevel="0" collapsed="false">
      <c r="A194" s="5" t="s">
        <v>521</v>
      </c>
      <c r="B194" s="5" t="s">
        <v>522</v>
      </c>
      <c r="C194" s="5" t="s">
        <v>14</v>
      </c>
      <c r="D194" s="5" t="s">
        <v>152</v>
      </c>
      <c r="E194" s="5" t="n">
        <v>20</v>
      </c>
      <c r="F194" s="6" t="n">
        <v>64.95</v>
      </c>
      <c r="G194" s="6" t="n">
        <v>118.95</v>
      </c>
      <c r="H194" s="12" t="n">
        <f aca="false">1-F194/G194</f>
        <v>0.453972257250946</v>
      </c>
      <c r="I194" s="13" t="n">
        <v>69.95</v>
      </c>
      <c r="J194" s="6" t="n">
        <f aca="false">ROUNDUP(I194/(1-H194),0)-0.05</f>
        <v>128.95</v>
      </c>
      <c r="K194" s="6" t="n">
        <f aca="false">I194-F194</f>
        <v>5</v>
      </c>
      <c r="L194" s="5" t="s">
        <v>15</v>
      </c>
      <c r="M194" s="5" t="n">
        <v>6</v>
      </c>
      <c r="N194" s="6" t="n">
        <v>66.2</v>
      </c>
      <c r="O194" s="6" t="n">
        <v>69.95</v>
      </c>
      <c r="P194" s="6" t="n">
        <f aca="false">O194-I194</f>
        <v>0</v>
      </c>
    </row>
    <row r="195" customFormat="false" ht="15" hidden="false" customHeight="false" outlineLevel="0" collapsed="false">
      <c r="A195" s="5" t="s">
        <v>523</v>
      </c>
      <c r="B195" s="5" t="s">
        <v>524</v>
      </c>
      <c r="C195" s="5" t="s">
        <v>14</v>
      </c>
      <c r="D195" s="5" t="s">
        <v>170</v>
      </c>
      <c r="E195" s="5" t="n">
        <v>35</v>
      </c>
      <c r="F195" s="6" t="n">
        <v>64.95</v>
      </c>
      <c r="G195" s="6" t="n">
        <v>108.95</v>
      </c>
      <c r="H195" s="12" t="n">
        <f aca="false">1-F195/G195</f>
        <v>0.403854979348325</v>
      </c>
      <c r="I195" s="13" t="n">
        <v>69.95</v>
      </c>
      <c r="J195" s="6" t="n">
        <f aca="false">ROUNDUP(I195/(1-H195),0)-0.05</f>
        <v>117.95</v>
      </c>
      <c r="K195" s="6" t="n">
        <f aca="false">I195-F195</f>
        <v>5</v>
      </c>
      <c r="L195" s="5" t="s">
        <v>15</v>
      </c>
      <c r="M195" s="5" t="n">
        <v>6</v>
      </c>
      <c r="N195" s="6" t="n">
        <v>66.2</v>
      </c>
      <c r="O195" s="6" t="n">
        <v>69.95</v>
      </c>
      <c r="P195" s="6" t="n">
        <f aca="false">O195-I195</f>
        <v>0</v>
      </c>
    </row>
    <row r="196" customFormat="false" ht="15" hidden="false" customHeight="false" outlineLevel="0" collapsed="false">
      <c r="A196" s="5" t="s">
        <v>525</v>
      </c>
      <c r="B196" s="5" t="s">
        <v>526</v>
      </c>
      <c r="C196" s="5" t="s">
        <v>14</v>
      </c>
      <c r="D196" s="5" t="s">
        <v>518</v>
      </c>
      <c r="E196" s="5" t="n">
        <v>40</v>
      </c>
      <c r="F196" s="6" t="n">
        <v>64.95</v>
      </c>
      <c r="G196" s="6" t="n">
        <v>108.95</v>
      </c>
      <c r="H196" s="12" t="n">
        <f aca="false">1-F196/G196</f>
        <v>0.403854979348325</v>
      </c>
      <c r="I196" s="13" t="n">
        <v>69.95</v>
      </c>
      <c r="J196" s="6" t="n">
        <f aca="false">ROUNDUP(I196/(1-H196),0)-0.05</f>
        <v>117.95</v>
      </c>
      <c r="K196" s="6" t="n">
        <f aca="false">I196-F196</f>
        <v>5</v>
      </c>
      <c r="L196" s="5" t="s">
        <v>15</v>
      </c>
      <c r="M196" s="5" t="n">
        <v>6</v>
      </c>
      <c r="N196" s="6" t="n">
        <v>66.2</v>
      </c>
      <c r="O196" s="6" t="n">
        <v>69.95</v>
      </c>
      <c r="P196" s="6" t="n">
        <f aca="false">O196-I196</f>
        <v>0</v>
      </c>
    </row>
    <row r="197" customFormat="false" ht="15" hidden="false" customHeight="false" outlineLevel="0" collapsed="false">
      <c r="A197" s="5" t="s">
        <v>527</v>
      </c>
      <c r="B197" s="5" t="s">
        <v>528</v>
      </c>
      <c r="C197" s="5" t="s">
        <v>14</v>
      </c>
      <c r="D197" s="5" t="s">
        <v>170</v>
      </c>
      <c r="E197" s="5" t="n">
        <v>56</v>
      </c>
      <c r="F197" s="6" t="n">
        <v>64.95</v>
      </c>
      <c r="G197" s="6" t="n">
        <v>118.95</v>
      </c>
      <c r="H197" s="12" t="n">
        <f aca="false">1-F197/G197</f>
        <v>0.453972257250946</v>
      </c>
      <c r="I197" s="13" t="n">
        <v>69.95</v>
      </c>
      <c r="J197" s="6" t="n">
        <f aca="false">ROUNDUP(I197/(1-H197),0)-0.05</f>
        <v>128.95</v>
      </c>
      <c r="K197" s="6" t="n">
        <f aca="false">I197-F197</f>
        <v>5</v>
      </c>
      <c r="L197" s="5" t="s">
        <v>15</v>
      </c>
      <c r="M197" s="5" t="n">
        <v>6</v>
      </c>
      <c r="N197" s="6" t="n">
        <v>66.2</v>
      </c>
      <c r="O197" s="6" t="n">
        <v>69.95</v>
      </c>
      <c r="P197" s="6" t="n">
        <f aca="false">O197-I197</f>
        <v>0</v>
      </c>
    </row>
    <row r="198" customFormat="false" ht="15" hidden="false" customHeight="false" outlineLevel="0" collapsed="false">
      <c r="A198" s="5" t="s">
        <v>529</v>
      </c>
      <c r="B198" s="5" t="s">
        <v>530</v>
      </c>
      <c r="C198" s="5" t="s">
        <v>14</v>
      </c>
      <c r="D198" s="5" t="s">
        <v>170</v>
      </c>
      <c r="E198" s="5" t="n">
        <v>28</v>
      </c>
      <c r="F198" s="6" t="n">
        <v>64.95</v>
      </c>
      <c r="G198" s="6" t="n">
        <v>118.95</v>
      </c>
      <c r="H198" s="12" t="n">
        <f aca="false">1-F198/G198</f>
        <v>0.453972257250946</v>
      </c>
      <c r="I198" s="13" t="n">
        <v>69.95</v>
      </c>
      <c r="J198" s="6" t="n">
        <f aca="false">ROUNDUP(I198/(1-H198),0)-0.05</f>
        <v>128.95</v>
      </c>
      <c r="K198" s="6" t="n">
        <f aca="false">I198-F198</f>
        <v>5</v>
      </c>
      <c r="L198" s="5" t="s">
        <v>15</v>
      </c>
      <c r="M198" s="5" t="n">
        <v>6</v>
      </c>
      <c r="N198" s="6" t="n">
        <v>66.2</v>
      </c>
      <c r="O198" s="6" t="n">
        <v>69.95</v>
      </c>
      <c r="P198" s="6" t="n">
        <f aca="false">O198-I198</f>
        <v>0</v>
      </c>
    </row>
    <row r="199" customFormat="false" ht="15" hidden="false" customHeight="false" outlineLevel="0" collapsed="false">
      <c r="A199" s="5" t="s">
        <v>531</v>
      </c>
      <c r="B199" s="5" t="s">
        <v>532</v>
      </c>
      <c r="C199" s="5" t="s">
        <v>14</v>
      </c>
      <c r="D199" s="5" t="s">
        <v>170</v>
      </c>
      <c r="E199" s="5" t="n">
        <v>42</v>
      </c>
      <c r="F199" s="6" t="n">
        <v>64.95</v>
      </c>
      <c r="G199" s="6" t="n">
        <v>129.95</v>
      </c>
      <c r="H199" s="12" t="n">
        <f aca="false">1-F199/G199</f>
        <v>0.500192381685264</v>
      </c>
      <c r="I199" s="13" t="n">
        <v>69.95</v>
      </c>
      <c r="J199" s="6" t="n">
        <f aca="false">ROUNDUP(I199/(1-H199),0)-0.05</f>
        <v>139.95</v>
      </c>
      <c r="K199" s="6" t="n">
        <f aca="false">I199-F199</f>
        <v>5</v>
      </c>
      <c r="L199" s="5" t="s">
        <v>15</v>
      </c>
      <c r="M199" s="5" t="n">
        <v>6</v>
      </c>
      <c r="N199" s="6" t="n">
        <v>66.2</v>
      </c>
      <c r="O199" s="6" t="n">
        <v>69.95</v>
      </c>
      <c r="P199" s="6" t="n">
        <f aca="false">O199-I199</f>
        <v>0</v>
      </c>
    </row>
    <row r="200" customFormat="false" ht="15" hidden="false" customHeight="false" outlineLevel="0" collapsed="false">
      <c r="A200" s="5" t="s">
        <v>533</v>
      </c>
      <c r="B200" s="5" t="s">
        <v>534</v>
      </c>
      <c r="C200" s="5" t="s">
        <v>14</v>
      </c>
      <c r="D200" s="5" t="s">
        <v>170</v>
      </c>
      <c r="E200" s="5" t="n">
        <v>16</v>
      </c>
      <c r="F200" s="6" t="n">
        <v>64.95</v>
      </c>
      <c r="G200" s="6" t="n">
        <v>129.95</v>
      </c>
      <c r="H200" s="12" t="n">
        <f aca="false">1-F200/G200</f>
        <v>0.500192381685264</v>
      </c>
      <c r="I200" s="13" t="n">
        <v>69.95</v>
      </c>
      <c r="J200" s="6" t="n">
        <f aca="false">ROUNDUP(I200/(1-H200),0)-0.05</f>
        <v>139.95</v>
      </c>
      <c r="K200" s="6" t="n">
        <f aca="false">I200-F200</f>
        <v>5</v>
      </c>
      <c r="L200" s="5" t="s">
        <v>15</v>
      </c>
      <c r="M200" s="5" t="n">
        <v>6</v>
      </c>
      <c r="N200" s="6" t="n">
        <v>66.2</v>
      </c>
      <c r="O200" s="6" t="n">
        <v>69.95</v>
      </c>
      <c r="P200" s="6" t="n">
        <f aca="false">O200-I200</f>
        <v>0</v>
      </c>
    </row>
    <row r="201" customFormat="false" ht="15" hidden="false" customHeight="false" outlineLevel="0" collapsed="false">
      <c r="A201" s="5" t="s">
        <v>535</v>
      </c>
      <c r="B201" s="5" t="s">
        <v>536</v>
      </c>
      <c r="C201" s="5" t="s">
        <v>20</v>
      </c>
      <c r="D201" s="5" t="s">
        <v>537</v>
      </c>
      <c r="E201" s="5" t="n">
        <v>35</v>
      </c>
      <c r="F201" s="6" t="n">
        <v>59.95</v>
      </c>
      <c r="G201" s="6" t="n">
        <v>119.95</v>
      </c>
      <c r="H201" s="12" t="n">
        <f aca="false">1-F201/G201</f>
        <v>0.500208420175073</v>
      </c>
      <c r="I201" s="13" t="n">
        <v>69.95</v>
      </c>
      <c r="J201" s="6" t="n">
        <f aca="false">ROUNDUP(I201/(1-H201),0)-0.05</f>
        <v>139.95</v>
      </c>
      <c r="K201" s="6" t="n">
        <f aca="false">I201-F201</f>
        <v>10</v>
      </c>
      <c r="L201" s="5" t="s">
        <v>21</v>
      </c>
      <c r="M201" s="5" t="n">
        <v>14</v>
      </c>
      <c r="N201" s="6" t="n">
        <v>79.95</v>
      </c>
      <c r="O201" s="6" t="n">
        <v>84.95</v>
      </c>
      <c r="P201" s="6" t="n">
        <f aca="false">O201-I201</f>
        <v>15</v>
      </c>
    </row>
    <row r="202" customFormat="false" ht="15" hidden="false" customHeight="false" outlineLevel="0" collapsed="false">
      <c r="A202" s="5" t="s">
        <v>538</v>
      </c>
      <c r="B202" s="5" t="s">
        <v>539</v>
      </c>
      <c r="C202" s="5" t="s">
        <v>20</v>
      </c>
      <c r="D202" s="5" t="s">
        <v>540</v>
      </c>
      <c r="E202" s="5" t="n">
        <v>21</v>
      </c>
      <c r="F202" s="6" t="n">
        <v>59.95</v>
      </c>
      <c r="G202" s="6" t="n">
        <v>99.95</v>
      </c>
      <c r="H202" s="12" t="n">
        <f aca="false">1-F202/G202</f>
        <v>0.400200100050025</v>
      </c>
      <c r="I202" s="13" t="n">
        <v>69.95</v>
      </c>
      <c r="J202" s="6" t="n">
        <f aca="false">ROUNDUP(I202/(1-H202),0)-0.05</f>
        <v>116.95</v>
      </c>
      <c r="K202" s="6" t="n">
        <f aca="false">I202-F202</f>
        <v>10</v>
      </c>
      <c r="L202" s="5" t="s">
        <v>21</v>
      </c>
      <c r="M202" s="5" t="n">
        <v>14</v>
      </c>
      <c r="N202" s="6" t="n">
        <v>79.95</v>
      </c>
      <c r="O202" s="6" t="n">
        <v>84.95</v>
      </c>
      <c r="P202" s="6" t="n">
        <f aca="false">O202-I202</f>
        <v>15</v>
      </c>
    </row>
    <row r="203" customFormat="false" ht="15" hidden="false" customHeight="false" outlineLevel="0" collapsed="false">
      <c r="A203" s="5" t="s">
        <v>541</v>
      </c>
      <c r="B203" s="5" t="s">
        <v>542</v>
      </c>
      <c r="C203" s="5" t="s">
        <v>20</v>
      </c>
      <c r="D203" s="5" t="s">
        <v>540</v>
      </c>
      <c r="E203" s="5" t="n">
        <v>35</v>
      </c>
      <c r="F203" s="6" t="n">
        <v>59.95</v>
      </c>
      <c r="G203" s="6" t="n">
        <v>108.95</v>
      </c>
      <c r="H203" s="12" t="n">
        <f aca="false">1-F203/G203</f>
        <v>0.449747590637907</v>
      </c>
      <c r="I203" s="13" t="n">
        <v>69.95</v>
      </c>
      <c r="J203" s="6" t="n">
        <f aca="false">ROUNDUP(I203/(1-H203),0)-0.05</f>
        <v>127.95</v>
      </c>
      <c r="K203" s="6" t="n">
        <f aca="false">I203-F203</f>
        <v>10</v>
      </c>
      <c r="L203" s="5" t="s">
        <v>21</v>
      </c>
      <c r="M203" s="5" t="n">
        <v>14</v>
      </c>
      <c r="N203" s="6" t="n">
        <v>79.95</v>
      </c>
      <c r="O203" s="6" t="n">
        <v>84.95</v>
      </c>
      <c r="P203" s="6" t="n">
        <f aca="false">O203-I203</f>
        <v>15</v>
      </c>
    </row>
    <row r="204" customFormat="false" ht="15" hidden="false" customHeight="false" outlineLevel="0" collapsed="false">
      <c r="A204" s="5" t="s">
        <v>543</v>
      </c>
      <c r="B204" s="5" t="s">
        <v>544</v>
      </c>
      <c r="C204" s="5" t="s">
        <v>20</v>
      </c>
      <c r="D204" s="5" t="s">
        <v>540</v>
      </c>
      <c r="E204" s="5" t="n">
        <v>42</v>
      </c>
      <c r="F204" s="6" t="n">
        <v>59.95</v>
      </c>
      <c r="G204" s="6" t="n">
        <v>119.95</v>
      </c>
      <c r="H204" s="12" t="n">
        <f aca="false">1-F204/G204</f>
        <v>0.500208420175073</v>
      </c>
      <c r="I204" s="13" t="n">
        <v>69.95</v>
      </c>
      <c r="J204" s="6" t="n">
        <f aca="false">ROUNDUP(I204/(1-H204),0)-0.05</f>
        <v>139.95</v>
      </c>
      <c r="K204" s="6" t="n">
        <f aca="false">I204-F204</f>
        <v>10</v>
      </c>
      <c r="L204" s="5" t="s">
        <v>21</v>
      </c>
      <c r="M204" s="5" t="n">
        <v>14</v>
      </c>
      <c r="N204" s="6" t="n">
        <v>79.95</v>
      </c>
      <c r="O204" s="6" t="n">
        <v>84.95</v>
      </c>
      <c r="P204" s="6" t="n">
        <f aca="false">O204-I204</f>
        <v>15</v>
      </c>
    </row>
    <row r="205" customFormat="false" ht="15" hidden="false" customHeight="false" outlineLevel="0" collapsed="false">
      <c r="A205" s="5" t="s">
        <v>545</v>
      </c>
      <c r="B205" s="5" t="s">
        <v>546</v>
      </c>
      <c r="C205" s="5" t="s">
        <v>20</v>
      </c>
      <c r="D205" s="5" t="s">
        <v>547</v>
      </c>
      <c r="E205" s="5" t="n">
        <v>15</v>
      </c>
      <c r="F205" s="6" t="n">
        <v>59.95</v>
      </c>
      <c r="G205" s="6" t="n">
        <v>99.95</v>
      </c>
      <c r="H205" s="12" t="n">
        <f aca="false">1-F205/G205</f>
        <v>0.400200100050025</v>
      </c>
      <c r="I205" s="13" t="n">
        <v>69.95</v>
      </c>
      <c r="J205" s="6" t="n">
        <f aca="false">ROUNDUP(I205/(1-H205),0)-0.05</f>
        <v>116.95</v>
      </c>
      <c r="K205" s="6" t="n">
        <f aca="false">I205-F205</f>
        <v>10</v>
      </c>
      <c r="L205" s="5" t="s">
        <v>21</v>
      </c>
      <c r="M205" s="5" t="n">
        <v>14</v>
      </c>
      <c r="N205" s="6" t="n">
        <v>79.95</v>
      </c>
      <c r="O205" s="6" t="n">
        <v>84.95</v>
      </c>
      <c r="P205" s="6" t="n">
        <f aca="false">O205-I205</f>
        <v>15</v>
      </c>
    </row>
    <row r="206" customFormat="false" ht="15" hidden="false" customHeight="false" outlineLevel="0" collapsed="false">
      <c r="A206" s="5" t="s">
        <v>548</v>
      </c>
      <c r="B206" s="5" t="s">
        <v>549</v>
      </c>
      <c r="C206" s="5" t="s">
        <v>20</v>
      </c>
      <c r="D206" s="5" t="s">
        <v>84</v>
      </c>
      <c r="E206" s="5" t="n">
        <v>28</v>
      </c>
      <c r="F206" s="6" t="n">
        <v>59.95</v>
      </c>
      <c r="G206" s="6" t="n">
        <v>119.95</v>
      </c>
      <c r="H206" s="12" t="n">
        <f aca="false">1-F206/G206</f>
        <v>0.500208420175073</v>
      </c>
      <c r="I206" s="13" t="n">
        <v>69.95</v>
      </c>
      <c r="J206" s="6" t="n">
        <f aca="false">ROUNDUP(I206/(1-H206),0)-0.05</f>
        <v>139.95</v>
      </c>
      <c r="K206" s="6" t="n">
        <f aca="false">I206-F206</f>
        <v>10</v>
      </c>
      <c r="L206" s="5" t="s">
        <v>21</v>
      </c>
      <c r="M206" s="5" t="n">
        <v>14</v>
      </c>
      <c r="N206" s="6" t="n">
        <v>79.95</v>
      </c>
      <c r="O206" s="6" t="n">
        <v>84.95</v>
      </c>
      <c r="P206" s="6" t="n">
        <f aca="false">O206-I206</f>
        <v>15</v>
      </c>
    </row>
    <row r="207" customFormat="false" ht="15" hidden="false" customHeight="false" outlineLevel="0" collapsed="false">
      <c r="A207" s="5" t="s">
        <v>550</v>
      </c>
      <c r="B207" s="5" t="s">
        <v>551</v>
      </c>
      <c r="C207" s="5" t="s">
        <v>20</v>
      </c>
      <c r="D207" s="5" t="s">
        <v>84</v>
      </c>
      <c r="E207" s="5" t="n">
        <v>21</v>
      </c>
      <c r="F207" s="6" t="n">
        <v>59.95</v>
      </c>
      <c r="G207" s="6" t="n">
        <v>99.95</v>
      </c>
      <c r="H207" s="12" t="n">
        <f aca="false">1-F207/G207</f>
        <v>0.400200100050025</v>
      </c>
      <c r="I207" s="13" t="n">
        <v>69.95</v>
      </c>
      <c r="J207" s="6" t="n">
        <f aca="false">ROUNDUP(I207/(1-H207),0)-0.05</f>
        <v>116.95</v>
      </c>
      <c r="K207" s="6" t="n">
        <f aca="false">I207-F207</f>
        <v>10</v>
      </c>
      <c r="L207" s="5" t="s">
        <v>21</v>
      </c>
      <c r="M207" s="5" t="n">
        <v>14</v>
      </c>
      <c r="N207" s="6" t="n">
        <v>79.95</v>
      </c>
      <c r="O207" s="6" t="n">
        <v>84.95</v>
      </c>
      <c r="P207" s="6" t="n">
        <f aca="false">O207-I207</f>
        <v>15</v>
      </c>
    </row>
    <row r="208" customFormat="false" ht="15" hidden="false" customHeight="false" outlineLevel="0" collapsed="false">
      <c r="A208" s="5" t="s">
        <v>552</v>
      </c>
      <c r="B208" s="5" t="s">
        <v>553</v>
      </c>
      <c r="C208" s="5" t="s">
        <v>20</v>
      </c>
      <c r="D208" s="5" t="s">
        <v>540</v>
      </c>
      <c r="E208" s="5" t="n">
        <v>64</v>
      </c>
      <c r="F208" s="6" t="n">
        <v>59.95</v>
      </c>
      <c r="G208" s="6" t="n">
        <v>99.95</v>
      </c>
      <c r="H208" s="12" t="n">
        <f aca="false">1-F208/G208</f>
        <v>0.400200100050025</v>
      </c>
      <c r="I208" s="13" t="n">
        <v>69.95</v>
      </c>
      <c r="J208" s="6" t="n">
        <f aca="false">ROUNDUP(I208/(1-H208),0)-0.05</f>
        <v>116.95</v>
      </c>
      <c r="K208" s="6" t="n">
        <f aca="false">I208-F208</f>
        <v>10</v>
      </c>
      <c r="L208" s="5" t="s">
        <v>21</v>
      </c>
      <c r="M208" s="5" t="n">
        <v>14</v>
      </c>
      <c r="N208" s="6" t="n">
        <v>79.95</v>
      </c>
      <c r="O208" s="6" t="n">
        <v>84.95</v>
      </c>
      <c r="P208" s="6" t="n">
        <f aca="false">O208-I208</f>
        <v>15</v>
      </c>
    </row>
    <row r="209" customFormat="false" ht="15" hidden="false" customHeight="false" outlineLevel="0" collapsed="false">
      <c r="A209" s="5" t="s">
        <v>554</v>
      </c>
      <c r="B209" s="5" t="s">
        <v>555</v>
      </c>
      <c r="C209" s="5" t="s">
        <v>20</v>
      </c>
      <c r="D209" s="5" t="s">
        <v>556</v>
      </c>
      <c r="E209" s="5" t="n">
        <v>25</v>
      </c>
      <c r="F209" s="6" t="n">
        <v>59.95</v>
      </c>
      <c r="G209" s="6" t="n">
        <v>108.95</v>
      </c>
      <c r="H209" s="12" t="n">
        <f aca="false">1-F209/G209</f>
        <v>0.449747590637907</v>
      </c>
      <c r="I209" s="13" t="n">
        <v>69.95</v>
      </c>
      <c r="J209" s="6" t="n">
        <f aca="false">ROUNDUP(I209/(1-H209),0)-0.05</f>
        <v>127.95</v>
      </c>
      <c r="K209" s="6" t="n">
        <f aca="false">I209-F209</f>
        <v>10</v>
      </c>
      <c r="L209" s="5" t="s">
        <v>21</v>
      </c>
      <c r="M209" s="5" t="n">
        <v>14</v>
      </c>
      <c r="N209" s="6" t="n">
        <v>79.95</v>
      </c>
      <c r="O209" s="6" t="n">
        <v>84.95</v>
      </c>
      <c r="P209" s="6" t="n">
        <f aca="false">O209-I209</f>
        <v>15</v>
      </c>
    </row>
    <row r="210" customFormat="false" ht="15" hidden="false" customHeight="false" outlineLevel="0" collapsed="false">
      <c r="A210" s="5" t="s">
        <v>557</v>
      </c>
      <c r="B210" s="5" t="s">
        <v>558</v>
      </c>
      <c r="C210" s="5" t="s">
        <v>20</v>
      </c>
      <c r="D210" s="5" t="s">
        <v>559</v>
      </c>
      <c r="E210" s="5" t="n">
        <v>14</v>
      </c>
      <c r="F210" s="6" t="n">
        <v>59.95</v>
      </c>
      <c r="G210" s="6" t="n">
        <v>119.95</v>
      </c>
      <c r="H210" s="12" t="n">
        <f aca="false">1-F210/G210</f>
        <v>0.500208420175073</v>
      </c>
      <c r="I210" s="13" t="n">
        <v>69.95</v>
      </c>
      <c r="J210" s="6" t="n">
        <f aca="false">ROUNDUP(I210/(1-H210),0)-0.05</f>
        <v>139.95</v>
      </c>
      <c r="K210" s="6" t="n">
        <f aca="false">I210-F210</f>
        <v>10</v>
      </c>
      <c r="L210" s="5" t="s">
        <v>21</v>
      </c>
      <c r="M210" s="5" t="n">
        <v>14</v>
      </c>
      <c r="N210" s="6" t="n">
        <v>79.95</v>
      </c>
      <c r="O210" s="6" t="n">
        <v>84.95</v>
      </c>
      <c r="P210" s="6" t="n">
        <f aca="false">O210-I210</f>
        <v>15</v>
      </c>
    </row>
    <row r="211" customFormat="false" ht="15" hidden="false" customHeight="false" outlineLevel="0" collapsed="false">
      <c r="A211" s="5" t="s">
        <v>560</v>
      </c>
      <c r="B211" s="5" t="s">
        <v>561</v>
      </c>
      <c r="C211" s="5" t="s">
        <v>20</v>
      </c>
      <c r="D211" s="5" t="s">
        <v>540</v>
      </c>
      <c r="E211" s="5" t="n">
        <v>21</v>
      </c>
      <c r="F211" s="6" t="n">
        <v>59.95</v>
      </c>
      <c r="G211" s="6" t="n">
        <v>119.95</v>
      </c>
      <c r="H211" s="12" t="n">
        <f aca="false">1-F211/G211</f>
        <v>0.500208420175073</v>
      </c>
      <c r="I211" s="13" t="n">
        <v>69.95</v>
      </c>
      <c r="J211" s="6" t="n">
        <f aca="false">ROUNDUP(I211/(1-H211),0)-0.05</f>
        <v>139.95</v>
      </c>
      <c r="K211" s="6" t="n">
        <f aca="false">I211-F211</f>
        <v>10</v>
      </c>
      <c r="L211" s="5" t="s">
        <v>21</v>
      </c>
      <c r="M211" s="5" t="n">
        <v>14</v>
      </c>
      <c r="N211" s="6" t="n">
        <v>79.95</v>
      </c>
      <c r="O211" s="6" t="n">
        <v>84.95</v>
      </c>
      <c r="P211" s="6" t="n">
        <f aca="false">O211-I211</f>
        <v>15</v>
      </c>
    </row>
    <row r="212" customFormat="false" ht="15" hidden="false" customHeight="false" outlineLevel="0" collapsed="false">
      <c r="A212" s="5" t="s">
        <v>562</v>
      </c>
      <c r="B212" s="5" t="s">
        <v>563</v>
      </c>
      <c r="C212" s="5" t="s">
        <v>20</v>
      </c>
      <c r="D212" s="5" t="s">
        <v>176</v>
      </c>
      <c r="E212" s="5" t="n">
        <v>12</v>
      </c>
      <c r="F212" s="6" t="n">
        <v>59.95</v>
      </c>
      <c r="G212" s="6" t="n">
        <v>99.95</v>
      </c>
      <c r="H212" s="12" t="n">
        <f aca="false">1-F212/G212</f>
        <v>0.400200100050025</v>
      </c>
      <c r="I212" s="13" t="n">
        <v>69.95</v>
      </c>
      <c r="J212" s="6" t="n">
        <f aca="false">ROUNDUP(I212/(1-H212),0)-0.05</f>
        <v>116.95</v>
      </c>
      <c r="K212" s="6" t="n">
        <f aca="false">I212-F212</f>
        <v>10</v>
      </c>
      <c r="L212" s="5" t="s">
        <v>21</v>
      </c>
      <c r="M212" s="5" t="n">
        <v>14</v>
      </c>
      <c r="N212" s="6" t="n">
        <v>79.95</v>
      </c>
      <c r="O212" s="6" t="n">
        <v>84.95</v>
      </c>
      <c r="P212" s="6" t="n">
        <f aca="false">O212-I212</f>
        <v>15</v>
      </c>
    </row>
    <row r="213" customFormat="false" ht="15" hidden="false" customHeight="false" outlineLevel="0" collapsed="false">
      <c r="A213" s="5" t="s">
        <v>564</v>
      </c>
      <c r="B213" s="5" t="s">
        <v>565</v>
      </c>
      <c r="C213" s="5" t="s">
        <v>20</v>
      </c>
      <c r="D213" s="5" t="s">
        <v>84</v>
      </c>
      <c r="E213" s="5" t="n">
        <v>21</v>
      </c>
      <c r="F213" s="6" t="n">
        <v>59.95</v>
      </c>
      <c r="G213" s="6" t="n">
        <v>108.95</v>
      </c>
      <c r="H213" s="12" t="n">
        <f aca="false">1-F213/G213</f>
        <v>0.449747590637907</v>
      </c>
      <c r="I213" s="13" t="n">
        <v>69.95</v>
      </c>
      <c r="J213" s="6" t="n">
        <f aca="false">ROUNDUP(I213/(1-H213),0)-0.05</f>
        <v>127.95</v>
      </c>
      <c r="K213" s="6" t="n">
        <f aca="false">I213-F213</f>
        <v>10</v>
      </c>
      <c r="L213" s="5" t="s">
        <v>21</v>
      </c>
      <c r="M213" s="5" t="n">
        <v>14</v>
      </c>
      <c r="N213" s="6" t="n">
        <v>79.95</v>
      </c>
      <c r="O213" s="6" t="n">
        <v>84.95</v>
      </c>
      <c r="P213" s="6" t="n">
        <f aca="false">O213-I213</f>
        <v>15</v>
      </c>
    </row>
    <row r="214" customFormat="false" ht="15" hidden="false" customHeight="false" outlineLevel="0" collapsed="false">
      <c r="A214" s="5" t="s">
        <v>566</v>
      </c>
      <c r="B214" s="5" t="s">
        <v>567</v>
      </c>
      <c r="C214" s="5" t="s">
        <v>20</v>
      </c>
      <c r="D214" s="5" t="s">
        <v>537</v>
      </c>
      <c r="E214" s="5" t="n">
        <v>9</v>
      </c>
      <c r="F214" s="6" t="n">
        <v>59.95</v>
      </c>
      <c r="G214" s="6" t="n">
        <v>109.95</v>
      </c>
      <c r="H214" s="12" t="n">
        <f aca="false">1-F214/G214</f>
        <v>0.45475216007276</v>
      </c>
      <c r="I214" s="13" t="n">
        <v>69.95</v>
      </c>
      <c r="J214" s="6" t="n">
        <f aca="false">ROUNDUP(I214/(1-H214),0)-0.05</f>
        <v>128.95</v>
      </c>
      <c r="K214" s="6" t="n">
        <f aca="false">I214-F214</f>
        <v>10</v>
      </c>
      <c r="L214" s="5" t="s">
        <v>21</v>
      </c>
      <c r="M214" s="5" t="n">
        <v>14</v>
      </c>
      <c r="N214" s="6" t="n">
        <v>79.95</v>
      </c>
      <c r="O214" s="6" t="n">
        <v>84.95</v>
      </c>
      <c r="P214" s="6" t="n">
        <f aca="false">O214-I214</f>
        <v>15</v>
      </c>
    </row>
    <row r="215" customFormat="false" ht="15" hidden="false" customHeight="false" outlineLevel="0" collapsed="false">
      <c r="A215" s="5" t="s">
        <v>568</v>
      </c>
      <c r="B215" s="5" t="s">
        <v>569</v>
      </c>
      <c r="C215" s="5" t="s">
        <v>20</v>
      </c>
      <c r="D215" s="5" t="s">
        <v>540</v>
      </c>
      <c r="E215" s="5" t="n">
        <v>42</v>
      </c>
      <c r="F215" s="6" t="n">
        <v>59.95</v>
      </c>
      <c r="G215" s="6" t="n">
        <v>119.95</v>
      </c>
      <c r="H215" s="12" t="n">
        <f aca="false">1-F215/G215</f>
        <v>0.500208420175073</v>
      </c>
      <c r="I215" s="13" t="n">
        <v>69.95</v>
      </c>
      <c r="J215" s="6" t="n">
        <f aca="false">ROUNDUP(I215/(1-H215),0)-0.05</f>
        <v>139.95</v>
      </c>
      <c r="K215" s="6" t="n">
        <f aca="false">I215-F215</f>
        <v>10</v>
      </c>
      <c r="L215" s="5" t="s">
        <v>21</v>
      </c>
      <c r="M215" s="5" t="n">
        <v>14</v>
      </c>
      <c r="N215" s="6" t="n">
        <v>79.95</v>
      </c>
      <c r="O215" s="6" t="n">
        <v>84.95</v>
      </c>
      <c r="P215" s="6" t="n">
        <f aca="false">O215-I215</f>
        <v>15</v>
      </c>
    </row>
    <row r="216" customFormat="false" ht="15" hidden="false" customHeight="false" outlineLevel="0" collapsed="false">
      <c r="A216" s="5" t="s">
        <v>570</v>
      </c>
      <c r="B216" s="5" t="s">
        <v>571</v>
      </c>
      <c r="C216" s="5" t="s">
        <v>20</v>
      </c>
      <c r="D216" s="5" t="s">
        <v>84</v>
      </c>
      <c r="E216" s="5" t="n">
        <v>28</v>
      </c>
      <c r="F216" s="6" t="n">
        <v>59.95</v>
      </c>
      <c r="G216" s="6" t="n">
        <v>108.95</v>
      </c>
      <c r="H216" s="12" t="n">
        <f aca="false">1-F216/G216</f>
        <v>0.449747590637907</v>
      </c>
      <c r="I216" s="13" t="n">
        <v>69.95</v>
      </c>
      <c r="J216" s="6" t="n">
        <f aca="false">ROUNDUP(I216/(1-H216),0)-0.05</f>
        <v>127.95</v>
      </c>
      <c r="K216" s="6" t="n">
        <f aca="false">I216-F216</f>
        <v>10</v>
      </c>
      <c r="L216" s="5" t="s">
        <v>21</v>
      </c>
      <c r="M216" s="5" t="n">
        <v>14</v>
      </c>
      <c r="N216" s="6" t="n">
        <v>79.95</v>
      </c>
      <c r="O216" s="6" t="n">
        <v>84.95</v>
      </c>
      <c r="P216" s="6" t="n">
        <f aca="false">O216-I216</f>
        <v>15</v>
      </c>
    </row>
    <row r="217" customFormat="false" ht="15" hidden="false" customHeight="false" outlineLevel="0" collapsed="false">
      <c r="A217" s="5" t="s">
        <v>572</v>
      </c>
      <c r="B217" s="5" t="s">
        <v>573</v>
      </c>
      <c r="C217" s="5" t="s">
        <v>20</v>
      </c>
      <c r="D217" s="5" t="s">
        <v>540</v>
      </c>
      <c r="E217" s="5" t="n">
        <v>36</v>
      </c>
      <c r="F217" s="6" t="n">
        <v>59.95</v>
      </c>
      <c r="G217" s="6" t="n">
        <v>99.95</v>
      </c>
      <c r="H217" s="12" t="n">
        <f aca="false">1-F217/G217</f>
        <v>0.400200100050025</v>
      </c>
      <c r="I217" s="13" t="n">
        <v>69.95</v>
      </c>
      <c r="J217" s="6" t="n">
        <f aca="false">ROUNDUP(I217/(1-H217),0)-0.05</f>
        <v>116.95</v>
      </c>
      <c r="K217" s="6" t="n">
        <f aca="false">I217-F217</f>
        <v>10</v>
      </c>
      <c r="L217" s="5" t="s">
        <v>21</v>
      </c>
      <c r="M217" s="5" t="n">
        <v>14</v>
      </c>
      <c r="N217" s="6" t="n">
        <v>79.95</v>
      </c>
      <c r="O217" s="6" t="n">
        <v>84.95</v>
      </c>
      <c r="P217" s="6" t="n">
        <f aca="false">O217-I217</f>
        <v>15</v>
      </c>
    </row>
    <row r="218" customFormat="false" ht="15" hidden="false" customHeight="false" outlineLevel="0" collapsed="false">
      <c r="A218" s="5" t="s">
        <v>574</v>
      </c>
      <c r="B218" s="5" t="s">
        <v>575</v>
      </c>
      <c r="C218" s="5" t="s">
        <v>20</v>
      </c>
      <c r="D218" s="5" t="s">
        <v>540</v>
      </c>
      <c r="E218" s="5" t="n">
        <v>28</v>
      </c>
      <c r="F218" s="6" t="n">
        <v>59.95</v>
      </c>
      <c r="G218" s="6" t="n">
        <v>99.95</v>
      </c>
      <c r="H218" s="12" t="n">
        <f aca="false">1-F218/G218</f>
        <v>0.400200100050025</v>
      </c>
      <c r="I218" s="13" t="n">
        <v>69.95</v>
      </c>
      <c r="J218" s="6" t="n">
        <f aca="false">ROUNDUP(I218/(1-H218),0)-0.05</f>
        <v>116.95</v>
      </c>
      <c r="K218" s="6" t="n">
        <f aca="false">I218-F218</f>
        <v>10</v>
      </c>
      <c r="L218" s="5" t="s">
        <v>21</v>
      </c>
      <c r="M218" s="5" t="n">
        <v>14</v>
      </c>
      <c r="N218" s="6" t="n">
        <v>79.95</v>
      </c>
      <c r="O218" s="6" t="n">
        <v>84.95</v>
      </c>
      <c r="P218" s="6" t="n">
        <f aca="false">O218-I218</f>
        <v>15</v>
      </c>
    </row>
    <row r="219" customFormat="false" ht="15" hidden="false" customHeight="false" outlineLevel="0" collapsed="false">
      <c r="A219" s="5" t="s">
        <v>576</v>
      </c>
      <c r="B219" s="5" t="s">
        <v>577</v>
      </c>
      <c r="C219" s="5" t="s">
        <v>20</v>
      </c>
      <c r="D219" s="5" t="s">
        <v>540</v>
      </c>
      <c r="E219" s="5" t="n">
        <v>42</v>
      </c>
      <c r="F219" s="6" t="n">
        <v>59.95</v>
      </c>
      <c r="G219" s="6" t="n">
        <v>99.95</v>
      </c>
      <c r="H219" s="12" t="n">
        <f aca="false">1-F219/G219</f>
        <v>0.400200100050025</v>
      </c>
      <c r="I219" s="13" t="n">
        <v>69.95</v>
      </c>
      <c r="J219" s="6" t="n">
        <f aca="false">ROUNDUP(I219/(1-H219),0)-0.05</f>
        <v>116.95</v>
      </c>
      <c r="K219" s="6" t="n">
        <f aca="false">I219-F219</f>
        <v>10</v>
      </c>
      <c r="L219" s="5" t="s">
        <v>21</v>
      </c>
      <c r="M219" s="5" t="n">
        <v>14</v>
      </c>
      <c r="N219" s="6" t="n">
        <v>79.95</v>
      </c>
      <c r="O219" s="6" t="n">
        <v>84.95</v>
      </c>
      <c r="P219" s="6" t="n">
        <f aca="false">O219-I219</f>
        <v>15</v>
      </c>
    </row>
    <row r="220" customFormat="false" ht="15" hidden="false" customHeight="false" outlineLevel="0" collapsed="false">
      <c r="A220" s="5" t="s">
        <v>578</v>
      </c>
      <c r="B220" s="5" t="s">
        <v>579</v>
      </c>
      <c r="C220" s="5" t="s">
        <v>20</v>
      </c>
      <c r="D220" s="5" t="s">
        <v>540</v>
      </c>
      <c r="E220" s="5" t="n">
        <v>25</v>
      </c>
      <c r="F220" s="6" t="n">
        <v>59.95</v>
      </c>
      <c r="G220" s="6" t="n">
        <v>119.95</v>
      </c>
      <c r="H220" s="12" t="n">
        <f aca="false">1-F220/G220</f>
        <v>0.500208420175073</v>
      </c>
      <c r="I220" s="13" t="n">
        <v>69.95</v>
      </c>
      <c r="J220" s="6" t="n">
        <f aca="false">ROUNDUP(I220/(1-H220),0)-0.05</f>
        <v>139.95</v>
      </c>
      <c r="K220" s="6" t="n">
        <f aca="false">I220-F220</f>
        <v>10</v>
      </c>
      <c r="L220" s="5" t="s">
        <v>21</v>
      </c>
      <c r="M220" s="5" t="n">
        <v>14</v>
      </c>
      <c r="N220" s="6" t="n">
        <v>79.95</v>
      </c>
      <c r="O220" s="6" t="n">
        <v>84.95</v>
      </c>
      <c r="P220" s="6" t="n">
        <f aca="false">O220-I220</f>
        <v>15</v>
      </c>
    </row>
    <row r="221" customFormat="false" ht="15" hidden="false" customHeight="false" outlineLevel="0" collapsed="false">
      <c r="A221" s="5" t="s">
        <v>580</v>
      </c>
      <c r="B221" s="5" t="s">
        <v>581</v>
      </c>
      <c r="C221" s="5" t="s">
        <v>20</v>
      </c>
      <c r="D221" s="5" t="s">
        <v>84</v>
      </c>
      <c r="E221" s="5" t="n">
        <v>56</v>
      </c>
      <c r="F221" s="6" t="n">
        <v>59.95</v>
      </c>
      <c r="G221" s="6" t="n">
        <v>119.95</v>
      </c>
      <c r="H221" s="12" t="n">
        <f aca="false">1-F221/G221</f>
        <v>0.500208420175073</v>
      </c>
      <c r="I221" s="13" t="n">
        <v>69.95</v>
      </c>
      <c r="J221" s="6" t="n">
        <f aca="false">ROUNDUP(I221/(1-H221),0)-0.05</f>
        <v>139.95</v>
      </c>
      <c r="K221" s="6" t="n">
        <f aca="false">I221-F221</f>
        <v>10</v>
      </c>
      <c r="L221" s="5" t="s">
        <v>21</v>
      </c>
      <c r="M221" s="5" t="n">
        <v>14</v>
      </c>
      <c r="N221" s="6" t="n">
        <v>79.95</v>
      </c>
      <c r="O221" s="6" t="n">
        <v>84.95</v>
      </c>
      <c r="P221" s="6" t="n">
        <f aca="false">O221-I221</f>
        <v>15</v>
      </c>
    </row>
    <row r="222" customFormat="false" ht="15" hidden="false" customHeight="false" outlineLevel="0" collapsed="false">
      <c r="A222" s="5" t="s">
        <v>582</v>
      </c>
      <c r="B222" s="5" t="s">
        <v>583</v>
      </c>
      <c r="C222" s="5" t="s">
        <v>20</v>
      </c>
      <c r="D222" s="5" t="s">
        <v>584</v>
      </c>
      <c r="E222" s="5" t="n">
        <v>60</v>
      </c>
      <c r="F222" s="6" t="n">
        <v>59.95</v>
      </c>
      <c r="G222" s="6" t="n">
        <v>109.95</v>
      </c>
      <c r="H222" s="12" t="n">
        <f aca="false">1-F222/G222</f>
        <v>0.45475216007276</v>
      </c>
      <c r="I222" s="13" t="n">
        <v>69.95</v>
      </c>
      <c r="J222" s="6" t="n">
        <f aca="false">ROUNDUP(I222/(1-H222),0)-0.05</f>
        <v>128.95</v>
      </c>
      <c r="K222" s="6" t="n">
        <f aca="false">I222-F222</f>
        <v>10</v>
      </c>
      <c r="L222" s="5" t="s">
        <v>21</v>
      </c>
      <c r="M222" s="5" t="n">
        <v>14</v>
      </c>
      <c r="N222" s="6" t="n">
        <v>79.95</v>
      </c>
      <c r="O222" s="6" t="n">
        <v>84.95</v>
      </c>
      <c r="P222" s="6" t="n">
        <f aca="false">O222-I222</f>
        <v>15</v>
      </c>
    </row>
    <row r="223" customFormat="false" ht="15" hidden="false" customHeight="false" outlineLevel="0" collapsed="false">
      <c r="A223" s="5" t="s">
        <v>585</v>
      </c>
      <c r="B223" s="5" t="s">
        <v>586</v>
      </c>
      <c r="C223" s="5" t="s">
        <v>20</v>
      </c>
      <c r="D223" s="5" t="s">
        <v>587</v>
      </c>
      <c r="E223" s="5" t="n">
        <v>15</v>
      </c>
      <c r="F223" s="6" t="n">
        <v>59.95</v>
      </c>
      <c r="G223" s="6" t="n">
        <v>99.95</v>
      </c>
      <c r="H223" s="12" t="n">
        <f aca="false">1-F223/G223</f>
        <v>0.400200100050025</v>
      </c>
      <c r="I223" s="13" t="n">
        <v>69.95</v>
      </c>
      <c r="J223" s="6" t="n">
        <f aca="false">ROUNDUP(I223/(1-H223),0)-0.05</f>
        <v>116.95</v>
      </c>
      <c r="K223" s="6" t="n">
        <f aca="false">I223-F223</f>
        <v>10</v>
      </c>
      <c r="L223" s="5" t="s">
        <v>21</v>
      </c>
      <c r="M223" s="5" t="n">
        <v>14</v>
      </c>
      <c r="N223" s="6" t="n">
        <v>79.95</v>
      </c>
      <c r="O223" s="6" t="n">
        <v>84.95</v>
      </c>
      <c r="P223" s="6" t="n">
        <f aca="false">O223-I223</f>
        <v>15</v>
      </c>
    </row>
    <row r="224" customFormat="false" ht="15" hidden="false" customHeight="false" outlineLevel="0" collapsed="false">
      <c r="A224" s="5" t="s">
        <v>588</v>
      </c>
      <c r="B224" s="5" t="s">
        <v>589</v>
      </c>
      <c r="C224" s="5" t="s">
        <v>20</v>
      </c>
      <c r="D224" s="5" t="s">
        <v>590</v>
      </c>
      <c r="E224" s="5" t="n">
        <v>28</v>
      </c>
      <c r="F224" s="6" t="n">
        <v>59.95</v>
      </c>
      <c r="G224" s="6" t="n">
        <v>99.95</v>
      </c>
      <c r="H224" s="12" t="n">
        <f aca="false">1-F224/G224</f>
        <v>0.400200100050025</v>
      </c>
      <c r="I224" s="13" t="n">
        <v>69.95</v>
      </c>
      <c r="J224" s="6" t="n">
        <f aca="false">ROUNDUP(I224/(1-H224),0)-0.05</f>
        <v>116.95</v>
      </c>
      <c r="K224" s="6" t="n">
        <f aca="false">I224-F224</f>
        <v>10</v>
      </c>
      <c r="L224" s="5" t="s">
        <v>21</v>
      </c>
      <c r="M224" s="5" t="n">
        <v>14</v>
      </c>
      <c r="N224" s="6" t="n">
        <v>79.95</v>
      </c>
      <c r="O224" s="6" t="n">
        <v>84.95</v>
      </c>
      <c r="P224" s="6" t="n">
        <f aca="false">O224-I224</f>
        <v>15</v>
      </c>
    </row>
    <row r="225" customFormat="false" ht="15" hidden="false" customHeight="false" outlineLevel="0" collapsed="false">
      <c r="A225" s="5" t="s">
        <v>591</v>
      </c>
      <c r="B225" s="5" t="s">
        <v>592</v>
      </c>
      <c r="C225" s="5" t="s">
        <v>20</v>
      </c>
      <c r="D225" s="5" t="s">
        <v>593</v>
      </c>
      <c r="E225" s="5" t="n">
        <v>28</v>
      </c>
      <c r="F225" s="6" t="n">
        <v>54.95</v>
      </c>
      <c r="G225" s="6" t="n">
        <v>91.95</v>
      </c>
      <c r="H225" s="12" t="n">
        <f aca="false">1-F225/G225</f>
        <v>0.402392604676455</v>
      </c>
      <c r="I225" s="13" t="n">
        <v>69.95</v>
      </c>
      <c r="J225" s="6" t="n">
        <f aca="false">ROUNDUP(I225/(1-H225),0)-0.05</f>
        <v>117.95</v>
      </c>
      <c r="K225" s="6" t="n">
        <f aca="false">I225-F225</f>
        <v>15</v>
      </c>
      <c r="L225" s="5" t="s">
        <v>21</v>
      </c>
      <c r="M225" s="5" t="n">
        <v>14</v>
      </c>
      <c r="N225" s="6" t="n">
        <v>79.95</v>
      </c>
      <c r="O225" s="6" t="n">
        <v>84.95</v>
      </c>
      <c r="P225" s="6" t="n">
        <f aca="false">O225-I225</f>
        <v>15</v>
      </c>
    </row>
    <row r="226" customFormat="false" ht="15" hidden="false" customHeight="false" outlineLevel="0" collapsed="false">
      <c r="A226" s="5" t="s">
        <v>594</v>
      </c>
      <c r="B226" s="5" t="s">
        <v>595</v>
      </c>
      <c r="C226" s="5" t="s">
        <v>20</v>
      </c>
      <c r="D226" s="5" t="s">
        <v>596</v>
      </c>
      <c r="E226" s="5" t="n">
        <v>24</v>
      </c>
      <c r="F226" s="6" t="n">
        <v>54.95</v>
      </c>
      <c r="G226" s="6" t="n">
        <v>91.95</v>
      </c>
      <c r="H226" s="12" t="n">
        <f aca="false">1-F226/G226</f>
        <v>0.402392604676455</v>
      </c>
      <c r="I226" s="13" t="n">
        <v>69.95</v>
      </c>
      <c r="J226" s="6" t="n">
        <f aca="false">ROUNDUP(I226/(1-H226),0)-0.05</f>
        <v>117.95</v>
      </c>
      <c r="K226" s="6" t="n">
        <f aca="false">I226-F226</f>
        <v>15</v>
      </c>
      <c r="L226" s="5" t="s">
        <v>21</v>
      </c>
      <c r="M226" s="5" t="n">
        <v>14</v>
      </c>
      <c r="N226" s="6" t="n">
        <v>79.95</v>
      </c>
      <c r="O226" s="6" t="n">
        <v>84.95</v>
      </c>
      <c r="P226" s="6" t="n">
        <f aca="false">O226-I226</f>
        <v>15</v>
      </c>
    </row>
    <row r="227" customFormat="false" ht="15" hidden="false" customHeight="false" outlineLevel="0" collapsed="false">
      <c r="A227" s="5" t="s">
        <v>597</v>
      </c>
      <c r="B227" s="5" t="s">
        <v>598</v>
      </c>
      <c r="C227" s="5" t="s">
        <v>20</v>
      </c>
      <c r="D227" s="5" t="s">
        <v>599</v>
      </c>
      <c r="E227" s="5" t="n">
        <v>24</v>
      </c>
      <c r="F227" s="6" t="n">
        <v>54.95</v>
      </c>
      <c r="G227" s="6" t="n">
        <v>109.95</v>
      </c>
      <c r="H227" s="12" t="n">
        <f aca="false">1-F227/G227</f>
        <v>0.500227376080036</v>
      </c>
      <c r="I227" s="13" t="n">
        <v>69.95</v>
      </c>
      <c r="J227" s="6" t="n">
        <f aca="false">ROUNDUP(I227/(1-H227),0)-0.05</f>
        <v>139.95</v>
      </c>
      <c r="K227" s="6" t="n">
        <f aca="false">I227-F227</f>
        <v>15</v>
      </c>
      <c r="L227" s="5" t="s">
        <v>21</v>
      </c>
      <c r="M227" s="5" t="n">
        <v>14</v>
      </c>
      <c r="N227" s="6" t="n">
        <v>79.95</v>
      </c>
      <c r="O227" s="6" t="n">
        <v>84.95</v>
      </c>
      <c r="P227" s="6" t="n">
        <f aca="false">O227-I227</f>
        <v>15</v>
      </c>
    </row>
    <row r="228" customFormat="false" ht="15" hidden="false" customHeight="false" outlineLevel="0" collapsed="false">
      <c r="A228" s="5" t="s">
        <v>600</v>
      </c>
      <c r="B228" s="5" t="s">
        <v>601</v>
      </c>
      <c r="C228" s="5" t="s">
        <v>20</v>
      </c>
      <c r="D228" s="5" t="s">
        <v>602</v>
      </c>
      <c r="E228" s="5" t="n">
        <v>36</v>
      </c>
      <c r="F228" s="6" t="n">
        <v>59.95</v>
      </c>
      <c r="G228" s="6" t="n">
        <v>108.95</v>
      </c>
      <c r="H228" s="12" t="n">
        <f aca="false">1-F228/G228</f>
        <v>0.449747590637907</v>
      </c>
      <c r="I228" s="13" t="n">
        <v>69.95</v>
      </c>
      <c r="J228" s="6" t="n">
        <f aca="false">ROUNDUP(I228/(1-H228),0)-0.05</f>
        <v>127.95</v>
      </c>
      <c r="K228" s="6" t="n">
        <f aca="false">I228-F228</f>
        <v>10</v>
      </c>
      <c r="L228" s="5" t="s">
        <v>21</v>
      </c>
      <c r="M228" s="5" t="n">
        <v>14</v>
      </c>
      <c r="N228" s="6" t="n">
        <v>79.95</v>
      </c>
      <c r="O228" s="6" t="n">
        <v>84.95</v>
      </c>
      <c r="P228" s="6" t="n">
        <f aca="false">O228-I228</f>
        <v>15</v>
      </c>
    </row>
    <row r="229" customFormat="false" ht="15" hidden="false" customHeight="false" outlineLevel="0" collapsed="false">
      <c r="A229" s="5" t="s">
        <v>603</v>
      </c>
      <c r="B229" s="5" t="s">
        <v>604</v>
      </c>
      <c r="C229" s="5" t="s">
        <v>20</v>
      </c>
      <c r="D229" s="5" t="s">
        <v>602</v>
      </c>
      <c r="E229" s="5" t="n">
        <v>15</v>
      </c>
      <c r="F229" s="6" t="n">
        <v>59.95</v>
      </c>
      <c r="G229" s="6" t="n">
        <v>108.95</v>
      </c>
      <c r="H229" s="12" t="n">
        <f aca="false">1-F229/G229</f>
        <v>0.449747590637907</v>
      </c>
      <c r="I229" s="13" t="n">
        <v>69.95</v>
      </c>
      <c r="J229" s="6" t="n">
        <f aca="false">ROUNDUP(I229/(1-H229),0)-0.05</f>
        <v>127.95</v>
      </c>
      <c r="K229" s="6" t="n">
        <f aca="false">I229-F229</f>
        <v>10</v>
      </c>
      <c r="L229" s="5" t="s">
        <v>21</v>
      </c>
      <c r="M229" s="5" t="n">
        <v>14</v>
      </c>
      <c r="N229" s="6" t="n">
        <v>79.95</v>
      </c>
      <c r="O229" s="6" t="n">
        <v>84.95</v>
      </c>
      <c r="P229" s="6" t="n">
        <f aca="false">O229-I229</f>
        <v>15</v>
      </c>
    </row>
    <row r="230" customFormat="false" ht="15" hidden="false" customHeight="false" outlineLevel="0" collapsed="false">
      <c r="A230" s="5" t="s">
        <v>605</v>
      </c>
      <c r="B230" s="5" t="s">
        <v>606</v>
      </c>
      <c r="C230" s="5" t="s">
        <v>20</v>
      </c>
      <c r="D230" s="5" t="s">
        <v>540</v>
      </c>
      <c r="E230" s="5" t="n">
        <v>63</v>
      </c>
      <c r="F230" s="6" t="n">
        <v>59.95</v>
      </c>
      <c r="G230" s="6" t="n">
        <v>99.95</v>
      </c>
      <c r="H230" s="12" t="n">
        <f aca="false">1-F230/G230</f>
        <v>0.400200100050025</v>
      </c>
      <c r="I230" s="13" t="n">
        <v>69.95</v>
      </c>
      <c r="J230" s="6" t="n">
        <f aca="false">ROUNDUP(I230/(1-H230),0)-0.05</f>
        <v>116.95</v>
      </c>
      <c r="K230" s="6" t="n">
        <f aca="false">I230-F230</f>
        <v>10</v>
      </c>
      <c r="L230" s="5" t="s">
        <v>21</v>
      </c>
      <c r="M230" s="5" t="n">
        <v>14</v>
      </c>
      <c r="N230" s="6" t="n">
        <v>79.95</v>
      </c>
      <c r="O230" s="6" t="n">
        <v>84.95</v>
      </c>
      <c r="P230" s="6" t="n">
        <f aca="false">O230-I230</f>
        <v>15</v>
      </c>
    </row>
    <row r="231" customFormat="false" ht="15" hidden="false" customHeight="false" outlineLevel="0" collapsed="false">
      <c r="A231" s="5" t="s">
        <v>607</v>
      </c>
      <c r="B231" s="5" t="s">
        <v>608</v>
      </c>
      <c r="C231" s="5" t="s">
        <v>20</v>
      </c>
      <c r="D231" s="5" t="s">
        <v>609</v>
      </c>
      <c r="E231" s="5" t="n">
        <v>48</v>
      </c>
      <c r="F231" s="6" t="n">
        <v>59.95</v>
      </c>
      <c r="G231" s="6" t="n">
        <v>119.95</v>
      </c>
      <c r="H231" s="12" t="n">
        <f aca="false">1-F231/G231</f>
        <v>0.500208420175073</v>
      </c>
      <c r="I231" s="13" t="n">
        <v>69.95</v>
      </c>
      <c r="J231" s="6" t="n">
        <f aca="false">ROUNDUP(I231/(1-H231),0)-0.05</f>
        <v>139.95</v>
      </c>
      <c r="K231" s="6" t="n">
        <f aca="false">I231-F231</f>
        <v>10</v>
      </c>
      <c r="L231" s="5" t="s">
        <v>21</v>
      </c>
      <c r="M231" s="5" t="n">
        <v>14</v>
      </c>
      <c r="N231" s="6" t="n">
        <v>79.95</v>
      </c>
      <c r="O231" s="6" t="n">
        <v>84.95</v>
      </c>
      <c r="P231" s="6" t="n">
        <f aca="false">O231-I231</f>
        <v>15</v>
      </c>
    </row>
    <row r="232" customFormat="false" ht="15" hidden="false" customHeight="false" outlineLevel="0" collapsed="false">
      <c r="A232" s="5" t="s">
        <v>610</v>
      </c>
      <c r="B232" s="5" t="s">
        <v>611</v>
      </c>
      <c r="C232" s="5" t="s">
        <v>20</v>
      </c>
      <c r="D232" s="5" t="s">
        <v>84</v>
      </c>
      <c r="E232" s="5" t="n">
        <v>49</v>
      </c>
      <c r="F232" s="6" t="n">
        <v>59.95</v>
      </c>
      <c r="G232" s="6" t="n">
        <v>108.95</v>
      </c>
      <c r="H232" s="12" t="n">
        <f aca="false">1-F232/G232</f>
        <v>0.449747590637907</v>
      </c>
      <c r="I232" s="13" t="n">
        <v>69.95</v>
      </c>
      <c r="J232" s="6" t="n">
        <f aca="false">ROUNDUP(I232/(1-H232),0)-0.05</f>
        <v>127.95</v>
      </c>
      <c r="K232" s="6" t="n">
        <f aca="false">I232-F232</f>
        <v>10</v>
      </c>
      <c r="L232" s="5" t="s">
        <v>21</v>
      </c>
      <c r="M232" s="5" t="n">
        <v>14</v>
      </c>
      <c r="N232" s="6" t="n">
        <v>79.95</v>
      </c>
      <c r="O232" s="6" t="n">
        <v>84.95</v>
      </c>
      <c r="P232" s="6" t="n">
        <f aca="false">O232-I232</f>
        <v>15</v>
      </c>
    </row>
    <row r="233" customFormat="false" ht="15" hidden="false" customHeight="false" outlineLevel="0" collapsed="false">
      <c r="A233" s="5" t="s">
        <v>612</v>
      </c>
      <c r="B233" s="5" t="s">
        <v>613</v>
      </c>
      <c r="C233" s="5" t="s">
        <v>20</v>
      </c>
      <c r="D233" s="5" t="s">
        <v>84</v>
      </c>
      <c r="E233" s="5" t="n">
        <v>56</v>
      </c>
      <c r="F233" s="6" t="n">
        <v>59.95</v>
      </c>
      <c r="G233" s="6" t="n">
        <v>108.95</v>
      </c>
      <c r="H233" s="12" t="n">
        <f aca="false">1-F233/G233</f>
        <v>0.449747590637907</v>
      </c>
      <c r="I233" s="13" t="n">
        <v>69.95</v>
      </c>
      <c r="J233" s="6" t="n">
        <f aca="false">ROUNDUP(I233/(1-H233),0)-0.05</f>
        <v>127.95</v>
      </c>
      <c r="K233" s="6" t="n">
        <f aca="false">I233-F233</f>
        <v>10</v>
      </c>
      <c r="L233" s="5" t="s">
        <v>21</v>
      </c>
      <c r="M233" s="5" t="n">
        <v>14</v>
      </c>
      <c r="N233" s="6" t="n">
        <v>79.95</v>
      </c>
      <c r="O233" s="6" t="n">
        <v>84.95</v>
      </c>
      <c r="P233" s="6" t="n">
        <f aca="false">O233-I233</f>
        <v>15</v>
      </c>
    </row>
    <row r="234" customFormat="false" ht="15" hidden="false" customHeight="false" outlineLevel="0" collapsed="false">
      <c r="A234" s="5" t="s">
        <v>614</v>
      </c>
      <c r="B234" s="5" t="s">
        <v>615</v>
      </c>
      <c r="C234" s="5" t="s">
        <v>20</v>
      </c>
      <c r="D234" s="5" t="s">
        <v>84</v>
      </c>
      <c r="E234" s="5" t="n">
        <v>63</v>
      </c>
      <c r="F234" s="6" t="n">
        <v>59.95</v>
      </c>
      <c r="G234" s="6" t="n">
        <v>99.95</v>
      </c>
      <c r="H234" s="12" t="n">
        <f aca="false">1-F234/G234</f>
        <v>0.400200100050025</v>
      </c>
      <c r="I234" s="13" t="n">
        <v>69.95</v>
      </c>
      <c r="J234" s="6" t="n">
        <f aca="false">ROUNDUP(I234/(1-H234),0)-0.05</f>
        <v>116.95</v>
      </c>
      <c r="K234" s="6" t="n">
        <f aca="false">I234-F234</f>
        <v>10</v>
      </c>
      <c r="L234" s="5" t="s">
        <v>21</v>
      </c>
      <c r="M234" s="5" t="n">
        <v>14</v>
      </c>
      <c r="N234" s="6" t="n">
        <v>79.95</v>
      </c>
      <c r="O234" s="6" t="n">
        <v>84.95</v>
      </c>
      <c r="P234" s="6" t="n">
        <f aca="false">O234-I234</f>
        <v>15</v>
      </c>
    </row>
    <row r="235" customFormat="false" ht="15" hidden="false" customHeight="false" outlineLevel="0" collapsed="false">
      <c r="A235" s="5" t="s">
        <v>616</v>
      </c>
      <c r="B235" s="5" t="s">
        <v>617</v>
      </c>
      <c r="C235" s="5" t="s">
        <v>20</v>
      </c>
      <c r="D235" s="5" t="s">
        <v>540</v>
      </c>
      <c r="E235" s="5" t="n">
        <v>63</v>
      </c>
      <c r="F235" s="6" t="n">
        <v>59.95</v>
      </c>
      <c r="G235" s="6" t="n">
        <v>99.95</v>
      </c>
      <c r="H235" s="12" t="n">
        <f aca="false">1-F235/G235</f>
        <v>0.400200100050025</v>
      </c>
      <c r="I235" s="13" t="n">
        <v>69.95</v>
      </c>
      <c r="J235" s="6" t="n">
        <f aca="false">ROUNDUP(I235/(1-H235),0)-0.05</f>
        <v>116.95</v>
      </c>
      <c r="K235" s="6" t="n">
        <f aca="false">I235-F235</f>
        <v>10</v>
      </c>
      <c r="L235" s="5" t="s">
        <v>21</v>
      </c>
      <c r="M235" s="5" t="n">
        <v>14</v>
      </c>
      <c r="N235" s="6" t="n">
        <v>79.95</v>
      </c>
      <c r="O235" s="6" t="n">
        <v>84.95</v>
      </c>
      <c r="P235" s="6" t="n">
        <f aca="false">O235-I235</f>
        <v>15</v>
      </c>
    </row>
    <row r="236" customFormat="false" ht="15" hidden="false" customHeight="false" outlineLevel="0" collapsed="false">
      <c r="A236" s="5" t="s">
        <v>618</v>
      </c>
      <c r="B236" s="5" t="s">
        <v>619</v>
      </c>
      <c r="C236" s="5" t="s">
        <v>20</v>
      </c>
      <c r="D236" s="5" t="s">
        <v>620</v>
      </c>
      <c r="E236" s="5" t="n">
        <v>84</v>
      </c>
      <c r="F236" s="6" t="n">
        <v>59.95</v>
      </c>
      <c r="G236" s="6" t="n">
        <v>119.95</v>
      </c>
      <c r="H236" s="12" t="n">
        <f aca="false">1-F236/G236</f>
        <v>0.500208420175073</v>
      </c>
      <c r="I236" s="13" t="n">
        <v>69.95</v>
      </c>
      <c r="J236" s="6" t="n">
        <f aca="false">ROUNDUP(I236/(1-H236),0)-0.05</f>
        <v>139.95</v>
      </c>
      <c r="K236" s="6" t="n">
        <f aca="false">I236-F236</f>
        <v>10</v>
      </c>
      <c r="L236" s="5" t="s">
        <v>21</v>
      </c>
      <c r="M236" s="5" t="n">
        <v>14</v>
      </c>
      <c r="N236" s="6" t="n">
        <v>79.95</v>
      </c>
      <c r="O236" s="6" t="n">
        <v>84.95</v>
      </c>
      <c r="P236" s="6" t="n">
        <f aca="false">O236-I236</f>
        <v>15</v>
      </c>
    </row>
    <row r="237" customFormat="false" ht="15" hidden="false" customHeight="false" outlineLevel="0" collapsed="false">
      <c r="A237" s="5" t="s">
        <v>621</v>
      </c>
      <c r="B237" s="5" t="s">
        <v>622</v>
      </c>
      <c r="C237" s="5" t="s">
        <v>18</v>
      </c>
      <c r="D237" s="5" t="s">
        <v>537</v>
      </c>
      <c r="E237" s="5" t="n">
        <v>25</v>
      </c>
      <c r="F237" s="6" t="n">
        <v>59.95</v>
      </c>
      <c r="G237" s="6" t="n">
        <v>119.95</v>
      </c>
      <c r="H237" s="12" t="n">
        <f aca="false">1-F237/G237</f>
        <v>0.500208420175073</v>
      </c>
      <c r="I237" s="13" t="n">
        <v>59.95</v>
      </c>
      <c r="J237" s="6" t="n">
        <f aca="false">ROUNDUP(I237/(1-H237),0)-0.05</f>
        <v>119.95</v>
      </c>
      <c r="K237" s="6" t="n">
        <f aca="false">I237-F237</f>
        <v>0</v>
      </c>
      <c r="L237" s="5" t="s">
        <v>19</v>
      </c>
      <c r="M237" s="5" t="n">
        <v>16</v>
      </c>
      <c r="N237" s="6" t="n">
        <v>64.95</v>
      </c>
      <c r="O237" s="6" t="n">
        <v>69.95</v>
      </c>
      <c r="P237" s="6" t="n">
        <f aca="false">O237-I237</f>
        <v>10</v>
      </c>
    </row>
    <row r="238" customFormat="false" ht="15" hidden="false" customHeight="false" outlineLevel="0" collapsed="false">
      <c r="A238" s="5" t="s">
        <v>623</v>
      </c>
      <c r="B238" s="5" t="s">
        <v>624</v>
      </c>
      <c r="C238" s="5" t="s">
        <v>18</v>
      </c>
      <c r="D238" s="5" t="s">
        <v>625</v>
      </c>
      <c r="E238" s="5" t="n">
        <v>42</v>
      </c>
      <c r="F238" s="6" t="n">
        <v>59.95</v>
      </c>
      <c r="G238" s="6" t="n">
        <v>99.95</v>
      </c>
      <c r="H238" s="12" t="n">
        <f aca="false">1-F238/G238</f>
        <v>0.400200100050025</v>
      </c>
      <c r="I238" s="13" t="n">
        <v>59.95</v>
      </c>
      <c r="J238" s="6" t="n">
        <f aca="false">ROUNDUP(I238/(1-H238),0)-0.05</f>
        <v>99.95</v>
      </c>
      <c r="K238" s="6" t="n">
        <f aca="false">I238-F238</f>
        <v>0</v>
      </c>
      <c r="L238" s="5" t="s">
        <v>19</v>
      </c>
      <c r="M238" s="5" t="n">
        <v>16</v>
      </c>
      <c r="N238" s="6" t="n">
        <v>64.95</v>
      </c>
      <c r="O238" s="6" t="n">
        <v>69.95</v>
      </c>
      <c r="P238" s="6" t="n">
        <f aca="false">O238-I238</f>
        <v>10</v>
      </c>
    </row>
    <row r="239" customFormat="false" ht="15" hidden="false" customHeight="false" outlineLevel="0" collapsed="false">
      <c r="A239" s="5" t="s">
        <v>626</v>
      </c>
      <c r="B239" s="5" t="s">
        <v>627</v>
      </c>
      <c r="C239" s="5" t="s">
        <v>18</v>
      </c>
      <c r="D239" s="5" t="s">
        <v>628</v>
      </c>
      <c r="E239" s="5" t="n">
        <v>35</v>
      </c>
      <c r="F239" s="6" t="n">
        <v>59.95</v>
      </c>
      <c r="G239" s="6" t="n">
        <v>99.95</v>
      </c>
      <c r="H239" s="12" t="n">
        <f aca="false">1-F239/G239</f>
        <v>0.400200100050025</v>
      </c>
      <c r="I239" s="13" t="n">
        <v>59.95</v>
      </c>
      <c r="J239" s="6" t="n">
        <f aca="false">ROUNDUP(I239/(1-H239),0)-0.05</f>
        <v>99.95</v>
      </c>
      <c r="K239" s="6" t="n">
        <f aca="false">I239-F239</f>
        <v>0</v>
      </c>
      <c r="L239" s="5" t="s">
        <v>19</v>
      </c>
      <c r="M239" s="5" t="n">
        <v>16</v>
      </c>
      <c r="N239" s="6" t="n">
        <v>64.95</v>
      </c>
      <c r="O239" s="6" t="n">
        <v>69.95</v>
      </c>
      <c r="P239" s="6" t="n">
        <f aca="false">O239-I239</f>
        <v>10</v>
      </c>
    </row>
    <row r="240" customFormat="false" ht="15" hidden="false" customHeight="false" outlineLevel="0" collapsed="false">
      <c r="A240" s="5" t="s">
        <v>629</v>
      </c>
      <c r="B240" s="5" t="s">
        <v>630</v>
      </c>
      <c r="C240" s="5" t="s">
        <v>18</v>
      </c>
      <c r="D240" s="5" t="s">
        <v>537</v>
      </c>
      <c r="E240" s="5" t="n">
        <v>32</v>
      </c>
      <c r="F240" s="6" t="n">
        <v>59.95</v>
      </c>
      <c r="G240" s="6" t="n">
        <v>99.95</v>
      </c>
      <c r="H240" s="12" t="n">
        <f aca="false">1-F240/G240</f>
        <v>0.400200100050025</v>
      </c>
      <c r="I240" s="13" t="n">
        <v>59.95</v>
      </c>
      <c r="J240" s="6" t="n">
        <f aca="false">ROUNDUP(I240/(1-H240),0)-0.05</f>
        <v>99.95</v>
      </c>
      <c r="K240" s="6" t="n">
        <f aca="false">I240-F240</f>
        <v>0</v>
      </c>
      <c r="L240" s="5" t="s">
        <v>19</v>
      </c>
      <c r="M240" s="5" t="n">
        <v>16</v>
      </c>
      <c r="N240" s="6" t="n">
        <v>64.95</v>
      </c>
      <c r="O240" s="6" t="n">
        <v>69.95</v>
      </c>
      <c r="P240" s="6" t="n">
        <f aca="false">O240-I240</f>
        <v>10</v>
      </c>
    </row>
    <row r="241" customFormat="false" ht="15" hidden="false" customHeight="false" outlineLevel="0" collapsed="false">
      <c r="A241" s="5" t="s">
        <v>631</v>
      </c>
      <c r="B241" s="5" t="s">
        <v>632</v>
      </c>
      <c r="C241" s="5" t="s">
        <v>18</v>
      </c>
      <c r="D241" s="5" t="s">
        <v>633</v>
      </c>
      <c r="E241" s="5" t="n">
        <v>35</v>
      </c>
      <c r="F241" s="6" t="n">
        <v>59.95</v>
      </c>
      <c r="G241" s="6" t="n">
        <v>99.95</v>
      </c>
      <c r="H241" s="12" t="n">
        <f aca="false">1-F241/G241</f>
        <v>0.400200100050025</v>
      </c>
      <c r="I241" s="13" t="n">
        <v>59.95</v>
      </c>
      <c r="J241" s="6" t="n">
        <f aca="false">ROUNDUP(I241/(1-H241),0)-0.05</f>
        <v>99.95</v>
      </c>
      <c r="K241" s="6" t="n">
        <f aca="false">I241-F241</f>
        <v>0</v>
      </c>
      <c r="L241" s="5" t="s">
        <v>19</v>
      </c>
      <c r="M241" s="5" t="n">
        <v>16</v>
      </c>
      <c r="N241" s="6" t="n">
        <v>64.95</v>
      </c>
      <c r="O241" s="6" t="n">
        <v>69.95</v>
      </c>
      <c r="P241" s="6" t="n">
        <f aca="false">O241-I241</f>
        <v>10</v>
      </c>
    </row>
    <row r="242" customFormat="false" ht="15" hidden="false" customHeight="false" outlineLevel="0" collapsed="false">
      <c r="A242" s="5" t="s">
        <v>634</v>
      </c>
      <c r="B242" s="5" t="s">
        <v>635</v>
      </c>
      <c r="C242" s="5" t="s">
        <v>18</v>
      </c>
      <c r="D242" s="5" t="s">
        <v>602</v>
      </c>
      <c r="E242" s="5" t="n">
        <v>25</v>
      </c>
      <c r="F242" s="6" t="n">
        <v>59.95</v>
      </c>
      <c r="G242" s="6" t="n">
        <v>99.95</v>
      </c>
      <c r="H242" s="12" t="n">
        <f aca="false">1-F242/G242</f>
        <v>0.400200100050025</v>
      </c>
      <c r="I242" s="13" t="n">
        <v>59.95</v>
      </c>
      <c r="J242" s="6" t="n">
        <f aca="false">ROUNDUP(I242/(1-H242),0)-0.05</f>
        <v>99.95</v>
      </c>
      <c r="K242" s="6" t="n">
        <f aca="false">I242-F242</f>
        <v>0</v>
      </c>
      <c r="L242" s="5" t="s">
        <v>19</v>
      </c>
      <c r="M242" s="5" t="n">
        <v>16</v>
      </c>
      <c r="N242" s="6" t="n">
        <v>64.95</v>
      </c>
      <c r="O242" s="6" t="n">
        <v>69.95</v>
      </c>
      <c r="P242" s="6" t="n">
        <f aca="false">O242-I242</f>
        <v>10</v>
      </c>
    </row>
    <row r="243" customFormat="false" ht="15" hidden="false" customHeight="false" outlineLevel="0" collapsed="false">
      <c r="A243" s="5" t="s">
        <v>636</v>
      </c>
      <c r="B243" s="5" t="s">
        <v>637</v>
      </c>
      <c r="C243" s="5" t="s">
        <v>18</v>
      </c>
      <c r="D243" s="5" t="s">
        <v>638</v>
      </c>
      <c r="E243" s="5" t="n">
        <v>70</v>
      </c>
      <c r="F243" s="6" t="n">
        <v>59.95</v>
      </c>
      <c r="G243" s="6" t="n">
        <v>109.95</v>
      </c>
      <c r="H243" s="12" t="n">
        <f aca="false">1-F243/G243</f>
        <v>0.45475216007276</v>
      </c>
      <c r="I243" s="13" t="n">
        <v>59.95</v>
      </c>
      <c r="J243" s="6" t="n">
        <f aca="false">ROUNDUP(I243/(1-H243),0)-0.05</f>
        <v>109.95</v>
      </c>
      <c r="K243" s="6" t="n">
        <f aca="false">I243-F243</f>
        <v>0</v>
      </c>
      <c r="L243" s="5" t="s">
        <v>19</v>
      </c>
      <c r="M243" s="5" t="n">
        <v>16</v>
      </c>
      <c r="N243" s="6" t="n">
        <v>64.95</v>
      </c>
      <c r="O243" s="6" t="n">
        <v>69.95</v>
      </c>
      <c r="P243" s="6" t="n">
        <f aca="false">O243-I243</f>
        <v>10</v>
      </c>
    </row>
    <row r="244" customFormat="false" ht="15" hidden="false" customHeight="false" outlineLevel="0" collapsed="false">
      <c r="A244" s="5" t="s">
        <v>639</v>
      </c>
      <c r="B244" s="5" t="s">
        <v>640</v>
      </c>
      <c r="C244" s="5" t="s">
        <v>18</v>
      </c>
      <c r="D244" s="5" t="s">
        <v>633</v>
      </c>
      <c r="E244" s="5" t="n">
        <v>60</v>
      </c>
      <c r="F244" s="6" t="n">
        <v>59.95</v>
      </c>
      <c r="G244" s="6" t="n">
        <v>99.95</v>
      </c>
      <c r="H244" s="12" t="n">
        <f aca="false">1-F244/G244</f>
        <v>0.400200100050025</v>
      </c>
      <c r="I244" s="13" t="n">
        <v>59.95</v>
      </c>
      <c r="J244" s="6" t="n">
        <f aca="false">ROUNDUP(I244/(1-H244),0)-0.05</f>
        <v>99.95</v>
      </c>
      <c r="K244" s="6" t="n">
        <f aca="false">I244-F244</f>
        <v>0</v>
      </c>
      <c r="L244" s="5" t="s">
        <v>19</v>
      </c>
      <c r="M244" s="5" t="n">
        <v>16</v>
      </c>
      <c r="N244" s="6" t="n">
        <v>64.95</v>
      </c>
      <c r="O244" s="6" t="n">
        <v>69.95</v>
      </c>
      <c r="P244" s="6" t="n">
        <f aca="false">O244-I244</f>
        <v>10</v>
      </c>
    </row>
    <row r="245" customFormat="false" ht="15" hidden="false" customHeight="false" outlineLevel="0" collapsed="false">
      <c r="A245" s="5" t="s">
        <v>641</v>
      </c>
      <c r="B245" s="5" t="s">
        <v>642</v>
      </c>
      <c r="C245" s="5" t="s">
        <v>18</v>
      </c>
      <c r="D245" s="5" t="s">
        <v>643</v>
      </c>
      <c r="E245" s="5" t="n">
        <v>60</v>
      </c>
      <c r="F245" s="6" t="n">
        <v>59.95</v>
      </c>
      <c r="G245" s="6" t="n">
        <v>108.95</v>
      </c>
      <c r="H245" s="12" t="n">
        <f aca="false">1-F245/G245</f>
        <v>0.449747590637907</v>
      </c>
      <c r="I245" s="13" t="n">
        <v>59.95</v>
      </c>
      <c r="J245" s="6" t="n">
        <f aca="false">ROUNDUP(I245/(1-H245),0)-0.05</f>
        <v>108.95</v>
      </c>
      <c r="K245" s="6" t="n">
        <f aca="false">I245-F245</f>
        <v>0</v>
      </c>
      <c r="L245" s="5" t="s">
        <v>19</v>
      </c>
      <c r="M245" s="5" t="n">
        <v>16</v>
      </c>
      <c r="N245" s="6" t="n">
        <v>64.95</v>
      </c>
      <c r="O245" s="6" t="n">
        <v>69.95</v>
      </c>
      <c r="P245" s="6" t="n">
        <f aca="false">O245-I245</f>
        <v>10</v>
      </c>
    </row>
    <row r="246" customFormat="false" ht="15" hidden="false" customHeight="false" outlineLevel="0" collapsed="false">
      <c r="A246" s="5" t="s">
        <v>644</v>
      </c>
      <c r="B246" s="5" t="s">
        <v>645</v>
      </c>
      <c r="C246" s="5" t="s">
        <v>18</v>
      </c>
      <c r="D246" s="5" t="s">
        <v>584</v>
      </c>
      <c r="E246" s="5" t="n">
        <v>10</v>
      </c>
      <c r="F246" s="6" t="n">
        <v>54.95</v>
      </c>
      <c r="G246" s="6" t="n">
        <v>99.95</v>
      </c>
      <c r="H246" s="12" t="n">
        <f aca="false">1-F246/G246</f>
        <v>0.450225112556278</v>
      </c>
      <c r="I246" s="13" t="n">
        <v>59.95</v>
      </c>
      <c r="J246" s="6" t="n">
        <f aca="false">ROUNDUP(I246/(1-H246),0)-0.05</f>
        <v>109.95</v>
      </c>
      <c r="K246" s="6" t="n">
        <f aca="false">I246-F246</f>
        <v>5</v>
      </c>
      <c r="L246" s="5" t="s">
        <v>19</v>
      </c>
      <c r="M246" s="5" t="n">
        <v>16</v>
      </c>
      <c r="N246" s="6" t="n">
        <v>64.95</v>
      </c>
      <c r="O246" s="6" t="n">
        <v>69.95</v>
      </c>
      <c r="P246" s="6" t="n">
        <f aca="false">O246-I246</f>
        <v>10</v>
      </c>
    </row>
    <row r="247" customFormat="false" ht="15" hidden="false" customHeight="false" outlineLevel="0" collapsed="false">
      <c r="A247" s="5" t="s">
        <v>646</v>
      </c>
      <c r="B247" s="5" t="s">
        <v>647</v>
      </c>
      <c r="C247" s="5" t="s">
        <v>18</v>
      </c>
      <c r="D247" s="5" t="s">
        <v>648</v>
      </c>
      <c r="E247" s="5" t="n">
        <v>12</v>
      </c>
      <c r="F247" s="6" t="n">
        <v>54.95</v>
      </c>
      <c r="G247" s="6" t="n">
        <v>109.95</v>
      </c>
      <c r="H247" s="12" t="n">
        <f aca="false">1-F247/G247</f>
        <v>0.500227376080036</v>
      </c>
      <c r="I247" s="13" t="n">
        <v>59.95</v>
      </c>
      <c r="J247" s="6" t="n">
        <f aca="false">ROUNDUP(I247/(1-H247),0)-0.05</f>
        <v>119.95</v>
      </c>
      <c r="K247" s="6" t="n">
        <f aca="false">I247-F247</f>
        <v>5</v>
      </c>
      <c r="L247" s="5" t="s">
        <v>19</v>
      </c>
      <c r="M247" s="5" t="n">
        <v>16</v>
      </c>
      <c r="N247" s="6" t="n">
        <v>64.95</v>
      </c>
      <c r="O247" s="6" t="n">
        <v>69.95</v>
      </c>
      <c r="P247" s="6" t="n">
        <f aca="false">O247-I247</f>
        <v>10</v>
      </c>
    </row>
    <row r="248" customFormat="false" ht="15" hidden="false" customHeight="false" outlineLevel="0" collapsed="false">
      <c r="A248" s="5" t="s">
        <v>649</v>
      </c>
      <c r="B248" s="5" t="s">
        <v>650</v>
      </c>
      <c r="C248" s="5" t="s">
        <v>18</v>
      </c>
      <c r="D248" s="5" t="s">
        <v>625</v>
      </c>
      <c r="E248" s="5" t="n">
        <v>18</v>
      </c>
      <c r="F248" s="6" t="n">
        <v>54.95</v>
      </c>
      <c r="G248" s="6" t="n">
        <v>91.95</v>
      </c>
      <c r="H248" s="12" t="n">
        <f aca="false">1-F248/G248</f>
        <v>0.402392604676455</v>
      </c>
      <c r="I248" s="13" t="n">
        <v>59.95</v>
      </c>
      <c r="J248" s="6" t="n">
        <f aca="false">ROUNDUP(I248/(1-H248),0)-0.05</f>
        <v>100.95</v>
      </c>
      <c r="K248" s="6" t="n">
        <f aca="false">I248-F248</f>
        <v>5</v>
      </c>
      <c r="L248" s="5" t="s">
        <v>19</v>
      </c>
      <c r="M248" s="5" t="n">
        <v>16</v>
      </c>
      <c r="N248" s="6" t="n">
        <v>64.95</v>
      </c>
      <c r="O248" s="6" t="n">
        <v>69.95</v>
      </c>
      <c r="P248" s="6" t="n">
        <f aca="false">O248-I248</f>
        <v>10</v>
      </c>
    </row>
    <row r="249" customFormat="false" ht="15" hidden="false" customHeight="false" outlineLevel="0" collapsed="false">
      <c r="A249" s="5" t="s">
        <v>651</v>
      </c>
      <c r="B249" s="5" t="s">
        <v>652</v>
      </c>
      <c r="C249" s="5" t="s">
        <v>18</v>
      </c>
      <c r="D249" s="5" t="s">
        <v>559</v>
      </c>
      <c r="E249" s="5" t="n">
        <v>54</v>
      </c>
      <c r="F249" s="6" t="n">
        <v>54.95</v>
      </c>
      <c r="G249" s="6" t="n">
        <v>99.95</v>
      </c>
      <c r="H249" s="12" t="n">
        <f aca="false">1-F249/G249</f>
        <v>0.450225112556278</v>
      </c>
      <c r="I249" s="13" t="n">
        <v>59.95</v>
      </c>
      <c r="J249" s="6" t="n">
        <f aca="false">ROUNDUP(I249/(1-H249),0)-0.05</f>
        <v>109.95</v>
      </c>
      <c r="K249" s="6" t="n">
        <f aca="false">I249-F249</f>
        <v>5</v>
      </c>
      <c r="L249" s="5" t="s">
        <v>19</v>
      </c>
      <c r="M249" s="5" t="n">
        <v>16</v>
      </c>
      <c r="N249" s="6" t="n">
        <v>64.95</v>
      </c>
      <c r="O249" s="6" t="n">
        <v>69.95</v>
      </c>
      <c r="P249" s="6" t="n">
        <f aca="false">O249-I249</f>
        <v>10</v>
      </c>
    </row>
    <row r="250" customFormat="false" ht="15" hidden="false" customHeight="false" outlineLevel="0" collapsed="false">
      <c r="A250" s="5" t="s">
        <v>653</v>
      </c>
      <c r="B250" s="5" t="s">
        <v>654</v>
      </c>
      <c r="C250" s="5" t="s">
        <v>18</v>
      </c>
      <c r="D250" s="5" t="s">
        <v>540</v>
      </c>
      <c r="E250" s="5" t="n">
        <v>8</v>
      </c>
      <c r="F250" s="6" t="n">
        <v>54.95</v>
      </c>
      <c r="G250" s="6" t="n">
        <v>109.95</v>
      </c>
      <c r="H250" s="12" t="n">
        <f aca="false">1-F250/G250</f>
        <v>0.500227376080036</v>
      </c>
      <c r="I250" s="13" t="n">
        <v>59.95</v>
      </c>
      <c r="J250" s="6" t="n">
        <f aca="false">ROUNDUP(I250/(1-H250),0)-0.05</f>
        <v>119.95</v>
      </c>
      <c r="K250" s="6" t="n">
        <f aca="false">I250-F250</f>
        <v>5</v>
      </c>
      <c r="L250" s="5" t="s">
        <v>19</v>
      </c>
      <c r="M250" s="5" t="n">
        <v>16</v>
      </c>
      <c r="N250" s="6" t="n">
        <v>64.95</v>
      </c>
      <c r="O250" s="6" t="n">
        <v>69.95</v>
      </c>
      <c r="P250" s="6" t="n">
        <f aca="false">O250-I250</f>
        <v>10</v>
      </c>
    </row>
    <row r="251" customFormat="false" ht="15" hidden="false" customHeight="false" outlineLevel="0" collapsed="false">
      <c r="A251" s="5" t="s">
        <v>655</v>
      </c>
      <c r="B251" s="5" t="s">
        <v>656</v>
      </c>
      <c r="C251" s="5" t="s">
        <v>18</v>
      </c>
      <c r="D251" s="5" t="s">
        <v>84</v>
      </c>
      <c r="E251" s="5" t="n">
        <v>35</v>
      </c>
      <c r="F251" s="6" t="n">
        <v>54.95</v>
      </c>
      <c r="G251" s="6" t="n">
        <v>99.95</v>
      </c>
      <c r="H251" s="12" t="n">
        <f aca="false">1-F251/G251</f>
        <v>0.450225112556278</v>
      </c>
      <c r="I251" s="13" t="n">
        <v>59.95</v>
      </c>
      <c r="J251" s="6" t="n">
        <f aca="false">ROUNDUP(I251/(1-H251),0)-0.05</f>
        <v>109.95</v>
      </c>
      <c r="K251" s="6" t="n">
        <f aca="false">I251-F251</f>
        <v>5</v>
      </c>
      <c r="L251" s="5" t="s">
        <v>19</v>
      </c>
      <c r="M251" s="5" t="n">
        <v>16</v>
      </c>
      <c r="N251" s="6" t="n">
        <v>64.95</v>
      </c>
      <c r="O251" s="6" t="n">
        <v>69.95</v>
      </c>
      <c r="P251" s="6" t="n">
        <f aca="false">O251-I251</f>
        <v>10</v>
      </c>
    </row>
    <row r="252" customFormat="false" ht="15" hidden="false" customHeight="false" outlineLevel="0" collapsed="false">
      <c r="A252" s="5" t="s">
        <v>657</v>
      </c>
      <c r="B252" s="5" t="s">
        <v>658</v>
      </c>
      <c r="C252" s="5" t="s">
        <v>18</v>
      </c>
      <c r="D252" s="5" t="s">
        <v>593</v>
      </c>
      <c r="E252" s="5" t="n">
        <v>60</v>
      </c>
      <c r="F252" s="6" t="n">
        <v>54.95</v>
      </c>
      <c r="G252" s="6" t="n">
        <v>99.95</v>
      </c>
      <c r="H252" s="12" t="n">
        <f aca="false">1-F252/G252</f>
        <v>0.450225112556278</v>
      </c>
      <c r="I252" s="13" t="n">
        <v>59.95</v>
      </c>
      <c r="J252" s="6" t="n">
        <f aca="false">ROUNDUP(I252/(1-H252),0)-0.05</f>
        <v>109.95</v>
      </c>
      <c r="K252" s="6" t="n">
        <f aca="false">I252-F252</f>
        <v>5</v>
      </c>
      <c r="L252" s="5" t="s">
        <v>19</v>
      </c>
      <c r="M252" s="5" t="n">
        <v>16</v>
      </c>
      <c r="N252" s="6" t="n">
        <v>64.95</v>
      </c>
      <c r="O252" s="6" t="n">
        <v>69.95</v>
      </c>
      <c r="P252" s="6" t="n">
        <f aca="false">O252-I252</f>
        <v>10</v>
      </c>
    </row>
    <row r="253" customFormat="false" ht="15" hidden="false" customHeight="false" outlineLevel="0" collapsed="false">
      <c r="A253" s="5" t="s">
        <v>659</v>
      </c>
      <c r="B253" s="5" t="s">
        <v>660</v>
      </c>
      <c r="C253" s="5" t="s">
        <v>18</v>
      </c>
      <c r="D253" s="5" t="s">
        <v>540</v>
      </c>
      <c r="E253" s="5" t="n">
        <v>49</v>
      </c>
      <c r="F253" s="6" t="n">
        <v>54.95</v>
      </c>
      <c r="G253" s="6" t="n">
        <v>99.95</v>
      </c>
      <c r="H253" s="12" t="n">
        <f aca="false">1-F253/G253</f>
        <v>0.450225112556278</v>
      </c>
      <c r="I253" s="13" t="n">
        <v>59.95</v>
      </c>
      <c r="J253" s="6" t="n">
        <f aca="false">ROUNDUP(I253/(1-H253),0)-0.05</f>
        <v>109.95</v>
      </c>
      <c r="K253" s="6" t="n">
        <f aca="false">I253-F253</f>
        <v>5</v>
      </c>
      <c r="L253" s="5" t="s">
        <v>19</v>
      </c>
      <c r="M253" s="5" t="n">
        <v>16</v>
      </c>
      <c r="N253" s="6" t="n">
        <v>64.95</v>
      </c>
      <c r="O253" s="6" t="n">
        <v>69.95</v>
      </c>
      <c r="P253" s="6" t="n">
        <f aca="false">O253-I253</f>
        <v>10</v>
      </c>
    </row>
    <row r="254" customFormat="false" ht="15" hidden="false" customHeight="false" outlineLevel="0" collapsed="false">
      <c r="A254" s="5" t="s">
        <v>661</v>
      </c>
      <c r="B254" s="5" t="s">
        <v>662</v>
      </c>
      <c r="C254" s="5" t="s">
        <v>18</v>
      </c>
      <c r="D254" s="5" t="s">
        <v>84</v>
      </c>
      <c r="E254" s="5" t="n">
        <v>63</v>
      </c>
      <c r="F254" s="6" t="n">
        <v>54.95</v>
      </c>
      <c r="G254" s="6" t="n">
        <v>99.95</v>
      </c>
      <c r="H254" s="12" t="n">
        <f aca="false">1-F254/G254</f>
        <v>0.450225112556278</v>
      </c>
      <c r="I254" s="13" t="n">
        <v>59.95</v>
      </c>
      <c r="J254" s="6" t="n">
        <f aca="false">ROUNDUP(I254/(1-H254),0)-0.05</f>
        <v>109.95</v>
      </c>
      <c r="K254" s="6" t="n">
        <f aca="false">I254-F254</f>
        <v>5</v>
      </c>
      <c r="L254" s="5" t="s">
        <v>19</v>
      </c>
      <c r="M254" s="5" t="n">
        <v>16</v>
      </c>
      <c r="N254" s="6" t="n">
        <v>64.95</v>
      </c>
      <c r="O254" s="6" t="n">
        <v>69.95</v>
      </c>
      <c r="P254" s="6" t="n">
        <f aca="false">O254-I254</f>
        <v>10</v>
      </c>
    </row>
    <row r="255" customFormat="false" ht="15" hidden="false" customHeight="false" outlineLevel="0" collapsed="false">
      <c r="A255" s="5" t="s">
        <v>663</v>
      </c>
      <c r="B255" s="5" t="s">
        <v>664</v>
      </c>
      <c r="C255" s="5" t="s">
        <v>18</v>
      </c>
      <c r="D255" s="5"/>
      <c r="E255" s="5" t="n">
        <v>49</v>
      </c>
      <c r="F255" s="6" t="n">
        <v>54.95</v>
      </c>
      <c r="G255" s="6" t="n">
        <v>91.95</v>
      </c>
      <c r="H255" s="12" t="n">
        <f aca="false">1-F255/G255</f>
        <v>0.402392604676455</v>
      </c>
      <c r="I255" s="13" t="n">
        <v>59.95</v>
      </c>
      <c r="J255" s="6" t="n">
        <f aca="false">ROUNDUP(I255/(1-H255),0)-0.05</f>
        <v>100.95</v>
      </c>
      <c r="K255" s="6" t="n">
        <f aca="false">I255-F255</f>
        <v>5</v>
      </c>
      <c r="L255" s="5" t="s">
        <v>19</v>
      </c>
      <c r="M255" s="5" t="n">
        <v>16</v>
      </c>
      <c r="N255" s="6" t="n">
        <v>64.95</v>
      </c>
      <c r="O255" s="6" t="n">
        <v>69.95</v>
      </c>
      <c r="P255" s="6" t="n">
        <f aca="false">O255-I255</f>
        <v>10</v>
      </c>
    </row>
    <row r="256" customFormat="false" ht="15" hidden="false" customHeight="false" outlineLevel="0" collapsed="false">
      <c r="A256" s="5" t="s">
        <v>665</v>
      </c>
      <c r="B256" s="5" t="s">
        <v>666</v>
      </c>
      <c r="C256" s="5" t="s">
        <v>18</v>
      </c>
      <c r="D256" s="5" t="s">
        <v>667</v>
      </c>
      <c r="E256" s="5" t="n">
        <v>42</v>
      </c>
      <c r="F256" s="6" t="n">
        <v>54.95</v>
      </c>
      <c r="G256" s="6" t="n">
        <v>109.95</v>
      </c>
      <c r="H256" s="12" t="n">
        <f aca="false">1-F256/G256</f>
        <v>0.500227376080036</v>
      </c>
      <c r="I256" s="13" t="n">
        <v>59.95</v>
      </c>
      <c r="J256" s="6" t="n">
        <f aca="false">ROUNDUP(I256/(1-H256),0)-0.05</f>
        <v>119.95</v>
      </c>
      <c r="K256" s="6" t="n">
        <f aca="false">I256-F256</f>
        <v>5</v>
      </c>
      <c r="L256" s="5" t="s">
        <v>19</v>
      </c>
      <c r="M256" s="5" t="n">
        <v>16</v>
      </c>
      <c r="N256" s="6" t="n">
        <v>64.95</v>
      </c>
      <c r="O256" s="6" t="n">
        <v>69.95</v>
      </c>
      <c r="P256" s="6" t="n">
        <f aca="false">O256-I256</f>
        <v>10</v>
      </c>
    </row>
    <row r="257" customFormat="false" ht="15" hidden="false" customHeight="false" outlineLevel="0" collapsed="false">
      <c r="A257" s="5" t="s">
        <v>668</v>
      </c>
      <c r="B257" s="5" t="s">
        <v>669</v>
      </c>
      <c r="C257" s="5" t="s">
        <v>18</v>
      </c>
      <c r="D257" s="5" t="s">
        <v>540</v>
      </c>
      <c r="E257" s="5" t="n">
        <v>32</v>
      </c>
      <c r="F257" s="6" t="n">
        <v>54.95</v>
      </c>
      <c r="G257" s="6" t="n">
        <v>99.95</v>
      </c>
      <c r="H257" s="12" t="n">
        <f aca="false">1-F257/G257</f>
        <v>0.450225112556278</v>
      </c>
      <c r="I257" s="13" t="n">
        <v>59.95</v>
      </c>
      <c r="J257" s="6" t="n">
        <f aca="false">ROUNDUP(I257/(1-H257),0)-0.05</f>
        <v>109.95</v>
      </c>
      <c r="K257" s="6" t="n">
        <f aca="false">I257-F257</f>
        <v>5</v>
      </c>
      <c r="L257" s="5" t="s">
        <v>19</v>
      </c>
      <c r="M257" s="5" t="n">
        <v>16</v>
      </c>
      <c r="N257" s="6" t="n">
        <v>64.95</v>
      </c>
      <c r="O257" s="6" t="n">
        <v>69.95</v>
      </c>
      <c r="P257" s="6" t="n">
        <f aca="false">O257-I257</f>
        <v>10</v>
      </c>
    </row>
    <row r="258" customFormat="false" ht="15" hidden="false" customHeight="false" outlineLevel="0" collapsed="false">
      <c r="A258" s="5" t="s">
        <v>670</v>
      </c>
      <c r="B258" s="5" t="s">
        <v>671</v>
      </c>
      <c r="C258" s="5" t="s">
        <v>18</v>
      </c>
      <c r="D258" s="5" t="s">
        <v>84</v>
      </c>
      <c r="E258" s="5" t="n">
        <v>35</v>
      </c>
      <c r="F258" s="6" t="n">
        <v>59.95</v>
      </c>
      <c r="G258" s="6" t="n">
        <v>109.95</v>
      </c>
      <c r="H258" s="12" t="n">
        <f aca="false">1-F258/G258</f>
        <v>0.45475216007276</v>
      </c>
      <c r="I258" s="13" t="n">
        <v>59.95</v>
      </c>
      <c r="J258" s="6" t="n">
        <f aca="false">ROUNDUP(I258/(1-H258),0)-0.05</f>
        <v>109.95</v>
      </c>
      <c r="K258" s="6" t="n">
        <f aca="false">I258-F258</f>
        <v>0</v>
      </c>
      <c r="L258" s="5" t="s">
        <v>19</v>
      </c>
      <c r="M258" s="5" t="n">
        <v>16</v>
      </c>
      <c r="N258" s="6" t="n">
        <v>64.95</v>
      </c>
      <c r="O258" s="6" t="n">
        <v>69.95</v>
      </c>
      <c r="P258" s="6" t="n">
        <f aca="false">O258-I258</f>
        <v>10</v>
      </c>
    </row>
    <row r="259" customFormat="false" ht="15" hidden="false" customHeight="false" outlineLevel="0" collapsed="false">
      <c r="A259" s="5" t="s">
        <v>672</v>
      </c>
      <c r="B259" s="5" t="s">
        <v>673</v>
      </c>
      <c r="C259" s="5" t="s">
        <v>18</v>
      </c>
      <c r="D259" s="5" t="s">
        <v>584</v>
      </c>
      <c r="E259" s="5" t="n">
        <v>72</v>
      </c>
      <c r="F259" s="6" t="n">
        <v>59.95</v>
      </c>
      <c r="G259" s="6" t="n">
        <v>109.95</v>
      </c>
      <c r="H259" s="12" t="n">
        <f aca="false">1-F259/G259</f>
        <v>0.45475216007276</v>
      </c>
      <c r="I259" s="13" t="n">
        <v>59.95</v>
      </c>
      <c r="J259" s="6" t="n">
        <f aca="false">ROUNDUP(I259/(1-H259),0)-0.05</f>
        <v>109.95</v>
      </c>
      <c r="K259" s="6" t="n">
        <f aca="false">I259-F259</f>
        <v>0</v>
      </c>
      <c r="L259" s="5" t="s">
        <v>19</v>
      </c>
      <c r="M259" s="5" t="n">
        <v>16</v>
      </c>
      <c r="N259" s="6" t="n">
        <v>64.95</v>
      </c>
      <c r="O259" s="6" t="n">
        <v>69.95</v>
      </c>
      <c r="P259" s="6" t="n">
        <f aca="false">O259-I259</f>
        <v>10</v>
      </c>
    </row>
    <row r="260" customFormat="false" ht="15" hidden="false" customHeight="false" outlineLevel="0" collapsed="false">
      <c r="A260" s="5" t="s">
        <v>674</v>
      </c>
      <c r="B260" s="5" t="s">
        <v>675</v>
      </c>
      <c r="C260" s="5" t="s">
        <v>18</v>
      </c>
      <c r="D260" s="5" t="s">
        <v>625</v>
      </c>
      <c r="E260" s="5" t="n">
        <v>42</v>
      </c>
      <c r="F260" s="6" t="n">
        <v>59.95</v>
      </c>
      <c r="G260" s="6" t="n">
        <v>108.95</v>
      </c>
      <c r="H260" s="12" t="n">
        <f aca="false">1-F260/G260</f>
        <v>0.449747590637907</v>
      </c>
      <c r="I260" s="13" t="n">
        <v>59.95</v>
      </c>
      <c r="J260" s="6" t="n">
        <f aca="false">ROUNDUP(I260/(1-H260),0)-0.05</f>
        <v>108.95</v>
      </c>
      <c r="K260" s="6" t="n">
        <f aca="false">I260-F260</f>
        <v>0</v>
      </c>
      <c r="L260" s="5" t="s">
        <v>19</v>
      </c>
      <c r="M260" s="5" t="n">
        <v>16</v>
      </c>
      <c r="N260" s="6" t="n">
        <v>64.95</v>
      </c>
      <c r="O260" s="6" t="n">
        <v>69.95</v>
      </c>
      <c r="P260" s="6" t="n">
        <f aca="false">O260-I260</f>
        <v>10</v>
      </c>
    </row>
    <row r="261" customFormat="false" ht="15" hidden="false" customHeight="false" outlineLevel="0" collapsed="false">
      <c r="A261" s="5" t="s">
        <v>676</v>
      </c>
      <c r="B261" s="5" t="s">
        <v>677</v>
      </c>
      <c r="C261" s="5" t="s">
        <v>18</v>
      </c>
      <c r="D261" s="5" t="s">
        <v>678</v>
      </c>
      <c r="E261" s="5" t="n">
        <v>60</v>
      </c>
      <c r="F261" s="6" t="n">
        <v>59.95</v>
      </c>
      <c r="G261" s="6" t="n">
        <v>109.95</v>
      </c>
      <c r="H261" s="12" t="n">
        <f aca="false">1-F261/G261</f>
        <v>0.45475216007276</v>
      </c>
      <c r="I261" s="13" t="n">
        <v>59.95</v>
      </c>
      <c r="J261" s="6" t="n">
        <f aca="false">ROUNDUP(I261/(1-H261),0)-0.05</f>
        <v>109.95</v>
      </c>
      <c r="K261" s="6" t="n">
        <f aca="false">I261-F261</f>
        <v>0</v>
      </c>
      <c r="L261" s="5" t="s">
        <v>19</v>
      </c>
      <c r="M261" s="5" t="n">
        <v>16</v>
      </c>
      <c r="N261" s="6" t="n">
        <v>64.95</v>
      </c>
      <c r="O261" s="6" t="n">
        <v>69.95</v>
      </c>
      <c r="P261" s="6" t="n">
        <f aca="false">O261-I261</f>
        <v>10</v>
      </c>
    </row>
    <row r="262" customFormat="false" ht="15" hidden="false" customHeight="false" outlineLevel="0" collapsed="false">
      <c r="A262" s="5" t="s">
        <v>679</v>
      </c>
      <c r="B262" s="5" t="s">
        <v>680</v>
      </c>
      <c r="C262" s="5" t="s">
        <v>18</v>
      </c>
      <c r="D262" s="5" t="s">
        <v>540</v>
      </c>
      <c r="E262" s="5" t="n">
        <v>36</v>
      </c>
      <c r="F262" s="6" t="n">
        <v>54.95</v>
      </c>
      <c r="G262" s="6" t="n">
        <v>109.95</v>
      </c>
      <c r="H262" s="12" t="n">
        <f aca="false">1-F262/G262</f>
        <v>0.500227376080036</v>
      </c>
      <c r="I262" s="13" t="n">
        <v>59.95</v>
      </c>
      <c r="J262" s="6" t="n">
        <f aca="false">ROUNDUP(I262/(1-H262),0)-0.05</f>
        <v>119.95</v>
      </c>
      <c r="K262" s="6" t="n">
        <f aca="false">I262-F262</f>
        <v>5</v>
      </c>
      <c r="L262" s="5" t="s">
        <v>19</v>
      </c>
      <c r="M262" s="5" t="n">
        <v>16</v>
      </c>
      <c r="N262" s="6" t="n">
        <v>64.95</v>
      </c>
      <c r="O262" s="6" t="n">
        <v>69.95</v>
      </c>
      <c r="P262" s="6" t="n">
        <f aca="false">O262-I262</f>
        <v>10</v>
      </c>
    </row>
    <row r="263" customFormat="false" ht="15" hidden="false" customHeight="false" outlineLevel="0" collapsed="false">
      <c r="A263" s="5" t="s">
        <v>681</v>
      </c>
      <c r="B263" s="5" t="s">
        <v>682</v>
      </c>
      <c r="C263" s="5" t="s">
        <v>18</v>
      </c>
      <c r="D263" s="5" t="s">
        <v>683</v>
      </c>
      <c r="E263" s="5" t="n">
        <v>42</v>
      </c>
      <c r="F263" s="6" t="n">
        <v>54.95</v>
      </c>
      <c r="G263" s="6" t="n">
        <v>109.95</v>
      </c>
      <c r="H263" s="12" t="n">
        <f aca="false">1-F263/G263</f>
        <v>0.500227376080036</v>
      </c>
      <c r="I263" s="13" t="n">
        <v>59.95</v>
      </c>
      <c r="J263" s="6" t="n">
        <f aca="false">ROUNDUP(I263/(1-H263),0)-0.05</f>
        <v>119.95</v>
      </c>
      <c r="K263" s="6" t="n">
        <f aca="false">I263-F263</f>
        <v>5</v>
      </c>
      <c r="L263" s="5" t="s">
        <v>19</v>
      </c>
      <c r="M263" s="5" t="n">
        <v>16</v>
      </c>
      <c r="N263" s="6" t="n">
        <v>64.95</v>
      </c>
      <c r="O263" s="6" t="n">
        <v>69.95</v>
      </c>
      <c r="P263" s="6" t="n">
        <f aca="false">O263-I263</f>
        <v>10</v>
      </c>
    </row>
    <row r="264" customFormat="false" ht="15" hidden="false" customHeight="false" outlineLevel="0" collapsed="false">
      <c r="A264" s="5" t="s">
        <v>684</v>
      </c>
      <c r="B264" s="5" t="s">
        <v>685</v>
      </c>
      <c r="C264" s="5" t="s">
        <v>18</v>
      </c>
      <c r="D264" s="5" t="s">
        <v>686</v>
      </c>
      <c r="E264" s="5" t="n">
        <v>49</v>
      </c>
      <c r="F264" s="6" t="n">
        <v>54.95</v>
      </c>
      <c r="G264" s="6" t="n">
        <v>99.95</v>
      </c>
      <c r="H264" s="12" t="n">
        <f aca="false">1-F264/G264</f>
        <v>0.450225112556278</v>
      </c>
      <c r="I264" s="13" t="n">
        <v>59.95</v>
      </c>
      <c r="J264" s="6" t="n">
        <f aca="false">ROUNDUP(I264/(1-H264),0)-0.05</f>
        <v>109.95</v>
      </c>
      <c r="K264" s="6" t="n">
        <f aca="false">I264-F264</f>
        <v>5</v>
      </c>
      <c r="L264" s="5" t="s">
        <v>19</v>
      </c>
      <c r="M264" s="5" t="n">
        <v>16</v>
      </c>
      <c r="N264" s="6" t="n">
        <v>64.95</v>
      </c>
      <c r="O264" s="6" t="n">
        <v>69.95</v>
      </c>
      <c r="P264" s="6" t="n">
        <f aca="false">O264-I264</f>
        <v>10</v>
      </c>
    </row>
    <row r="265" customFormat="false" ht="15" hidden="false" customHeight="false" outlineLevel="0" collapsed="false">
      <c r="A265" s="5" t="s">
        <v>687</v>
      </c>
      <c r="B265" s="5" t="s">
        <v>688</v>
      </c>
      <c r="C265" s="5" t="s">
        <v>18</v>
      </c>
      <c r="D265" s="5" t="s">
        <v>689</v>
      </c>
      <c r="E265" s="5" t="n">
        <v>63</v>
      </c>
      <c r="F265" s="6" t="n">
        <v>54.95</v>
      </c>
      <c r="G265" s="6" t="n">
        <v>109.95</v>
      </c>
      <c r="H265" s="12" t="n">
        <f aca="false">1-F265/G265</f>
        <v>0.500227376080036</v>
      </c>
      <c r="I265" s="13" t="n">
        <v>59.95</v>
      </c>
      <c r="J265" s="6" t="n">
        <f aca="false">ROUNDUP(I265/(1-H265),0)-0.05</f>
        <v>119.95</v>
      </c>
      <c r="K265" s="6" t="n">
        <f aca="false">I265-F265</f>
        <v>5</v>
      </c>
      <c r="L265" s="5" t="s">
        <v>19</v>
      </c>
      <c r="M265" s="5" t="n">
        <v>16</v>
      </c>
      <c r="N265" s="6" t="n">
        <v>64.95</v>
      </c>
      <c r="O265" s="6" t="n">
        <v>69.95</v>
      </c>
      <c r="P265" s="6" t="n">
        <f aca="false">O265-I265</f>
        <v>10</v>
      </c>
    </row>
    <row r="266" customFormat="false" ht="15" hidden="false" customHeight="false" outlineLevel="0" collapsed="false">
      <c r="A266" s="5" t="s">
        <v>690</v>
      </c>
      <c r="B266" s="5" t="s">
        <v>691</v>
      </c>
      <c r="C266" s="5" t="s">
        <v>18</v>
      </c>
      <c r="D266" s="5" t="s">
        <v>540</v>
      </c>
      <c r="E266" s="5" t="n">
        <v>12</v>
      </c>
      <c r="F266" s="6" t="n">
        <v>59.95</v>
      </c>
      <c r="G266" s="6" t="n">
        <v>109.95</v>
      </c>
      <c r="H266" s="12" t="n">
        <f aca="false">1-F266/G266</f>
        <v>0.45475216007276</v>
      </c>
      <c r="I266" s="13" t="n">
        <v>59.95</v>
      </c>
      <c r="J266" s="6" t="n">
        <f aca="false">ROUNDUP(I266/(1-H266),0)-0.05</f>
        <v>109.95</v>
      </c>
      <c r="K266" s="6" t="n">
        <f aca="false">I266-F266</f>
        <v>0</v>
      </c>
      <c r="L266" s="5" t="s">
        <v>19</v>
      </c>
      <c r="M266" s="5" t="n">
        <v>16</v>
      </c>
      <c r="N266" s="6" t="n">
        <v>64.95</v>
      </c>
      <c r="O266" s="6" t="n">
        <v>69.95</v>
      </c>
      <c r="P266" s="6" t="n">
        <f aca="false">O266-I266</f>
        <v>10</v>
      </c>
    </row>
    <row r="267" customFormat="false" ht="15" hidden="false" customHeight="false" outlineLevel="0" collapsed="false">
      <c r="A267" s="5" t="s">
        <v>692</v>
      </c>
      <c r="B267" s="5" t="s">
        <v>693</v>
      </c>
      <c r="C267" s="5" t="s">
        <v>18</v>
      </c>
      <c r="D267" s="5" t="s">
        <v>593</v>
      </c>
      <c r="E267" s="5" t="n">
        <v>56</v>
      </c>
      <c r="F267" s="6" t="n">
        <v>54.95</v>
      </c>
      <c r="G267" s="6" t="n">
        <v>99.95</v>
      </c>
      <c r="H267" s="12" t="n">
        <f aca="false">1-F267/G267</f>
        <v>0.450225112556278</v>
      </c>
      <c r="I267" s="13" t="n">
        <v>59.95</v>
      </c>
      <c r="J267" s="6" t="n">
        <f aca="false">ROUNDUP(I267/(1-H267),0)-0.05</f>
        <v>109.95</v>
      </c>
      <c r="K267" s="6" t="n">
        <f aca="false">I267-F267</f>
        <v>5</v>
      </c>
      <c r="L267" s="5" t="s">
        <v>19</v>
      </c>
      <c r="M267" s="5" t="n">
        <v>16</v>
      </c>
      <c r="N267" s="6" t="n">
        <v>64.95</v>
      </c>
      <c r="O267" s="6" t="n">
        <v>69.95</v>
      </c>
      <c r="P267" s="6" t="n">
        <f aca="false">O267-I267</f>
        <v>10</v>
      </c>
    </row>
    <row r="268" customFormat="false" ht="15" hidden="false" customHeight="false" outlineLevel="0" collapsed="false">
      <c r="A268" s="5" t="s">
        <v>694</v>
      </c>
      <c r="B268" s="5" t="s">
        <v>693</v>
      </c>
      <c r="C268" s="5" t="s">
        <v>18</v>
      </c>
      <c r="D268" s="5" t="s">
        <v>695</v>
      </c>
      <c r="E268" s="5" t="n">
        <v>100</v>
      </c>
      <c r="F268" s="6" t="n">
        <v>54.95</v>
      </c>
      <c r="G268" s="6" t="n">
        <v>91.95</v>
      </c>
      <c r="H268" s="12" t="n">
        <f aca="false">1-F268/G268</f>
        <v>0.402392604676455</v>
      </c>
      <c r="I268" s="13" t="n">
        <v>59.95</v>
      </c>
      <c r="J268" s="6" t="n">
        <f aca="false">ROUNDUP(I268/(1-H268),0)-0.05</f>
        <v>100.95</v>
      </c>
      <c r="K268" s="6" t="n">
        <f aca="false">I268-F268</f>
        <v>5</v>
      </c>
      <c r="L268" s="5" t="s">
        <v>19</v>
      </c>
      <c r="M268" s="5" t="n">
        <v>16</v>
      </c>
      <c r="N268" s="6" t="n">
        <v>64.95</v>
      </c>
      <c r="O268" s="6" t="n">
        <v>69.95</v>
      </c>
      <c r="P268" s="6" t="n">
        <f aca="false">O268-I268</f>
        <v>10</v>
      </c>
    </row>
    <row r="269" customFormat="false" ht="15" hidden="false" customHeight="false" outlineLevel="0" collapsed="false">
      <c r="A269" s="5" t="s">
        <v>696</v>
      </c>
      <c r="B269" s="5" t="s">
        <v>697</v>
      </c>
      <c r="C269" s="5" t="s">
        <v>18</v>
      </c>
      <c r="D269" s="5" t="s">
        <v>698</v>
      </c>
      <c r="E269" s="5" t="n">
        <v>60</v>
      </c>
      <c r="F269" s="6" t="n">
        <v>54.95</v>
      </c>
      <c r="G269" s="6" t="n">
        <v>91.95</v>
      </c>
      <c r="H269" s="12" t="n">
        <f aca="false">1-F269/G269</f>
        <v>0.402392604676455</v>
      </c>
      <c r="I269" s="13" t="n">
        <v>59.95</v>
      </c>
      <c r="J269" s="6" t="n">
        <f aca="false">ROUNDUP(I269/(1-H269),0)-0.05</f>
        <v>100.95</v>
      </c>
      <c r="K269" s="6" t="n">
        <f aca="false">I269-F269</f>
        <v>5</v>
      </c>
      <c r="L269" s="5" t="s">
        <v>19</v>
      </c>
      <c r="M269" s="5" t="n">
        <v>16</v>
      </c>
      <c r="N269" s="6" t="n">
        <v>64.95</v>
      </c>
      <c r="O269" s="6" t="n">
        <v>69.95</v>
      </c>
      <c r="P269" s="6" t="n">
        <f aca="false">O269-I269</f>
        <v>10</v>
      </c>
    </row>
    <row r="270" customFormat="false" ht="15" hidden="false" customHeight="false" outlineLevel="0" collapsed="false">
      <c r="A270" s="5" t="s">
        <v>699</v>
      </c>
      <c r="B270" s="5" t="s">
        <v>700</v>
      </c>
      <c r="C270" s="5" t="s">
        <v>18</v>
      </c>
      <c r="D270" s="5" t="s">
        <v>176</v>
      </c>
      <c r="E270" s="5" t="n">
        <v>40</v>
      </c>
      <c r="F270" s="6" t="n">
        <v>54.95</v>
      </c>
      <c r="G270" s="6" t="n">
        <v>99.95</v>
      </c>
      <c r="H270" s="12" t="n">
        <f aca="false">1-F270/G270</f>
        <v>0.450225112556278</v>
      </c>
      <c r="I270" s="13" t="n">
        <v>59.95</v>
      </c>
      <c r="J270" s="6" t="n">
        <f aca="false">ROUNDUP(I270/(1-H270),0)-0.05</f>
        <v>109.95</v>
      </c>
      <c r="K270" s="6" t="n">
        <f aca="false">I270-F270</f>
        <v>5</v>
      </c>
      <c r="L270" s="5" t="s">
        <v>19</v>
      </c>
      <c r="M270" s="5" t="n">
        <v>16</v>
      </c>
      <c r="N270" s="6" t="n">
        <v>64.95</v>
      </c>
      <c r="O270" s="6" t="n">
        <v>69.95</v>
      </c>
      <c r="P270" s="6" t="n">
        <f aca="false">O270-I270</f>
        <v>10</v>
      </c>
    </row>
    <row r="271" customFormat="false" ht="15" hidden="false" customHeight="false" outlineLevel="0" collapsed="false">
      <c r="A271" s="5" t="s">
        <v>701</v>
      </c>
      <c r="B271" s="5" t="s">
        <v>702</v>
      </c>
      <c r="C271" s="5" t="s">
        <v>18</v>
      </c>
      <c r="D271" s="5" t="s">
        <v>84</v>
      </c>
      <c r="E271" s="5" t="n">
        <v>42</v>
      </c>
      <c r="F271" s="6" t="n">
        <v>54.95</v>
      </c>
      <c r="G271" s="6" t="n">
        <v>99.95</v>
      </c>
      <c r="H271" s="12" t="n">
        <f aca="false">1-F271/G271</f>
        <v>0.450225112556278</v>
      </c>
      <c r="I271" s="13" t="n">
        <v>59.95</v>
      </c>
      <c r="J271" s="6" t="n">
        <f aca="false">ROUNDUP(I271/(1-H271),0)-0.05</f>
        <v>109.95</v>
      </c>
      <c r="K271" s="6" t="n">
        <f aca="false">I271-F271</f>
        <v>5</v>
      </c>
      <c r="L271" s="5" t="s">
        <v>19</v>
      </c>
      <c r="M271" s="5" t="n">
        <v>16</v>
      </c>
      <c r="N271" s="6" t="n">
        <v>64.95</v>
      </c>
      <c r="O271" s="6" t="n">
        <v>69.95</v>
      </c>
      <c r="P271" s="6" t="n">
        <f aca="false">O271-I271</f>
        <v>10</v>
      </c>
    </row>
    <row r="272" customFormat="false" ht="15" hidden="false" customHeight="false" outlineLevel="0" collapsed="false">
      <c r="A272" s="5" t="s">
        <v>703</v>
      </c>
      <c r="B272" s="5" t="s">
        <v>704</v>
      </c>
      <c r="C272" s="5" t="s">
        <v>18</v>
      </c>
      <c r="D272" s="5" t="s">
        <v>593</v>
      </c>
      <c r="E272" s="5" t="n">
        <v>7</v>
      </c>
      <c r="F272" s="6" t="n">
        <v>54.95</v>
      </c>
      <c r="G272" s="6" t="n">
        <v>109.95</v>
      </c>
      <c r="H272" s="12" t="n">
        <f aca="false">1-F272/G272</f>
        <v>0.500227376080036</v>
      </c>
      <c r="I272" s="13" t="n">
        <v>59.95</v>
      </c>
      <c r="J272" s="6" t="n">
        <f aca="false">ROUNDUP(I272/(1-H272),0)-0.05</f>
        <v>119.95</v>
      </c>
      <c r="K272" s="6" t="n">
        <f aca="false">I272-F272</f>
        <v>5</v>
      </c>
      <c r="L272" s="5" t="s">
        <v>19</v>
      </c>
      <c r="M272" s="5" t="n">
        <v>16</v>
      </c>
      <c r="N272" s="6" t="n">
        <v>64.95</v>
      </c>
      <c r="O272" s="6" t="n">
        <v>69.95</v>
      </c>
      <c r="P272" s="6" t="n">
        <f aca="false">O272-I272</f>
        <v>10</v>
      </c>
    </row>
    <row r="273" customFormat="false" ht="15" hidden="false" customHeight="false" outlineLevel="0" collapsed="false">
      <c r="A273" s="5" t="s">
        <v>705</v>
      </c>
      <c r="B273" s="5" t="s">
        <v>706</v>
      </c>
      <c r="C273" s="5" t="s">
        <v>18</v>
      </c>
      <c r="D273" s="5" t="s">
        <v>84</v>
      </c>
      <c r="E273" s="5" t="n">
        <v>35</v>
      </c>
      <c r="F273" s="6" t="n">
        <v>54.95</v>
      </c>
      <c r="G273" s="6" t="n">
        <v>99.95</v>
      </c>
      <c r="H273" s="12" t="n">
        <f aca="false">1-F273/G273</f>
        <v>0.450225112556278</v>
      </c>
      <c r="I273" s="13" t="n">
        <v>59.95</v>
      </c>
      <c r="J273" s="6" t="n">
        <f aca="false">ROUNDUP(I273/(1-H273),0)-0.05</f>
        <v>109.95</v>
      </c>
      <c r="K273" s="6" t="n">
        <f aca="false">I273-F273</f>
        <v>5</v>
      </c>
      <c r="L273" s="5" t="s">
        <v>19</v>
      </c>
      <c r="M273" s="5" t="n">
        <v>16</v>
      </c>
      <c r="N273" s="6" t="n">
        <v>64.95</v>
      </c>
      <c r="O273" s="6" t="n">
        <v>69.95</v>
      </c>
      <c r="P273" s="6" t="n">
        <f aca="false">O273-I273</f>
        <v>10</v>
      </c>
    </row>
    <row r="274" customFormat="false" ht="15" hidden="false" customHeight="false" outlineLevel="0" collapsed="false">
      <c r="A274" s="5" t="s">
        <v>707</v>
      </c>
      <c r="B274" s="5" t="s">
        <v>708</v>
      </c>
      <c r="C274" s="5" t="s">
        <v>18</v>
      </c>
      <c r="D274" s="5" t="s">
        <v>540</v>
      </c>
      <c r="E274" s="5" t="n">
        <v>48</v>
      </c>
      <c r="F274" s="6" t="n">
        <v>59.95</v>
      </c>
      <c r="G274" s="6" t="n">
        <v>99.95</v>
      </c>
      <c r="H274" s="12" t="n">
        <f aca="false">1-F274/G274</f>
        <v>0.400200100050025</v>
      </c>
      <c r="I274" s="13" t="n">
        <v>59.95</v>
      </c>
      <c r="J274" s="6" t="n">
        <f aca="false">ROUNDUP(I274/(1-H274),0)-0.05</f>
        <v>99.95</v>
      </c>
      <c r="K274" s="6" t="n">
        <f aca="false">I274-F274</f>
        <v>0</v>
      </c>
      <c r="L274" s="5" t="s">
        <v>19</v>
      </c>
      <c r="M274" s="5" t="n">
        <v>16</v>
      </c>
      <c r="N274" s="6" t="n">
        <v>64.95</v>
      </c>
      <c r="O274" s="6" t="n">
        <v>69.95</v>
      </c>
      <c r="P274" s="6" t="n">
        <f aca="false">O274-I274</f>
        <v>10</v>
      </c>
    </row>
    <row r="275" customFormat="false" ht="15" hidden="false" customHeight="false" outlineLevel="0" collapsed="false">
      <c r="A275" s="5" t="s">
        <v>709</v>
      </c>
      <c r="B275" s="5" t="s">
        <v>710</v>
      </c>
      <c r="C275" s="5" t="s">
        <v>18</v>
      </c>
      <c r="D275" s="5" t="s">
        <v>628</v>
      </c>
      <c r="E275" s="5" t="n">
        <v>30</v>
      </c>
      <c r="F275" s="6" t="n">
        <v>59.95</v>
      </c>
      <c r="G275" s="6" t="n">
        <v>119.95</v>
      </c>
      <c r="H275" s="12" t="n">
        <f aca="false">1-F275/G275</f>
        <v>0.500208420175073</v>
      </c>
      <c r="I275" s="13" t="n">
        <v>59.95</v>
      </c>
      <c r="J275" s="6" t="n">
        <f aca="false">ROUNDUP(I275/(1-H275),0)-0.05</f>
        <v>119.95</v>
      </c>
      <c r="K275" s="6" t="n">
        <f aca="false">I275-F275</f>
        <v>0</v>
      </c>
      <c r="L275" s="5" t="s">
        <v>19</v>
      </c>
      <c r="M275" s="5" t="n">
        <v>16</v>
      </c>
      <c r="N275" s="6" t="n">
        <v>64.95</v>
      </c>
      <c r="O275" s="6" t="n">
        <v>69.95</v>
      </c>
      <c r="P275" s="6" t="n">
        <f aca="false">O275-I275</f>
        <v>10</v>
      </c>
    </row>
    <row r="276" customFormat="false" ht="15" hidden="false" customHeight="false" outlineLevel="0" collapsed="false">
      <c r="A276" s="5" t="s">
        <v>711</v>
      </c>
      <c r="B276" s="5" t="s">
        <v>712</v>
      </c>
      <c r="C276" s="5" t="s">
        <v>42</v>
      </c>
      <c r="D276" s="5" t="s">
        <v>713</v>
      </c>
      <c r="E276" s="5" t="n">
        <v>85</v>
      </c>
      <c r="F276" s="6" t="n">
        <v>84.95</v>
      </c>
      <c r="G276" s="6" t="n">
        <v>141.95</v>
      </c>
      <c r="H276" s="12" t="n">
        <f aca="false">1-F276/G276</f>
        <v>0.401549841493484</v>
      </c>
      <c r="I276" s="13" t="n">
        <v>99.95</v>
      </c>
      <c r="J276" s="6" t="n">
        <f aca="false">ROUNDUP(I276/(1-H276),0)-0.05</f>
        <v>167.95</v>
      </c>
      <c r="K276" s="6" t="n">
        <f aca="false">I276-F276</f>
        <v>15</v>
      </c>
      <c r="L276" s="5" t="s">
        <v>43</v>
      </c>
      <c r="M276" s="5" t="n">
        <v>12</v>
      </c>
      <c r="N276" s="6" t="n">
        <v>88.7</v>
      </c>
      <c r="O276" s="6" t="n">
        <v>109.95</v>
      </c>
      <c r="P276" s="6" t="n">
        <f aca="false">O276-I276</f>
        <v>10</v>
      </c>
    </row>
    <row r="277" customFormat="false" ht="15" hidden="false" customHeight="false" outlineLevel="0" collapsed="false">
      <c r="A277" s="5" t="s">
        <v>714</v>
      </c>
      <c r="B277" s="5" t="s">
        <v>715</v>
      </c>
      <c r="C277" s="5" t="s">
        <v>36</v>
      </c>
      <c r="D277" s="5" t="s">
        <v>210</v>
      </c>
      <c r="E277" s="5" t="n">
        <v>28</v>
      </c>
      <c r="F277" s="6" t="n">
        <v>84.95</v>
      </c>
      <c r="G277" s="6" t="n">
        <v>141.95</v>
      </c>
      <c r="H277" s="12" t="n">
        <f aca="false">1-F277/G277</f>
        <v>0.401549841493484</v>
      </c>
      <c r="I277" s="13" t="n">
        <v>99.95</v>
      </c>
      <c r="J277" s="6" t="n">
        <f aca="false">ROUNDUP(I277/(1-H277),0)-0.05</f>
        <v>167.95</v>
      </c>
      <c r="K277" s="6" t="n">
        <f aca="false">I277-F277</f>
        <v>15</v>
      </c>
      <c r="L277" s="5" t="s">
        <v>37</v>
      </c>
      <c r="M277" s="5" t="n">
        <v>3</v>
      </c>
      <c r="N277" s="6" t="n">
        <v>104.95</v>
      </c>
      <c r="O277" s="6" t="n">
        <v>104.95</v>
      </c>
      <c r="P277" s="6" t="n">
        <f aca="false">O277-I277</f>
        <v>5</v>
      </c>
    </row>
    <row r="278" customFormat="false" ht="15" hidden="false" customHeight="false" outlineLevel="0" collapsed="false">
      <c r="A278" s="5" t="s">
        <v>716</v>
      </c>
      <c r="B278" s="5" t="s">
        <v>717</v>
      </c>
      <c r="C278" s="5" t="s">
        <v>36</v>
      </c>
      <c r="D278" s="5" t="s">
        <v>718</v>
      </c>
      <c r="E278" s="5" t="n">
        <v>33</v>
      </c>
      <c r="F278" s="6" t="n">
        <v>84.95</v>
      </c>
      <c r="G278" s="6" t="n">
        <v>169.95</v>
      </c>
      <c r="H278" s="12" t="n">
        <f aca="false">1-F278/G278</f>
        <v>0.50014710208885</v>
      </c>
      <c r="I278" s="13" t="n">
        <v>99.95</v>
      </c>
      <c r="J278" s="6" t="n">
        <f aca="false">ROUNDUP(I278/(1-H278),0)-0.05</f>
        <v>199.95</v>
      </c>
      <c r="K278" s="6" t="n">
        <f aca="false">I278-F278</f>
        <v>15</v>
      </c>
      <c r="L278" s="5" t="s">
        <v>37</v>
      </c>
      <c r="M278" s="5" t="n">
        <v>3</v>
      </c>
      <c r="N278" s="6" t="n">
        <v>104.95</v>
      </c>
      <c r="O278" s="6" t="n">
        <v>104.95</v>
      </c>
      <c r="P278" s="6" t="n">
        <f aca="false">O278-I278</f>
        <v>5</v>
      </c>
    </row>
    <row r="279" customFormat="false" ht="15" hidden="false" customHeight="false" outlineLevel="0" collapsed="false">
      <c r="A279" s="5" t="s">
        <v>719</v>
      </c>
      <c r="B279" s="5" t="s">
        <v>720</v>
      </c>
      <c r="C279" s="5" t="s">
        <v>36</v>
      </c>
      <c r="D279" s="5" t="s">
        <v>210</v>
      </c>
      <c r="E279" s="5" t="n">
        <v>45</v>
      </c>
      <c r="F279" s="6" t="n">
        <v>84.95</v>
      </c>
      <c r="G279" s="6" t="n">
        <v>169.95</v>
      </c>
      <c r="H279" s="12" t="n">
        <f aca="false">1-F279/G279</f>
        <v>0.50014710208885</v>
      </c>
      <c r="I279" s="13" t="n">
        <v>99.95</v>
      </c>
      <c r="J279" s="6" t="n">
        <f aca="false">ROUNDUP(I279/(1-H279),0)-0.05</f>
        <v>199.95</v>
      </c>
      <c r="K279" s="6" t="n">
        <f aca="false">I279-F279</f>
        <v>15</v>
      </c>
      <c r="L279" s="5" t="s">
        <v>37</v>
      </c>
      <c r="M279" s="5" t="n">
        <v>3</v>
      </c>
      <c r="N279" s="6" t="n">
        <v>104.95</v>
      </c>
      <c r="O279" s="6" t="n">
        <v>104.95</v>
      </c>
      <c r="P279" s="6" t="n">
        <f aca="false">O279-I279</f>
        <v>5</v>
      </c>
    </row>
    <row r="280" customFormat="false" ht="15" hidden="false" customHeight="false" outlineLevel="0" collapsed="false">
      <c r="A280" s="5" t="s">
        <v>721</v>
      </c>
      <c r="B280" s="5" t="s">
        <v>722</v>
      </c>
      <c r="C280" s="5" t="s">
        <v>36</v>
      </c>
      <c r="D280" s="5" t="s">
        <v>723</v>
      </c>
      <c r="E280" s="5" t="n">
        <v>27</v>
      </c>
      <c r="F280" s="6" t="n">
        <v>84.95</v>
      </c>
      <c r="G280" s="6" t="n">
        <v>141.95</v>
      </c>
      <c r="H280" s="12" t="n">
        <f aca="false">1-F280/G280</f>
        <v>0.401549841493484</v>
      </c>
      <c r="I280" s="13" t="n">
        <v>99.95</v>
      </c>
      <c r="J280" s="6" t="n">
        <f aca="false">ROUNDUP(I280/(1-H280),0)-0.05</f>
        <v>167.95</v>
      </c>
      <c r="K280" s="6" t="n">
        <f aca="false">I280-F280</f>
        <v>15</v>
      </c>
      <c r="L280" s="5" t="s">
        <v>37</v>
      </c>
      <c r="M280" s="5" t="n">
        <v>3</v>
      </c>
      <c r="N280" s="6" t="n">
        <v>104.95</v>
      </c>
      <c r="O280" s="6" t="n">
        <v>104.95</v>
      </c>
      <c r="P280" s="6" t="n">
        <f aca="false">O280-I280</f>
        <v>5</v>
      </c>
    </row>
    <row r="281" customFormat="false" ht="15" hidden="false" customHeight="false" outlineLevel="0" collapsed="false">
      <c r="A281" s="5" t="s">
        <v>724</v>
      </c>
      <c r="B281" s="5" t="s">
        <v>725</v>
      </c>
      <c r="C281" s="5" t="s">
        <v>36</v>
      </c>
      <c r="D281" s="5" t="s">
        <v>726</v>
      </c>
      <c r="E281" s="5" t="n">
        <v>18</v>
      </c>
      <c r="F281" s="6" t="n">
        <v>84.95</v>
      </c>
      <c r="G281" s="6" t="n">
        <v>169.95</v>
      </c>
      <c r="H281" s="12" t="n">
        <f aca="false">1-F281/G281</f>
        <v>0.50014710208885</v>
      </c>
      <c r="I281" s="13" t="n">
        <v>99.95</v>
      </c>
      <c r="J281" s="6" t="n">
        <f aca="false">ROUNDUP(I281/(1-H281),0)-0.05</f>
        <v>199.95</v>
      </c>
      <c r="K281" s="6" t="n">
        <f aca="false">I281-F281</f>
        <v>15</v>
      </c>
      <c r="L281" s="5" t="s">
        <v>37</v>
      </c>
      <c r="M281" s="5" t="n">
        <v>3</v>
      </c>
      <c r="N281" s="6" t="n">
        <v>104.95</v>
      </c>
      <c r="O281" s="6" t="n">
        <v>104.95</v>
      </c>
      <c r="P281" s="6" t="n">
        <f aca="false">O281-I281</f>
        <v>5</v>
      </c>
    </row>
    <row r="282" customFormat="false" ht="15" hidden="false" customHeight="false" outlineLevel="0" collapsed="false">
      <c r="A282" s="5" t="s">
        <v>727</v>
      </c>
      <c r="B282" s="5" t="s">
        <v>728</v>
      </c>
      <c r="C282" s="5" t="s">
        <v>36</v>
      </c>
      <c r="D282" s="5" t="s">
        <v>718</v>
      </c>
      <c r="E282" s="5" t="n">
        <v>12</v>
      </c>
      <c r="F282" s="6" t="n">
        <v>84.95</v>
      </c>
      <c r="G282" s="6" t="n">
        <v>141.95</v>
      </c>
      <c r="H282" s="12" t="n">
        <f aca="false">1-F282/G282</f>
        <v>0.401549841493484</v>
      </c>
      <c r="I282" s="13" t="n">
        <v>99.95</v>
      </c>
      <c r="J282" s="6" t="n">
        <f aca="false">ROUNDUP(I282/(1-H282),0)-0.05</f>
        <v>167.95</v>
      </c>
      <c r="K282" s="6" t="n">
        <f aca="false">I282-F282</f>
        <v>15</v>
      </c>
      <c r="L282" s="5" t="s">
        <v>37</v>
      </c>
      <c r="M282" s="5" t="n">
        <v>3</v>
      </c>
      <c r="N282" s="6" t="n">
        <v>104.95</v>
      </c>
      <c r="O282" s="6" t="n">
        <v>104.95</v>
      </c>
      <c r="P282" s="6" t="n">
        <f aca="false">O282-I282</f>
        <v>5</v>
      </c>
    </row>
    <row r="283" customFormat="false" ht="15" hidden="false" customHeight="false" outlineLevel="0" collapsed="false">
      <c r="A283" s="5" t="s">
        <v>729</v>
      </c>
      <c r="B283" s="5" t="s">
        <v>730</v>
      </c>
      <c r="C283" s="5" t="s">
        <v>36</v>
      </c>
      <c r="D283" s="5" t="s">
        <v>718</v>
      </c>
      <c r="E283" s="5" t="n">
        <v>9</v>
      </c>
      <c r="F283" s="6" t="n">
        <v>84.95</v>
      </c>
      <c r="G283" s="6" t="n">
        <v>154.95</v>
      </c>
      <c r="H283" s="12" t="n">
        <f aca="false">1-F283/G283</f>
        <v>0.451758631816715</v>
      </c>
      <c r="I283" s="13" t="n">
        <v>99.95</v>
      </c>
      <c r="J283" s="6" t="n">
        <f aca="false">ROUNDUP(I283/(1-H283),0)-0.05</f>
        <v>182.95</v>
      </c>
      <c r="K283" s="6" t="n">
        <f aca="false">I283-F283</f>
        <v>15</v>
      </c>
      <c r="L283" s="5" t="s">
        <v>37</v>
      </c>
      <c r="M283" s="5" t="n">
        <v>3</v>
      </c>
      <c r="N283" s="6" t="n">
        <v>104.95</v>
      </c>
      <c r="O283" s="6" t="n">
        <v>104.95</v>
      </c>
      <c r="P283" s="6" t="n">
        <f aca="false">O283-I283</f>
        <v>5</v>
      </c>
    </row>
    <row r="284" customFormat="false" ht="15" hidden="false" customHeight="false" outlineLevel="0" collapsed="false">
      <c r="A284" s="5" t="s">
        <v>731</v>
      </c>
      <c r="B284" s="5" t="s">
        <v>732</v>
      </c>
      <c r="C284" s="5" t="s">
        <v>36</v>
      </c>
      <c r="D284" s="5" t="s">
        <v>718</v>
      </c>
      <c r="E284" s="5" t="n">
        <v>9</v>
      </c>
      <c r="F284" s="6" t="n">
        <v>84.95</v>
      </c>
      <c r="G284" s="6" t="n">
        <v>169.95</v>
      </c>
      <c r="H284" s="12" t="n">
        <f aca="false">1-F284/G284</f>
        <v>0.50014710208885</v>
      </c>
      <c r="I284" s="13" t="n">
        <v>99.95</v>
      </c>
      <c r="J284" s="6" t="n">
        <f aca="false">ROUNDUP(I284/(1-H284),0)-0.05</f>
        <v>199.95</v>
      </c>
      <c r="K284" s="6" t="n">
        <f aca="false">I284-F284</f>
        <v>15</v>
      </c>
      <c r="L284" s="5" t="s">
        <v>37</v>
      </c>
      <c r="M284" s="5" t="n">
        <v>3</v>
      </c>
      <c r="N284" s="6" t="n">
        <v>104.95</v>
      </c>
      <c r="O284" s="6" t="n">
        <v>104.95</v>
      </c>
      <c r="P284" s="6" t="n">
        <f aca="false">O284-I284</f>
        <v>5</v>
      </c>
    </row>
    <row r="285" customFormat="false" ht="15" hidden="false" customHeight="false" outlineLevel="0" collapsed="false">
      <c r="A285" s="5" t="s">
        <v>733</v>
      </c>
      <c r="B285" s="5" t="s">
        <v>734</v>
      </c>
      <c r="C285" s="5" t="s">
        <v>22</v>
      </c>
      <c r="D285" s="5"/>
      <c r="E285" s="5" t="n">
        <v>8</v>
      </c>
      <c r="F285" s="6" t="n">
        <v>74.95</v>
      </c>
      <c r="G285" s="6" t="n">
        <v>124.95</v>
      </c>
      <c r="H285" s="12" t="n">
        <f aca="false">1-F285/G285</f>
        <v>0.40016006402561</v>
      </c>
      <c r="I285" s="13" t="n">
        <v>89.95</v>
      </c>
      <c r="J285" s="6" t="n">
        <f aca="false">ROUNDUP(I285/(1-H285),0)-0.05</f>
        <v>149.95</v>
      </c>
      <c r="K285" s="6" t="n">
        <f aca="false">I285-F285</f>
        <v>15</v>
      </c>
      <c r="L285" s="5" t="s">
        <v>23</v>
      </c>
      <c r="M285" s="5" t="n">
        <v>3</v>
      </c>
      <c r="N285" s="6" t="n">
        <v>112.45</v>
      </c>
      <c r="O285" s="6" t="n">
        <v>124.95</v>
      </c>
      <c r="P285" s="6" t="n">
        <f aca="false">O285-I285</f>
        <v>35</v>
      </c>
    </row>
    <row r="286" customFormat="false" ht="15" hidden="false" customHeight="false" outlineLevel="0" collapsed="false">
      <c r="A286" s="5" t="s">
        <v>735</v>
      </c>
      <c r="B286" s="5" t="s">
        <v>736</v>
      </c>
      <c r="C286" s="5" t="s">
        <v>22</v>
      </c>
      <c r="D286" s="5" t="s">
        <v>737</v>
      </c>
      <c r="E286" s="5" t="n">
        <v>50</v>
      </c>
      <c r="F286" s="6" t="n">
        <v>74.95</v>
      </c>
      <c r="G286" s="6" t="n">
        <v>149.95</v>
      </c>
      <c r="H286" s="12" t="n">
        <f aca="false">1-F286/G286</f>
        <v>0.500166722240747</v>
      </c>
      <c r="I286" s="13" t="n">
        <v>89.95</v>
      </c>
      <c r="J286" s="6" t="n">
        <f aca="false">ROUNDUP(I286/(1-H286),0)-0.05</f>
        <v>179.95</v>
      </c>
      <c r="K286" s="6" t="n">
        <f aca="false">I286-F286</f>
        <v>15</v>
      </c>
      <c r="L286" s="5" t="s">
        <v>23</v>
      </c>
      <c r="M286" s="5" t="n">
        <v>3</v>
      </c>
      <c r="N286" s="6" t="n">
        <v>112.45</v>
      </c>
      <c r="O286" s="6" t="n">
        <v>124.95</v>
      </c>
      <c r="P286" s="6" t="n">
        <f aca="false">O286-I286</f>
        <v>35</v>
      </c>
    </row>
    <row r="287" customFormat="false" ht="15" hidden="false" customHeight="false" outlineLevel="0" collapsed="false">
      <c r="A287" s="5" t="s">
        <v>738</v>
      </c>
      <c r="B287" s="5" t="s">
        <v>739</v>
      </c>
      <c r="C287" s="5" t="s">
        <v>22</v>
      </c>
      <c r="D287" s="5" t="s">
        <v>718</v>
      </c>
      <c r="E287" s="5" t="n">
        <v>17</v>
      </c>
      <c r="F287" s="6" t="n">
        <v>74.95</v>
      </c>
      <c r="G287" s="6" t="n">
        <v>124.95</v>
      </c>
      <c r="H287" s="12" t="n">
        <f aca="false">1-F287/G287</f>
        <v>0.40016006402561</v>
      </c>
      <c r="I287" s="13" t="n">
        <v>89.95</v>
      </c>
      <c r="J287" s="6" t="n">
        <f aca="false">ROUNDUP(I287/(1-H287),0)-0.05</f>
        <v>149.95</v>
      </c>
      <c r="K287" s="6" t="n">
        <f aca="false">I287-F287</f>
        <v>15</v>
      </c>
      <c r="L287" s="5" t="s">
        <v>23</v>
      </c>
      <c r="M287" s="5" t="n">
        <v>3</v>
      </c>
      <c r="N287" s="6" t="n">
        <v>112.45</v>
      </c>
      <c r="O287" s="6" t="n">
        <v>124.95</v>
      </c>
      <c r="P287" s="6" t="n">
        <f aca="false">O287-I287</f>
        <v>35</v>
      </c>
    </row>
    <row r="288" customFormat="false" ht="15" hidden="false" customHeight="false" outlineLevel="0" collapsed="false">
      <c r="A288" s="5" t="s">
        <v>740</v>
      </c>
      <c r="B288" s="5" t="s">
        <v>741</v>
      </c>
      <c r="C288" s="5" t="s">
        <v>22</v>
      </c>
      <c r="D288" s="5" t="s">
        <v>742</v>
      </c>
      <c r="E288" s="5" t="n">
        <v>20</v>
      </c>
      <c r="F288" s="6" t="n">
        <v>74.95</v>
      </c>
      <c r="G288" s="6" t="n">
        <v>149.95</v>
      </c>
      <c r="H288" s="12" t="n">
        <f aca="false">1-F288/G288</f>
        <v>0.500166722240747</v>
      </c>
      <c r="I288" s="13" t="n">
        <v>89.95</v>
      </c>
      <c r="J288" s="6" t="n">
        <f aca="false">ROUNDUP(I288/(1-H288),0)-0.05</f>
        <v>179.95</v>
      </c>
      <c r="K288" s="6" t="n">
        <f aca="false">I288-F288</f>
        <v>15</v>
      </c>
      <c r="L288" s="5" t="s">
        <v>23</v>
      </c>
      <c r="M288" s="5" t="n">
        <v>3</v>
      </c>
      <c r="N288" s="6" t="n">
        <v>112.45</v>
      </c>
      <c r="O288" s="6" t="n">
        <v>124.95</v>
      </c>
      <c r="P288" s="6" t="n">
        <f aca="false">O288-I288</f>
        <v>35</v>
      </c>
    </row>
    <row r="289" customFormat="false" ht="15" hidden="false" customHeight="false" outlineLevel="0" collapsed="false">
      <c r="A289" s="5" t="s">
        <v>743</v>
      </c>
      <c r="B289" s="5" t="s">
        <v>744</v>
      </c>
      <c r="C289" s="5" t="s">
        <v>22</v>
      </c>
      <c r="D289" s="5" t="s">
        <v>742</v>
      </c>
      <c r="E289" s="5" t="n">
        <v>33</v>
      </c>
      <c r="F289" s="6" t="n">
        <v>74.95</v>
      </c>
      <c r="G289" s="6" t="n">
        <v>149.95</v>
      </c>
      <c r="H289" s="12" t="n">
        <f aca="false">1-F289/G289</f>
        <v>0.500166722240747</v>
      </c>
      <c r="I289" s="13" t="n">
        <v>89.95</v>
      </c>
      <c r="J289" s="6" t="n">
        <f aca="false">ROUNDUP(I289/(1-H289),0)-0.05</f>
        <v>179.95</v>
      </c>
      <c r="K289" s="6" t="n">
        <f aca="false">I289-F289</f>
        <v>15</v>
      </c>
      <c r="L289" s="5" t="s">
        <v>23</v>
      </c>
      <c r="M289" s="5" t="n">
        <v>3</v>
      </c>
      <c r="N289" s="6" t="n">
        <v>112.45</v>
      </c>
      <c r="O289" s="6" t="n">
        <v>124.95</v>
      </c>
      <c r="P289" s="6" t="n">
        <f aca="false">O289-I289</f>
        <v>35</v>
      </c>
    </row>
    <row r="290" customFormat="false" ht="15" hidden="false" customHeight="false" outlineLevel="0" collapsed="false">
      <c r="A290" s="5" t="s">
        <v>745</v>
      </c>
      <c r="B290" s="5" t="s">
        <v>746</v>
      </c>
      <c r="C290" s="5" t="s">
        <v>22</v>
      </c>
      <c r="D290" s="5" t="s">
        <v>747</v>
      </c>
      <c r="E290" s="5" t="n">
        <v>16</v>
      </c>
      <c r="F290" s="6" t="n">
        <v>74.95</v>
      </c>
      <c r="G290" s="6" t="n">
        <v>124.95</v>
      </c>
      <c r="H290" s="12" t="n">
        <f aca="false">1-F290/G290</f>
        <v>0.40016006402561</v>
      </c>
      <c r="I290" s="13" t="n">
        <v>89.95</v>
      </c>
      <c r="J290" s="6" t="n">
        <f aca="false">ROUNDUP(I290/(1-H290),0)-0.05</f>
        <v>149.95</v>
      </c>
      <c r="K290" s="6" t="n">
        <f aca="false">I290-F290</f>
        <v>15</v>
      </c>
      <c r="L290" s="5" t="s">
        <v>23</v>
      </c>
      <c r="M290" s="5" t="n">
        <v>3</v>
      </c>
      <c r="N290" s="6" t="n">
        <v>112.45</v>
      </c>
      <c r="O290" s="6" t="n">
        <v>124.95</v>
      </c>
      <c r="P290" s="6" t="n">
        <f aca="false">O290-I290</f>
        <v>35</v>
      </c>
    </row>
    <row r="291" customFormat="false" ht="15" hidden="false" customHeight="false" outlineLevel="0" collapsed="false">
      <c r="A291" s="5" t="s">
        <v>748</v>
      </c>
      <c r="B291" s="5" t="s">
        <v>749</v>
      </c>
      <c r="C291" s="5" t="s">
        <v>22</v>
      </c>
      <c r="D291" s="5"/>
      <c r="E291" s="5" t="n">
        <v>45</v>
      </c>
      <c r="F291" s="6" t="n">
        <v>74.95</v>
      </c>
      <c r="G291" s="6" t="n">
        <v>124.95</v>
      </c>
      <c r="H291" s="12" t="n">
        <f aca="false">1-F291/G291</f>
        <v>0.40016006402561</v>
      </c>
      <c r="I291" s="13" t="n">
        <v>89.95</v>
      </c>
      <c r="J291" s="6" t="n">
        <f aca="false">ROUNDUP(I291/(1-H291),0)-0.05</f>
        <v>149.95</v>
      </c>
      <c r="K291" s="6" t="n">
        <f aca="false">I291-F291</f>
        <v>15</v>
      </c>
      <c r="L291" s="5" t="s">
        <v>23</v>
      </c>
      <c r="M291" s="5" t="n">
        <v>3</v>
      </c>
      <c r="N291" s="6" t="n">
        <v>112.45</v>
      </c>
      <c r="O291" s="6" t="n">
        <v>124.95</v>
      </c>
      <c r="P291" s="6" t="n">
        <f aca="false">O291-I291</f>
        <v>35</v>
      </c>
    </row>
    <row r="292" customFormat="false" ht="15" hidden="false" customHeight="false" outlineLevel="0" collapsed="false">
      <c r="A292" s="5" t="s">
        <v>750</v>
      </c>
      <c r="B292" s="5" t="s">
        <v>751</v>
      </c>
      <c r="C292" s="5" t="s">
        <v>22</v>
      </c>
      <c r="D292" s="5"/>
      <c r="E292" s="5" t="n">
        <v>33</v>
      </c>
      <c r="F292" s="6" t="n">
        <v>74.95</v>
      </c>
      <c r="G292" s="6" t="n">
        <v>124.95</v>
      </c>
      <c r="H292" s="12" t="n">
        <f aca="false">1-F292/G292</f>
        <v>0.40016006402561</v>
      </c>
      <c r="I292" s="13" t="n">
        <v>89.95</v>
      </c>
      <c r="J292" s="6" t="n">
        <f aca="false">ROUNDUP(I292/(1-H292),0)-0.05</f>
        <v>149.95</v>
      </c>
      <c r="K292" s="6" t="n">
        <f aca="false">I292-F292</f>
        <v>15</v>
      </c>
      <c r="L292" s="5" t="s">
        <v>23</v>
      </c>
      <c r="M292" s="5" t="n">
        <v>3</v>
      </c>
      <c r="N292" s="6" t="n">
        <v>112.45</v>
      </c>
      <c r="O292" s="6" t="n">
        <v>124.95</v>
      </c>
      <c r="P292" s="6" t="n">
        <f aca="false">O292-I292</f>
        <v>35</v>
      </c>
    </row>
    <row r="293" customFormat="false" ht="15" hidden="false" customHeight="false" outlineLevel="0" collapsed="false">
      <c r="A293" s="5" t="s">
        <v>752</v>
      </c>
      <c r="B293" s="5" t="s">
        <v>753</v>
      </c>
      <c r="C293" s="5" t="s">
        <v>22</v>
      </c>
      <c r="D293" s="5"/>
      <c r="E293" s="5" t="n">
        <v>57</v>
      </c>
      <c r="F293" s="6" t="n">
        <v>74.95</v>
      </c>
      <c r="G293" s="6" t="n">
        <v>136.95</v>
      </c>
      <c r="H293" s="12" t="n">
        <f aca="false">1-F293/G293</f>
        <v>0.45271997079226</v>
      </c>
      <c r="I293" s="13" t="n">
        <v>89.95</v>
      </c>
      <c r="J293" s="6" t="n">
        <f aca="false">ROUNDUP(I293/(1-H293),0)-0.05</f>
        <v>164.95</v>
      </c>
      <c r="K293" s="6" t="n">
        <f aca="false">I293-F293</f>
        <v>15</v>
      </c>
      <c r="L293" s="5" t="s">
        <v>23</v>
      </c>
      <c r="M293" s="5" t="n">
        <v>3</v>
      </c>
      <c r="N293" s="6" t="n">
        <v>112.45</v>
      </c>
      <c r="O293" s="6" t="n">
        <v>124.95</v>
      </c>
      <c r="P293" s="6" t="n">
        <f aca="false">O293-I293</f>
        <v>35</v>
      </c>
    </row>
    <row r="294" customFormat="false" ht="15" hidden="false" customHeight="false" outlineLevel="0" collapsed="false">
      <c r="A294" s="5" t="s">
        <v>754</v>
      </c>
      <c r="B294" s="5" t="s">
        <v>755</v>
      </c>
      <c r="C294" s="5" t="s">
        <v>22</v>
      </c>
      <c r="D294" s="5" t="s">
        <v>756</v>
      </c>
      <c r="E294" s="5" t="n">
        <v>45</v>
      </c>
      <c r="F294" s="6" t="n">
        <v>74.95</v>
      </c>
      <c r="G294" s="6" t="n">
        <v>149.95</v>
      </c>
      <c r="H294" s="12" t="n">
        <f aca="false">1-F294/G294</f>
        <v>0.500166722240747</v>
      </c>
      <c r="I294" s="13" t="n">
        <v>89.95</v>
      </c>
      <c r="J294" s="6" t="n">
        <f aca="false">ROUNDUP(I294/(1-H294),0)-0.05</f>
        <v>179.95</v>
      </c>
      <c r="K294" s="6" t="n">
        <f aca="false">I294-F294</f>
        <v>15</v>
      </c>
      <c r="L294" s="5" t="s">
        <v>23</v>
      </c>
      <c r="M294" s="5" t="n">
        <v>3</v>
      </c>
      <c r="N294" s="6" t="n">
        <v>112.45</v>
      </c>
      <c r="O294" s="6" t="n">
        <v>124.95</v>
      </c>
      <c r="P294" s="6" t="n">
        <f aca="false">O294-I294</f>
        <v>35</v>
      </c>
    </row>
    <row r="295" customFormat="false" ht="15" hidden="false" customHeight="false" outlineLevel="0" collapsed="false">
      <c r="A295" s="5" t="s">
        <v>757</v>
      </c>
      <c r="B295" s="5" t="s">
        <v>758</v>
      </c>
      <c r="C295" s="5" t="s">
        <v>22</v>
      </c>
      <c r="D295" s="5" t="s">
        <v>756</v>
      </c>
      <c r="E295" s="5" t="n">
        <v>30</v>
      </c>
      <c r="F295" s="6" t="n">
        <v>74.95</v>
      </c>
      <c r="G295" s="6" t="n">
        <v>124.95</v>
      </c>
      <c r="H295" s="12" t="n">
        <f aca="false">1-F295/G295</f>
        <v>0.40016006402561</v>
      </c>
      <c r="I295" s="13" t="n">
        <v>89.95</v>
      </c>
      <c r="J295" s="6" t="n">
        <f aca="false">ROUNDUP(I295/(1-H295),0)-0.05</f>
        <v>149.95</v>
      </c>
      <c r="K295" s="6" t="n">
        <f aca="false">I295-F295</f>
        <v>15</v>
      </c>
      <c r="L295" s="5" t="s">
        <v>23</v>
      </c>
      <c r="M295" s="5" t="n">
        <v>3</v>
      </c>
      <c r="N295" s="6" t="n">
        <v>112.45</v>
      </c>
      <c r="O295" s="6" t="n">
        <v>124.95</v>
      </c>
      <c r="P295" s="6" t="n">
        <f aca="false">O295-I295</f>
        <v>35</v>
      </c>
    </row>
    <row r="296" customFormat="false" ht="15" hidden="false" customHeight="false" outlineLevel="0" collapsed="false">
      <c r="A296" s="5" t="s">
        <v>759</v>
      </c>
      <c r="B296" s="5" t="s">
        <v>760</v>
      </c>
      <c r="C296" s="5" t="s">
        <v>22</v>
      </c>
      <c r="D296" s="5" t="s">
        <v>620</v>
      </c>
      <c r="E296" s="5" t="n">
        <v>33</v>
      </c>
      <c r="F296" s="6" t="n">
        <v>74.95</v>
      </c>
      <c r="G296" s="6" t="n">
        <v>149.95</v>
      </c>
      <c r="H296" s="12" t="n">
        <f aca="false">1-F296/G296</f>
        <v>0.500166722240747</v>
      </c>
      <c r="I296" s="13" t="n">
        <v>89.95</v>
      </c>
      <c r="J296" s="6" t="n">
        <f aca="false">ROUNDUP(I296/(1-H296),0)-0.05</f>
        <v>179.95</v>
      </c>
      <c r="K296" s="6" t="n">
        <f aca="false">I296-F296</f>
        <v>15</v>
      </c>
      <c r="L296" s="5" t="s">
        <v>23</v>
      </c>
      <c r="M296" s="5" t="n">
        <v>3</v>
      </c>
      <c r="N296" s="6" t="n">
        <v>112.45</v>
      </c>
      <c r="O296" s="6" t="n">
        <v>124.95</v>
      </c>
      <c r="P296" s="6" t="n">
        <f aca="false">O296-I296</f>
        <v>35</v>
      </c>
    </row>
    <row r="297" customFormat="false" ht="15" hidden="false" customHeight="false" outlineLevel="0" collapsed="false">
      <c r="A297" s="5" t="s">
        <v>761</v>
      </c>
      <c r="B297" s="5" t="s">
        <v>762</v>
      </c>
      <c r="C297" s="5" t="s">
        <v>22</v>
      </c>
      <c r="D297" s="5" t="s">
        <v>763</v>
      </c>
      <c r="E297" s="5" t="n">
        <v>33</v>
      </c>
      <c r="F297" s="6" t="n">
        <v>74.95</v>
      </c>
      <c r="G297" s="6" t="n">
        <v>149.95</v>
      </c>
      <c r="H297" s="12" t="n">
        <f aca="false">1-F297/G297</f>
        <v>0.500166722240747</v>
      </c>
      <c r="I297" s="13" t="n">
        <v>89.95</v>
      </c>
      <c r="J297" s="6" t="n">
        <f aca="false">ROUNDUP(I297/(1-H297),0)-0.05</f>
        <v>179.95</v>
      </c>
      <c r="K297" s="6" t="n">
        <f aca="false">I297-F297</f>
        <v>15</v>
      </c>
      <c r="L297" s="5" t="s">
        <v>23</v>
      </c>
      <c r="M297" s="5" t="n">
        <v>3</v>
      </c>
      <c r="N297" s="6" t="n">
        <v>112.45</v>
      </c>
      <c r="O297" s="6" t="n">
        <v>124.95</v>
      </c>
      <c r="P297" s="6" t="n">
        <f aca="false">O297-I297</f>
        <v>35</v>
      </c>
    </row>
    <row r="298" customFormat="false" ht="15" hidden="false" customHeight="false" outlineLevel="0" collapsed="false">
      <c r="A298" s="5" t="s">
        <v>764</v>
      </c>
      <c r="B298" s="5" t="s">
        <v>765</v>
      </c>
      <c r="C298" s="5" t="s">
        <v>22</v>
      </c>
      <c r="D298" s="5" t="s">
        <v>210</v>
      </c>
      <c r="E298" s="5" t="n">
        <v>36</v>
      </c>
      <c r="F298" s="6" t="n">
        <v>74.95</v>
      </c>
      <c r="G298" s="6" t="n">
        <v>136.95</v>
      </c>
      <c r="H298" s="12" t="n">
        <f aca="false">1-F298/G298</f>
        <v>0.45271997079226</v>
      </c>
      <c r="I298" s="13" t="n">
        <v>89.95</v>
      </c>
      <c r="J298" s="6" t="n">
        <f aca="false">ROUNDUP(I298/(1-H298),0)-0.05</f>
        <v>164.95</v>
      </c>
      <c r="K298" s="6" t="n">
        <f aca="false">I298-F298</f>
        <v>15</v>
      </c>
      <c r="L298" s="5" t="s">
        <v>23</v>
      </c>
      <c r="M298" s="5" t="n">
        <v>3</v>
      </c>
      <c r="N298" s="6" t="n">
        <v>112.45</v>
      </c>
      <c r="O298" s="6" t="n">
        <v>124.95</v>
      </c>
      <c r="P298" s="6" t="n">
        <f aca="false">O298-I298</f>
        <v>35</v>
      </c>
    </row>
    <row r="299" customFormat="false" ht="15" hidden="false" customHeight="false" outlineLevel="0" collapsed="false">
      <c r="A299" s="5" t="s">
        <v>766</v>
      </c>
      <c r="B299" s="5" t="s">
        <v>767</v>
      </c>
      <c r="C299" s="5" t="s">
        <v>22</v>
      </c>
      <c r="D299" s="5" t="s">
        <v>176</v>
      </c>
      <c r="E299" s="5" t="n">
        <v>48</v>
      </c>
      <c r="F299" s="6" t="n">
        <v>74.95</v>
      </c>
      <c r="G299" s="6" t="n">
        <v>149.95</v>
      </c>
      <c r="H299" s="12" t="n">
        <f aca="false">1-F299/G299</f>
        <v>0.500166722240747</v>
      </c>
      <c r="I299" s="13" t="n">
        <v>89.95</v>
      </c>
      <c r="J299" s="6" t="n">
        <f aca="false">ROUNDUP(I299/(1-H299),0)-0.05</f>
        <v>179.95</v>
      </c>
      <c r="K299" s="6" t="n">
        <f aca="false">I299-F299</f>
        <v>15</v>
      </c>
      <c r="L299" s="5" t="s">
        <v>23</v>
      </c>
      <c r="M299" s="5" t="n">
        <v>3</v>
      </c>
      <c r="N299" s="6" t="n">
        <v>112.45</v>
      </c>
      <c r="O299" s="6" t="n">
        <v>124.95</v>
      </c>
      <c r="P299" s="6" t="n">
        <f aca="false">O299-I299</f>
        <v>35</v>
      </c>
    </row>
    <row r="300" customFormat="false" ht="15" hidden="false" customHeight="false" outlineLevel="0" collapsed="false">
      <c r="A300" s="5" t="s">
        <v>768</v>
      </c>
      <c r="B300" s="5" t="s">
        <v>769</v>
      </c>
      <c r="C300" s="5" t="s">
        <v>22</v>
      </c>
      <c r="D300" s="5" t="s">
        <v>718</v>
      </c>
      <c r="E300" s="5" t="n">
        <v>45</v>
      </c>
      <c r="F300" s="6" t="n">
        <v>74.95</v>
      </c>
      <c r="G300" s="6" t="n">
        <v>136.95</v>
      </c>
      <c r="H300" s="12" t="n">
        <f aca="false">1-F300/G300</f>
        <v>0.45271997079226</v>
      </c>
      <c r="I300" s="13" t="n">
        <v>89.95</v>
      </c>
      <c r="J300" s="6" t="n">
        <f aca="false">ROUNDUP(I300/(1-H300),0)-0.05</f>
        <v>164.95</v>
      </c>
      <c r="K300" s="6" t="n">
        <f aca="false">I300-F300</f>
        <v>15</v>
      </c>
      <c r="L300" s="5" t="s">
        <v>23</v>
      </c>
      <c r="M300" s="5" t="n">
        <v>3</v>
      </c>
      <c r="N300" s="6" t="n">
        <v>112.45</v>
      </c>
      <c r="O300" s="6" t="n">
        <v>124.95</v>
      </c>
      <c r="P300" s="6" t="n">
        <f aca="false">O300-I300</f>
        <v>35</v>
      </c>
    </row>
    <row r="301" customFormat="false" ht="15" hidden="false" customHeight="false" outlineLevel="0" collapsed="false">
      <c r="A301" s="5" t="s">
        <v>770</v>
      </c>
      <c r="B301" s="5" t="s">
        <v>771</v>
      </c>
      <c r="C301" s="5" t="s">
        <v>22</v>
      </c>
      <c r="D301" s="5"/>
      <c r="E301" s="5" t="n">
        <v>60</v>
      </c>
      <c r="F301" s="6" t="n">
        <v>74.95</v>
      </c>
      <c r="G301" s="6" t="n">
        <v>136.95</v>
      </c>
      <c r="H301" s="12" t="n">
        <f aca="false">1-F301/G301</f>
        <v>0.45271997079226</v>
      </c>
      <c r="I301" s="13" t="n">
        <v>89.95</v>
      </c>
      <c r="J301" s="6" t="n">
        <f aca="false">ROUNDUP(I301/(1-H301),0)-0.05</f>
        <v>164.95</v>
      </c>
      <c r="K301" s="6" t="n">
        <f aca="false">I301-F301</f>
        <v>15</v>
      </c>
      <c r="L301" s="5" t="s">
        <v>23</v>
      </c>
      <c r="M301" s="5" t="n">
        <v>3</v>
      </c>
      <c r="N301" s="6" t="n">
        <v>112.45</v>
      </c>
      <c r="O301" s="6" t="n">
        <v>124.95</v>
      </c>
      <c r="P301" s="6" t="n">
        <f aca="false">O301-I301</f>
        <v>35</v>
      </c>
    </row>
    <row r="302" customFormat="false" ht="15" hidden="false" customHeight="false" outlineLevel="0" collapsed="false">
      <c r="A302" s="5" t="s">
        <v>772</v>
      </c>
      <c r="B302" s="5" t="s">
        <v>773</v>
      </c>
      <c r="C302" s="5" t="s">
        <v>22</v>
      </c>
      <c r="D302" s="5" t="s">
        <v>718</v>
      </c>
      <c r="E302" s="5" t="n">
        <v>64</v>
      </c>
      <c r="F302" s="6" t="n">
        <v>74.95</v>
      </c>
      <c r="G302" s="6" t="n">
        <v>149.95</v>
      </c>
      <c r="H302" s="12" t="n">
        <f aca="false">1-F302/G302</f>
        <v>0.500166722240747</v>
      </c>
      <c r="I302" s="13" t="n">
        <v>89.95</v>
      </c>
      <c r="J302" s="6" t="n">
        <f aca="false">ROUNDUP(I302/(1-H302),0)-0.05</f>
        <v>179.95</v>
      </c>
      <c r="K302" s="6" t="n">
        <f aca="false">I302-F302</f>
        <v>15</v>
      </c>
      <c r="L302" s="5" t="s">
        <v>23</v>
      </c>
      <c r="M302" s="5" t="n">
        <v>3</v>
      </c>
      <c r="N302" s="6" t="n">
        <v>112.45</v>
      </c>
      <c r="O302" s="6" t="n">
        <v>124.95</v>
      </c>
      <c r="P302" s="6" t="n">
        <f aca="false">O302-I302</f>
        <v>35</v>
      </c>
    </row>
    <row r="303" customFormat="false" ht="15" hidden="false" customHeight="false" outlineLevel="0" collapsed="false">
      <c r="A303" s="5" t="s">
        <v>774</v>
      </c>
      <c r="B303" s="5" t="s">
        <v>775</v>
      </c>
      <c r="C303" s="5" t="s">
        <v>22</v>
      </c>
      <c r="D303" s="5"/>
      <c r="E303" s="5" t="n">
        <v>30</v>
      </c>
      <c r="F303" s="6" t="n">
        <v>74.95</v>
      </c>
      <c r="G303" s="6" t="n">
        <v>124.95</v>
      </c>
      <c r="H303" s="12" t="n">
        <f aca="false">1-F303/G303</f>
        <v>0.40016006402561</v>
      </c>
      <c r="I303" s="13" t="n">
        <v>89.95</v>
      </c>
      <c r="J303" s="6" t="n">
        <f aca="false">ROUNDUP(I303/(1-H303),0)-0.05</f>
        <v>149.95</v>
      </c>
      <c r="K303" s="6" t="n">
        <f aca="false">I303-F303</f>
        <v>15</v>
      </c>
      <c r="L303" s="5" t="s">
        <v>23</v>
      </c>
      <c r="M303" s="5" t="n">
        <v>3</v>
      </c>
      <c r="N303" s="6" t="n">
        <v>112.45</v>
      </c>
      <c r="O303" s="6" t="n">
        <v>124.95</v>
      </c>
      <c r="P303" s="6" t="n">
        <f aca="false">O303-I303</f>
        <v>35</v>
      </c>
    </row>
    <row r="304" customFormat="false" ht="15" hidden="false" customHeight="false" outlineLevel="0" collapsed="false">
      <c r="A304" s="5" t="s">
        <v>776</v>
      </c>
      <c r="B304" s="5" t="s">
        <v>777</v>
      </c>
      <c r="C304" s="5" t="s">
        <v>22</v>
      </c>
      <c r="D304" s="5" t="s">
        <v>718</v>
      </c>
      <c r="E304" s="5" t="n">
        <v>70</v>
      </c>
      <c r="F304" s="6" t="n">
        <v>74.95</v>
      </c>
      <c r="G304" s="6" t="n">
        <v>124.95</v>
      </c>
      <c r="H304" s="12" t="n">
        <f aca="false">1-F304/G304</f>
        <v>0.40016006402561</v>
      </c>
      <c r="I304" s="13" t="n">
        <v>89.95</v>
      </c>
      <c r="J304" s="6" t="n">
        <f aca="false">ROUNDUP(I304/(1-H304),0)-0.05</f>
        <v>149.95</v>
      </c>
      <c r="K304" s="6" t="n">
        <f aca="false">I304-F304</f>
        <v>15</v>
      </c>
      <c r="L304" s="5" t="s">
        <v>23</v>
      </c>
      <c r="M304" s="5" t="n">
        <v>3</v>
      </c>
      <c r="N304" s="6" t="n">
        <v>112.45</v>
      </c>
      <c r="O304" s="6" t="n">
        <v>124.95</v>
      </c>
      <c r="P304" s="6" t="n">
        <f aca="false">O304-I304</f>
        <v>35</v>
      </c>
    </row>
    <row r="305" customFormat="false" ht="15" hidden="false" customHeight="false" outlineLevel="0" collapsed="false">
      <c r="A305" s="5" t="s">
        <v>778</v>
      </c>
      <c r="B305" s="5" t="s">
        <v>779</v>
      </c>
      <c r="C305" s="5" t="s">
        <v>22</v>
      </c>
      <c r="D305" s="5" t="s">
        <v>780</v>
      </c>
      <c r="E305" s="5" t="n">
        <v>84</v>
      </c>
      <c r="F305" s="6" t="n">
        <v>74.95</v>
      </c>
      <c r="G305" s="6" t="n">
        <v>124.95</v>
      </c>
      <c r="H305" s="12" t="n">
        <f aca="false">1-F305/G305</f>
        <v>0.40016006402561</v>
      </c>
      <c r="I305" s="13" t="n">
        <v>89.95</v>
      </c>
      <c r="J305" s="6" t="n">
        <f aca="false">ROUNDUP(I305/(1-H305),0)-0.05</f>
        <v>149.95</v>
      </c>
      <c r="K305" s="6" t="n">
        <f aca="false">I305-F305</f>
        <v>15</v>
      </c>
      <c r="L305" s="5" t="s">
        <v>23</v>
      </c>
      <c r="M305" s="5" t="n">
        <v>3</v>
      </c>
      <c r="N305" s="6" t="n">
        <v>112.45</v>
      </c>
      <c r="O305" s="6" t="n">
        <v>124.95</v>
      </c>
      <c r="P305" s="6" t="n">
        <f aca="false">O305-I305</f>
        <v>35</v>
      </c>
    </row>
    <row r="306" customFormat="false" ht="15" hidden="false" customHeight="false" outlineLevel="0" collapsed="false">
      <c r="A306" s="5" t="s">
        <v>781</v>
      </c>
      <c r="B306" s="5" t="s">
        <v>782</v>
      </c>
      <c r="C306" s="5" t="s">
        <v>22</v>
      </c>
      <c r="D306" s="5" t="s">
        <v>756</v>
      </c>
      <c r="E306" s="5" t="n">
        <v>32</v>
      </c>
      <c r="F306" s="6" t="n">
        <v>74.95</v>
      </c>
      <c r="G306" s="6" t="n">
        <v>124.95</v>
      </c>
      <c r="H306" s="12" t="n">
        <f aca="false">1-F306/G306</f>
        <v>0.40016006402561</v>
      </c>
      <c r="I306" s="13" t="n">
        <v>89.95</v>
      </c>
      <c r="J306" s="6" t="n">
        <f aca="false">ROUNDUP(I306/(1-H306),0)-0.05</f>
        <v>149.95</v>
      </c>
      <c r="K306" s="6" t="n">
        <f aca="false">I306-F306</f>
        <v>15</v>
      </c>
      <c r="L306" s="5" t="s">
        <v>23</v>
      </c>
      <c r="M306" s="5" t="n">
        <v>3</v>
      </c>
      <c r="N306" s="6" t="n">
        <v>112.45</v>
      </c>
      <c r="O306" s="6" t="n">
        <v>124.95</v>
      </c>
      <c r="P306" s="6" t="n">
        <f aca="false">O306-I306</f>
        <v>35</v>
      </c>
    </row>
    <row r="307" customFormat="false" ht="15" hidden="false" customHeight="false" outlineLevel="0" collapsed="false">
      <c r="A307" s="5" t="s">
        <v>783</v>
      </c>
      <c r="B307" s="5" t="s">
        <v>784</v>
      </c>
      <c r="C307" s="5" t="s">
        <v>22</v>
      </c>
      <c r="D307" s="5"/>
      <c r="E307" s="5" t="n">
        <v>45</v>
      </c>
      <c r="F307" s="6" t="n">
        <v>74.95</v>
      </c>
      <c r="G307" s="6" t="n">
        <v>124.95</v>
      </c>
      <c r="H307" s="12" t="n">
        <f aca="false">1-F307/G307</f>
        <v>0.40016006402561</v>
      </c>
      <c r="I307" s="13" t="n">
        <v>89.95</v>
      </c>
      <c r="J307" s="6" t="n">
        <f aca="false">ROUNDUP(I307/(1-H307),0)-0.05</f>
        <v>149.95</v>
      </c>
      <c r="K307" s="6" t="n">
        <f aca="false">I307-F307</f>
        <v>15</v>
      </c>
      <c r="L307" s="5" t="s">
        <v>23</v>
      </c>
      <c r="M307" s="5" t="n">
        <v>3</v>
      </c>
      <c r="N307" s="6" t="n">
        <v>112.45</v>
      </c>
      <c r="O307" s="6" t="n">
        <v>124.95</v>
      </c>
      <c r="P307" s="6" t="n">
        <f aca="false">O307-I307</f>
        <v>35</v>
      </c>
    </row>
    <row r="308" customFormat="false" ht="15" hidden="false" customHeight="false" outlineLevel="0" collapsed="false">
      <c r="A308" s="5" t="s">
        <v>785</v>
      </c>
      <c r="B308" s="5" t="s">
        <v>786</v>
      </c>
      <c r="C308" s="5" t="s">
        <v>22</v>
      </c>
      <c r="D308" s="5" t="s">
        <v>718</v>
      </c>
      <c r="E308" s="5" t="n">
        <v>14</v>
      </c>
      <c r="F308" s="6" t="n">
        <v>74.95</v>
      </c>
      <c r="G308" s="6" t="n">
        <v>136.95</v>
      </c>
      <c r="H308" s="12" t="n">
        <f aca="false">1-F308/G308</f>
        <v>0.45271997079226</v>
      </c>
      <c r="I308" s="13" t="n">
        <v>89.95</v>
      </c>
      <c r="J308" s="6" t="n">
        <f aca="false">ROUNDUP(I308/(1-H308),0)-0.05</f>
        <v>164.95</v>
      </c>
      <c r="K308" s="6" t="n">
        <f aca="false">I308-F308</f>
        <v>15</v>
      </c>
      <c r="L308" s="5" t="s">
        <v>23</v>
      </c>
      <c r="M308" s="5" t="n">
        <v>3</v>
      </c>
      <c r="N308" s="6" t="n">
        <v>112.45</v>
      </c>
      <c r="O308" s="6" t="n">
        <v>124.95</v>
      </c>
      <c r="P308" s="6" t="n">
        <f aca="false">O308-I308</f>
        <v>35</v>
      </c>
    </row>
    <row r="309" customFormat="false" ht="15" hidden="false" customHeight="false" outlineLevel="0" collapsed="false">
      <c r="A309" s="5" t="s">
        <v>787</v>
      </c>
      <c r="B309" s="5" t="s">
        <v>788</v>
      </c>
      <c r="C309" s="5" t="s">
        <v>22</v>
      </c>
      <c r="D309" s="5" t="s">
        <v>718</v>
      </c>
      <c r="E309" s="5" t="n">
        <v>14</v>
      </c>
      <c r="F309" s="6" t="n">
        <v>74.95</v>
      </c>
      <c r="G309" s="6" t="n">
        <v>124.95</v>
      </c>
      <c r="H309" s="12" t="n">
        <f aca="false">1-F309/G309</f>
        <v>0.40016006402561</v>
      </c>
      <c r="I309" s="13" t="n">
        <v>89.95</v>
      </c>
      <c r="J309" s="6" t="n">
        <f aca="false">ROUNDUP(I309/(1-H309),0)-0.05</f>
        <v>149.95</v>
      </c>
      <c r="K309" s="6" t="n">
        <f aca="false">I309-F309</f>
        <v>15</v>
      </c>
      <c r="L309" s="5" t="s">
        <v>23</v>
      </c>
      <c r="M309" s="5" t="n">
        <v>3</v>
      </c>
      <c r="N309" s="6" t="n">
        <v>112.45</v>
      </c>
      <c r="O309" s="6" t="n">
        <v>124.95</v>
      </c>
      <c r="P309" s="6" t="n">
        <f aca="false">O309-I309</f>
        <v>35</v>
      </c>
    </row>
    <row r="310" customFormat="false" ht="15" hidden="false" customHeight="false" outlineLevel="0" collapsed="false">
      <c r="A310" s="5" t="s">
        <v>789</v>
      </c>
      <c r="B310" s="5" t="s">
        <v>790</v>
      </c>
      <c r="C310" s="5" t="s">
        <v>22</v>
      </c>
      <c r="D310" s="5" t="s">
        <v>176</v>
      </c>
      <c r="E310" s="5" t="n">
        <v>27</v>
      </c>
      <c r="F310" s="6" t="n">
        <v>74.95</v>
      </c>
      <c r="G310" s="6" t="n">
        <v>124.95</v>
      </c>
      <c r="H310" s="12" t="n">
        <f aca="false">1-F310/G310</f>
        <v>0.40016006402561</v>
      </c>
      <c r="I310" s="13" t="n">
        <v>89.95</v>
      </c>
      <c r="J310" s="6" t="n">
        <f aca="false">ROUNDUP(I310/(1-H310),0)-0.05</f>
        <v>149.95</v>
      </c>
      <c r="K310" s="6" t="n">
        <f aca="false">I310-F310</f>
        <v>15</v>
      </c>
      <c r="L310" s="5" t="s">
        <v>23</v>
      </c>
      <c r="M310" s="5" t="n">
        <v>3</v>
      </c>
      <c r="N310" s="6" t="n">
        <v>112.45</v>
      </c>
      <c r="O310" s="6" t="n">
        <v>124.95</v>
      </c>
      <c r="P310" s="6" t="n">
        <f aca="false">O310-I310</f>
        <v>35</v>
      </c>
    </row>
    <row r="311" customFormat="false" ht="15" hidden="false" customHeight="false" outlineLevel="0" collapsed="false">
      <c r="A311" s="5" t="s">
        <v>791</v>
      </c>
      <c r="B311" s="5" t="s">
        <v>792</v>
      </c>
      <c r="C311" s="5" t="s">
        <v>22</v>
      </c>
      <c r="D311" s="5"/>
      <c r="E311" s="5" t="n">
        <v>30</v>
      </c>
      <c r="F311" s="6" t="n">
        <v>74.95</v>
      </c>
      <c r="G311" s="6" t="n">
        <v>136.95</v>
      </c>
      <c r="H311" s="12" t="n">
        <f aca="false">1-F311/G311</f>
        <v>0.45271997079226</v>
      </c>
      <c r="I311" s="13" t="n">
        <v>89.95</v>
      </c>
      <c r="J311" s="6" t="n">
        <f aca="false">ROUNDUP(I311/(1-H311),0)-0.05</f>
        <v>164.95</v>
      </c>
      <c r="K311" s="6" t="n">
        <f aca="false">I311-F311</f>
        <v>15</v>
      </c>
      <c r="L311" s="5" t="s">
        <v>23</v>
      </c>
      <c r="M311" s="5" t="n">
        <v>3</v>
      </c>
      <c r="N311" s="6" t="n">
        <v>112.45</v>
      </c>
      <c r="O311" s="6" t="n">
        <v>124.95</v>
      </c>
      <c r="P311" s="6" t="n">
        <f aca="false">O311-I311</f>
        <v>35</v>
      </c>
    </row>
    <row r="312" customFormat="false" ht="15" hidden="false" customHeight="false" outlineLevel="0" collapsed="false">
      <c r="A312" s="5" t="s">
        <v>793</v>
      </c>
      <c r="B312" s="5" t="s">
        <v>794</v>
      </c>
      <c r="C312" s="5" t="s">
        <v>22</v>
      </c>
      <c r="D312" s="5" t="s">
        <v>756</v>
      </c>
      <c r="E312" s="5" t="n">
        <v>30</v>
      </c>
      <c r="F312" s="6" t="n">
        <v>74.95</v>
      </c>
      <c r="G312" s="6" t="n">
        <v>136.95</v>
      </c>
      <c r="H312" s="12" t="n">
        <f aca="false">1-F312/G312</f>
        <v>0.45271997079226</v>
      </c>
      <c r="I312" s="13" t="n">
        <v>89.95</v>
      </c>
      <c r="J312" s="6" t="n">
        <f aca="false">ROUNDUP(I312/(1-H312),0)-0.05</f>
        <v>164.95</v>
      </c>
      <c r="K312" s="6" t="n">
        <f aca="false">I312-F312</f>
        <v>15</v>
      </c>
      <c r="L312" s="5" t="s">
        <v>23</v>
      </c>
      <c r="M312" s="5" t="n">
        <v>3</v>
      </c>
      <c r="N312" s="6" t="n">
        <v>112.45</v>
      </c>
      <c r="O312" s="6" t="n">
        <v>124.95</v>
      </c>
      <c r="P312" s="6" t="n">
        <f aca="false">O312-I312</f>
        <v>35</v>
      </c>
    </row>
    <row r="313" customFormat="false" ht="15" hidden="false" customHeight="false" outlineLevel="0" collapsed="false">
      <c r="A313" s="5" t="s">
        <v>795</v>
      </c>
      <c r="B313" s="5" t="s">
        <v>796</v>
      </c>
      <c r="C313" s="5" t="s">
        <v>22</v>
      </c>
      <c r="D313" s="5" t="s">
        <v>742</v>
      </c>
      <c r="E313" s="5" t="n">
        <v>60</v>
      </c>
      <c r="F313" s="6" t="n">
        <v>74.95</v>
      </c>
      <c r="G313" s="6" t="n">
        <v>136.95</v>
      </c>
      <c r="H313" s="12" t="n">
        <f aca="false">1-F313/G313</f>
        <v>0.45271997079226</v>
      </c>
      <c r="I313" s="13" t="n">
        <v>89.95</v>
      </c>
      <c r="J313" s="6" t="n">
        <f aca="false">ROUNDUP(I313/(1-H313),0)-0.05</f>
        <v>164.95</v>
      </c>
      <c r="K313" s="6" t="n">
        <f aca="false">I313-F313</f>
        <v>15</v>
      </c>
      <c r="L313" s="5" t="s">
        <v>23</v>
      </c>
      <c r="M313" s="5" t="n">
        <v>3</v>
      </c>
      <c r="N313" s="6" t="n">
        <v>112.45</v>
      </c>
      <c r="O313" s="6" t="n">
        <v>124.95</v>
      </c>
      <c r="P313" s="6" t="n">
        <f aca="false">O313-I313</f>
        <v>35</v>
      </c>
    </row>
    <row r="314" customFormat="false" ht="15" hidden="false" customHeight="false" outlineLevel="0" collapsed="false">
      <c r="A314" s="5" t="s">
        <v>797</v>
      </c>
      <c r="B314" s="5" t="s">
        <v>798</v>
      </c>
      <c r="C314" s="5" t="s">
        <v>22</v>
      </c>
      <c r="D314" s="5" t="s">
        <v>756</v>
      </c>
      <c r="E314" s="5" t="n">
        <v>45</v>
      </c>
      <c r="F314" s="6" t="n">
        <v>74.95</v>
      </c>
      <c r="G314" s="6" t="n">
        <v>124.95</v>
      </c>
      <c r="H314" s="12" t="n">
        <f aca="false">1-F314/G314</f>
        <v>0.40016006402561</v>
      </c>
      <c r="I314" s="13" t="n">
        <v>89.95</v>
      </c>
      <c r="J314" s="6" t="n">
        <f aca="false">ROUNDUP(I314/(1-H314),0)-0.05</f>
        <v>149.95</v>
      </c>
      <c r="K314" s="6" t="n">
        <f aca="false">I314-F314</f>
        <v>15</v>
      </c>
      <c r="L314" s="5" t="s">
        <v>23</v>
      </c>
      <c r="M314" s="5" t="n">
        <v>3</v>
      </c>
      <c r="N314" s="6" t="n">
        <v>112.45</v>
      </c>
      <c r="O314" s="6" t="n">
        <v>124.95</v>
      </c>
      <c r="P314" s="6" t="n">
        <f aca="false">O314-I314</f>
        <v>35</v>
      </c>
    </row>
    <row r="315" customFormat="false" ht="15" hidden="false" customHeight="false" outlineLevel="0" collapsed="false">
      <c r="A315" s="5" t="s">
        <v>799</v>
      </c>
      <c r="B315" s="5" t="s">
        <v>800</v>
      </c>
      <c r="C315" s="5" t="s">
        <v>22</v>
      </c>
      <c r="D315" s="5" t="s">
        <v>737</v>
      </c>
      <c r="E315" s="5" t="n">
        <v>54</v>
      </c>
      <c r="F315" s="6" t="n">
        <v>74.95</v>
      </c>
      <c r="G315" s="6" t="n">
        <v>124.95</v>
      </c>
      <c r="H315" s="12" t="n">
        <f aca="false">1-F315/G315</f>
        <v>0.40016006402561</v>
      </c>
      <c r="I315" s="13" t="n">
        <v>89.95</v>
      </c>
      <c r="J315" s="6" t="n">
        <f aca="false">ROUNDUP(I315/(1-H315),0)-0.05</f>
        <v>149.95</v>
      </c>
      <c r="K315" s="6" t="n">
        <f aca="false">I315-F315</f>
        <v>15</v>
      </c>
      <c r="L315" s="5" t="s">
        <v>23</v>
      </c>
      <c r="M315" s="5" t="n">
        <v>3</v>
      </c>
      <c r="N315" s="6" t="n">
        <v>112.45</v>
      </c>
      <c r="O315" s="6" t="n">
        <v>124.95</v>
      </c>
      <c r="P315" s="6" t="n">
        <f aca="false">O315-I315</f>
        <v>35</v>
      </c>
    </row>
    <row r="316" customFormat="false" ht="15" hidden="false" customHeight="false" outlineLevel="0" collapsed="false">
      <c r="A316" s="5" t="s">
        <v>801</v>
      </c>
      <c r="B316" s="5" t="s">
        <v>802</v>
      </c>
      <c r="C316" s="5" t="s">
        <v>22</v>
      </c>
      <c r="D316" s="5" t="s">
        <v>763</v>
      </c>
      <c r="E316" s="5" t="n">
        <v>99</v>
      </c>
      <c r="F316" s="6" t="n">
        <v>74.95</v>
      </c>
      <c r="G316" s="6" t="n">
        <v>136.95</v>
      </c>
      <c r="H316" s="12" t="n">
        <f aca="false">1-F316/G316</f>
        <v>0.45271997079226</v>
      </c>
      <c r="I316" s="13" t="n">
        <v>89.95</v>
      </c>
      <c r="J316" s="6" t="n">
        <f aca="false">ROUNDUP(I316/(1-H316),0)-0.05</f>
        <v>164.95</v>
      </c>
      <c r="K316" s="6" t="n">
        <f aca="false">I316-F316</f>
        <v>15</v>
      </c>
      <c r="L316" s="5" t="s">
        <v>23</v>
      </c>
      <c r="M316" s="5" t="n">
        <v>3</v>
      </c>
      <c r="N316" s="6" t="n">
        <v>112.45</v>
      </c>
      <c r="O316" s="6" t="n">
        <v>124.95</v>
      </c>
      <c r="P316" s="6" t="n">
        <f aca="false">O316-I316</f>
        <v>35</v>
      </c>
    </row>
    <row r="317" customFormat="false" ht="15" hidden="false" customHeight="false" outlineLevel="0" collapsed="false">
      <c r="A317" s="5" t="s">
        <v>803</v>
      </c>
      <c r="B317" s="5" t="s">
        <v>804</v>
      </c>
      <c r="C317" s="5" t="s">
        <v>22</v>
      </c>
      <c r="D317" s="5" t="s">
        <v>737</v>
      </c>
      <c r="E317" s="5" t="n">
        <v>50</v>
      </c>
      <c r="F317" s="6" t="n">
        <v>74.95</v>
      </c>
      <c r="G317" s="6" t="n">
        <v>136.95</v>
      </c>
      <c r="H317" s="12" t="n">
        <f aca="false">1-F317/G317</f>
        <v>0.45271997079226</v>
      </c>
      <c r="I317" s="13" t="n">
        <v>89.95</v>
      </c>
      <c r="J317" s="6" t="n">
        <f aca="false">ROUNDUP(I317/(1-H317),0)-0.05</f>
        <v>164.95</v>
      </c>
      <c r="K317" s="6" t="n">
        <f aca="false">I317-F317</f>
        <v>15</v>
      </c>
      <c r="L317" s="5" t="s">
        <v>23</v>
      </c>
      <c r="M317" s="5" t="n">
        <v>3</v>
      </c>
      <c r="N317" s="6" t="n">
        <v>112.45</v>
      </c>
      <c r="O317" s="6" t="n">
        <v>124.95</v>
      </c>
      <c r="P317" s="6" t="n">
        <f aca="false">O317-I317</f>
        <v>35</v>
      </c>
    </row>
    <row r="318" customFormat="false" ht="15" hidden="false" customHeight="false" outlineLevel="0" collapsed="false">
      <c r="A318" s="5" t="s">
        <v>805</v>
      </c>
      <c r="B318" s="5" t="s">
        <v>806</v>
      </c>
      <c r="C318" s="5" t="s">
        <v>22</v>
      </c>
      <c r="D318" s="5" t="s">
        <v>718</v>
      </c>
      <c r="E318" s="5" t="n">
        <v>20</v>
      </c>
      <c r="F318" s="6" t="n">
        <v>74.95</v>
      </c>
      <c r="G318" s="6" t="n">
        <v>149.95</v>
      </c>
      <c r="H318" s="12" t="n">
        <f aca="false">1-F318/G318</f>
        <v>0.500166722240747</v>
      </c>
      <c r="I318" s="13" t="n">
        <v>89.95</v>
      </c>
      <c r="J318" s="6" t="n">
        <f aca="false">ROUNDUP(I318/(1-H318),0)-0.05</f>
        <v>179.95</v>
      </c>
      <c r="K318" s="6" t="n">
        <f aca="false">I318-F318</f>
        <v>15</v>
      </c>
      <c r="L318" s="5" t="s">
        <v>23</v>
      </c>
      <c r="M318" s="5" t="n">
        <v>3</v>
      </c>
      <c r="N318" s="6" t="n">
        <v>112.45</v>
      </c>
      <c r="O318" s="6" t="n">
        <v>124.95</v>
      </c>
      <c r="P318" s="6" t="n">
        <f aca="false">O318-I318</f>
        <v>35</v>
      </c>
    </row>
    <row r="319" customFormat="false" ht="15" hidden="false" customHeight="false" outlineLevel="0" collapsed="false">
      <c r="A319" s="5" t="s">
        <v>807</v>
      </c>
      <c r="B319" s="5" t="s">
        <v>808</v>
      </c>
      <c r="C319" s="5" t="s">
        <v>22</v>
      </c>
      <c r="D319" s="5" t="s">
        <v>809</v>
      </c>
      <c r="E319" s="5" t="n">
        <v>18</v>
      </c>
      <c r="F319" s="6" t="n">
        <v>74.95</v>
      </c>
      <c r="G319" s="6" t="n">
        <v>124.95</v>
      </c>
      <c r="H319" s="12" t="n">
        <f aca="false">1-F319/G319</f>
        <v>0.40016006402561</v>
      </c>
      <c r="I319" s="13" t="n">
        <v>89.95</v>
      </c>
      <c r="J319" s="6" t="n">
        <f aca="false">ROUNDUP(I319/(1-H319),0)-0.05</f>
        <v>149.95</v>
      </c>
      <c r="K319" s="6" t="n">
        <f aca="false">I319-F319</f>
        <v>15</v>
      </c>
      <c r="L319" s="5" t="s">
        <v>23</v>
      </c>
      <c r="M319" s="5" t="n">
        <v>3</v>
      </c>
      <c r="N319" s="6" t="n">
        <v>112.45</v>
      </c>
      <c r="O319" s="6" t="n">
        <v>124.95</v>
      </c>
      <c r="P319" s="6" t="n">
        <f aca="false">O319-I319</f>
        <v>35</v>
      </c>
    </row>
    <row r="320" customFormat="false" ht="15" hidden="false" customHeight="false" outlineLevel="0" collapsed="false">
      <c r="A320" s="5" t="s">
        <v>810</v>
      </c>
      <c r="B320" s="5" t="s">
        <v>811</v>
      </c>
      <c r="C320" s="5" t="s">
        <v>32</v>
      </c>
      <c r="D320" s="5" t="s">
        <v>718</v>
      </c>
      <c r="E320" s="5" t="n">
        <v>15</v>
      </c>
      <c r="F320" s="6" t="n">
        <v>74.95</v>
      </c>
      <c r="G320" s="6" t="n">
        <v>136.95</v>
      </c>
      <c r="H320" s="12" t="n">
        <f aca="false">1-F320/G320</f>
        <v>0.45271997079226</v>
      </c>
      <c r="I320" s="13" t="n">
        <v>74.95</v>
      </c>
      <c r="J320" s="6" t="n">
        <f aca="false">ROUNDUP(I320/(1-H320),0)-0.05</f>
        <v>136.95</v>
      </c>
      <c r="K320" s="6" t="n">
        <f aca="false">I320-F320</f>
        <v>0</v>
      </c>
      <c r="L320" s="5" t="s">
        <v>33</v>
      </c>
      <c r="M320" s="5" t="n">
        <v>23</v>
      </c>
      <c r="N320" s="6" t="n">
        <v>64.95</v>
      </c>
      <c r="O320" s="6" t="n">
        <v>79.95</v>
      </c>
      <c r="P320" s="6" t="n">
        <f aca="false">O320-I320</f>
        <v>5</v>
      </c>
    </row>
    <row r="321" customFormat="false" ht="15" hidden="false" customHeight="false" outlineLevel="0" collapsed="false">
      <c r="A321" s="5" t="s">
        <v>812</v>
      </c>
      <c r="B321" s="5" t="s">
        <v>813</v>
      </c>
      <c r="C321" s="5" t="s">
        <v>32</v>
      </c>
      <c r="D321" s="5" t="s">
        <v>814</v>
      </c>
      <c r="E321" s="5" t="n">
        <v>44</v>
      </c>
      <c r="F321" s="6" t="n">
        <v>74.95</v>
      </c>
      <c r="G321" s="6" t="n">
        <v>124.95</v>
      </c>
      <c r="H321" s="12" t="n">
        <f aca="false">1-F321/G321</f>
        <v>0.40016006402561</v>
      </c>
      <c r="I321" s="13" t="n">
        <v>74.95</v>
      </c>
      <c r="J321" s="6" t="n">
        <f aca="false">ROUNDUP(I321/(1-H321),0)-0.05</f>
        <v>124.95</v>
      </c>
      <c r="K321" s="6" t="n">
        <f aca="false">I321-F321</f>
        <v>0</v>
      </c>
      <c r="L321" s="5" t="s">
        <v>33</v>
      </c>
      <c r="M321" s="5" t="n">
        <v>23</v>
      </c>
      <c r="N321" s="6" t="n">
        <v>64.95</v>
      </c>
      <c r="O321" s="6" t="n">
        <v>79.95</v>
      </c>
      <c r="P321" s="6" t="n">
        <f aca="false">O321-I321</f>
        <v>5</v>
      </c>
    </row>
    <row r="322" customFormat="false" ht="15" hidden="false" customHeight="false" outlineLevel="0" collapsed="false">
      <c r="A322" s="5" t="s">
        <v>815</v>
      </c>
      <c r="B322" s="5" t="s">
        <v>816</v>
      </c>
      <c r="C322" s="5" t="s">
        <v>32</v>
      </c>
      <c r="D322" s="5" t="s">
        <v>817</v>
      </c>
      <c r="E322" s="5" t="n">
        <v>11</v>
      </c>
      <c r="F322" s="6" t="n">
        <v>74.95</v>
      </c>
      <c r="G322" s="6" t="n">
        <v>136.95</v>
      </c>
      <c r="H322" s="12" t="n">
        <f aca="false">1-F322/G322</f>
        <v>0.45271997079226</v>
      </c>
      <c r="I322" s="13" t="n">
        <v>74.95</v>
      </c>
      <c r="J322" s="6" t="n">
        <f aca="false">ROUNDUP(I322/(1-H322),0)-0.05</f>
        <v>136.95</v>
      </c>
      <c r="K322" s="6" t="n">
        <f aca="false">I322-F322</f>
        <v>0</v>
      </c>
      <c r="L322" s="5" t="s">
        <v>33</v>
      </c>
      <c r="M322" s="5" t="n">
        <v>23</v>
      </c>
      <c r="N322" s="6" t="n">
        <v>64.95</v>
      </c>
      <c r="O322" s="6" t="n">
        <v>79.95</v>
      </c>
      <c r="P322" s="6" t="n">
        <f aca="false">O322-I322</f>
        <v>5</v>
      </c>
    </row>
    <row r="323" customFormat="false" ht="15" hidden="false" customHeight="false" outlineLevel="0" collapsed="false">
      <c r="A323" s="5" t="s">
        <v>818</v>
      </c>
      <c r="B323" s="5" t="s">
        <v>819</v>
      </c>
      <c r="C323" s="5" t="s">
        <v>32</v>
      </c>
      <c r="D323" s="5"/>
      <c r="E323" s="5" t="n">
        <v>38</v>
      </c>
      <c r="F323" s="6" t="n">
        <v>74.95</v>
      </c>
      <c r="G323" s="6" t="n">
        <v>149.95</v>
      </c>
      <c r="H323" s="12" t="n">
        <f aca="false">1-F323/G323</f>
        <v>0.500166722240747</v>
      </c>
      <c r="I323" s="13" t="n">
        <v>74.95</v>
      </c>
      <c r="J323" s="6" t="n">
        <f aca="false">ROUNDUP(I323/(1-H323),0)-0.05</f>
        <v>149.95</v>
      </c>
      <c r="K323" s="6" t="n">
        <f aca="false">I323-F323</f>
        <v>0</v>
      </c>
      <c r="L323" s="5" t="s">
        <v>33</v>
      </c>
      <c r="M323" s="5" t="n">
        <v>23</v>
      </c>
      <c r="N323" s="6" t="n">
        <v>64.95</v>
      </c>
      <c r="O323" s="6" t="n">
        <v>79.95</v>
      </c>
      <c r="P323" s="6" t="n">
        <f aca="false">O323-I323</f>
        <v>5</v>
      </c>
    </row>
    <row r="324" customFormat="false" ht="15" hidden="false" customHeight="false" outlineLevel="0" collapsed="false">
      <c r="A324" s="5" t="s">
        <v>820</v>
      </c>
      <c r="B324" s="5" t="s">
        <v>821</v>
      </c>
      <c r="C324" s="5" t="s">
        <v>32</v>
      </c>
      <c r="D324" s="5" t="s">
        <v>822</v>
      </c>
      <c r="E324" s="5" t="n">
        <v>18</v>
      </c>
      <c r="F324" s="6" t="n">
        <v>74.95</v>
      </c>
      <c r="G324" s="6" t="n">
        <v>136.95</v>
      </c>
      <c r="H324" s="12" t="n">
        <f aca="false">1-F324/G324</f>
        <v>0.45271997079226</v>
      </c>
      <c r="I324" s="13" t="n">
        <v>74.95</v>
      </c>
      <c r="J324" s="6" t="n">
        <f aca="false">ROUNDUP(I324/(1-H324),0)-0.05</f>
        <v>136.95</v>
      </c>
      <c r="K324" s="6" t="n">
        <f aca="false">I324-F324</f>
        <v>0</v>
      </c>
      <c r="L324" s="5" t="s">
        <v>33</v>
      </c>
      <c r="M324" s="5" t="n">
        <v>23</v>
      </c>
      <c r="N324" s="6" t="n">
        <v>64.95</v>
      </c>
      <c r="O324" s="6" t="n">
        <v>79.95</v>
      </c>
      <c r="P324" s="6" t="n">
        <f aca="false">O324-I324</f>
        <v>5</v>
      </c>
    </row>
    <row r="325" customFormat="false" ht="15" hidden="false" customHeight="false" outlineLevel="0" collapsed="false">
      <c r="A325" s="5" t="s">
        <v>823</v>
      </c>
      <c r="B325" s="5" t="s">
        <v>824</v>
      </c>
      <c r="C325" s="5" t="s">
        <v>32</v>
      </c>
      <c r="D325" s="5" t="s">
        <v>718</v>
      </c>
      <c r="E325" s="5" t="n">
        <v>66</v>
      </c>
      <c r="F325" s="6" t="n">
        <v>74.95</v>
      </c>
      <c r="G325" s="6" t="n">
        <v>149.95</v>
      </c>
      <c r="H325" s="12" t="n">
        <f aca="false">1-F325/G325</f>
        <v>0.500166722240747</v>
      </c>
      <c r="I325" s="13" t="n">
        <v>74.95</v>
      </c>
      <c r="J325" s="6" t="n">
        <f aca="false">ROUNDUP(I325/(1-H325),0)-0.05</f>
        <v>149.95</v>
      </c>
      <c r="K325" s="6" t="n">
        <f aca="false">I325-F325</f>
        <v>0</v>
      </c>
      <c r="L325" s="5" t="s">
        <v>33</v>
      </c>
      <c r="M325" s="5" t="n">
        <v>23</v>
      </c>
      <c r="N325" s="6" t="n">
        <v>64.95</v>
      </c>
      <c r="O325" s="6" t="n">
        <v>79.95</v>
      </c>
      <c r="P325" s="6" t="n">
        <f aca="false">O325-I325</f>
        <v>5</v>
      </c>
    </row>
    <row r="326" customFormat="false" ht="15" hidden="false" customHeight="false" outlineLevel="0" collapsed="false">
      <c r="A326" s="5" t="s">
        <v>825</v>
      </c>
      <c r="B326" s="5" t="s">
        <v>826</v>
      </c>
      <c r="C326" s="5" t="s">
        <v>32</v>
      </c>
      <c r="D326" s="5"/>
      <c r="E326" s="5" t="n">
        <v>45</v>
      </c>
      <c r="F326" s="6" t="n">
        <v>74.95</v>
      </c>
      <c r="G326" s="6" t="n">
        <v>149.95</v>
      </c>
      <c r="H326" s="12" t="n">
        <f aca="false">1-F326/G326</f>
        <v>0.500166722240747</v>
      </c>
      <c r="I326" s="13" t="n">
        <v>74.95</v>
      </c>
      <c r="J326" s="6" t="n">
        <f aca="false">ROUNDUP(I326/(1-H326),0)-0.05</f>
        <v>149.95</v>
      </c>
      <c r="K326" s="6" t="n">
        <f aca="false">I326-F326</f>
        <v>0</v>
      </c>
      <c r="L326" s="5" t="s">
        <v>33</v>
      </c>
      <c r="M326" s="5" t="n">
        <v>23</v>
      </c>
      <c r="N326" s="6" t="n">
        <v>64.95</v>
      </c>
      <c r="O326" s="6" t="n">
        <v>79.95</v>
      </c>
      <c r="P326" s="6" t="n">
        <f aca="false">O326-I326</f>
        <v>5</v>
      </c>
    </row>
    <row r="327" customFormat="false" ht="15" hidden="false" customHeight="false" outlineLevel="0" collapsed="false">
      <c r="A327" s="5" t="s">
        <v>827</v>
      </c>
      <c r="B327" s="5" t="s">
        <v>828</v>
      </c>
      <c r="C327" s="5" t="s">
        <v>32</v>
      </c>
      <c r="D327" s="5" t="s">
        <v>718</v>
      </c>
      <c r="E327" s="5" t="n">
        <v>30</v>
      </c>
      <c r="F327" s="6" t="n">
        <v>69.95</v>
      </c>
      <c r="G327" s="6" t="n">
        <v>127.95</v>
      </c>
      <c r="H327" s="12" t="n">
        <f aca="false">1-F327/G327</f>
        <v>0.453302071121532</v>
      </c>
      <c r="I327" s="13" t="n">
        <v>74.95</v>
      </c>
      <c r="J327" s="6" t="n">
        <f aca="false">ROUNDUP(I327/(1-H327),0)-0.05</f>
        <v>137.95</v>
      </c>
      <c r="K327" s="6" t="n">
        <f aca="false">I327-F327</f>
        <v>5</v>
      </c>
      <c r="L327" s="5" t="s">
        <v>33</v>
      </c>
      <c r="M327" s="5" t="n">
        <v>23</v>
      </c>
      <c r="N327" s="6" t="n">
        <v>64.95</v>
      </c>
      <c r="O327" s="6" t="n">
        <v>79.95</v>
      </c>
      <c r="P327" s="6" t="n">
        <f aca="false">O327-I327</f>
        <v>5</v>
      </c>
    </row>
    <row r="328" customFormat="false" ht="15" hidden="false" customHeight="false" outlineLevel="0" collapsed="false">
      <c r="A328" s="5" t="s">
        <v>829</v>
      </c>
      <c r="B328" s="5" t="s">
        <v>830</v>
      </c>
      <c r="C328" s="5" t="s">
        <v>32</v>
      </c>
      <c r="D328" s="5" t="s">
        <v>537</v>
      </c>
      <c r="E328" s="5" t="n">
        <v>60</v>
      </c>
      <c r="F328" s="6" t="n">
        <v>69.95</v>
      </c>
      <c r="G328" s="6" t="n">
        <v>116.95</v>
      </c>
      <c r="H328" s="12" t="n">
        <f aca="false">1-F328/G328</f>
        <v>0.401881145788799</v>
      </c>
      <c r="I328" s="13" t="n">
        <v>74.95</v>
      </c>
      <c r="J328" s="6" t="n">
        <f aca="false">ROUNDUP(I328/(1-H328),0)-0.05</f>
        <v>125.95</v>
      </c>
      <c r="K328" s="6" t="n">
        <f aca="false">I328-F328</f>
        <v>5</v>
      </c>
      <c r="L328" s="5" t="s">
        <v>33</v>
      </c>
      <c r="M328" s="5" t="n">
        <v>23</v>
      </c>
      <c r="N328" s="6" t="n">
        <v>64.95</v>
      </c>
      <c r="O328" s="6" t="n">
        <v>79.95</v>
      </c>
      <c r="P328" s="6" t="n">
        <f aca="false">O328-I328</f>
        <v>5</v>
      </c>
    </row>
    <row r="329" customFormat="false" ht="15" hidden="false" customHeight="false" outlineLevel="0" collapsed="false">
      <c r="A329" s="5" t="s">
        <v>831</v>
      </c>
      <c r="B329" s="5" t="s">
        <v>832</v>
      </c>
      <c r="C329" s="5" t="s">
        <v>32</v>
      </c>
      <c r="D329" s="5" t="s">
        <v>405</v>
      </c>
      <c r="E329" s="5" t="n">
        <v>24</v>
      </c>
      <c r="F329" s="6" t="n">
        <v>69.95</v>
      </c>
      <c r="G329" s="6" t="n">
        <v>139.95</v>
      </c>
      <c r="H329" s="12" t="n">
        <f aca="false">1-F329/G329</f>
        <v>0.500178635226867</v>
      </c>
      <c r="I329" s="13" t="n">
        <v>74.95</v>
      </c>
      <c r="J329" s="6" t="n">
        <f aca="false">ROUNDUP(I329/(1-H329),0)-0.05</f>
        <v>149.95</v>
      </c>
      <c r="K329" s="6" t="n">
        <f aca="false">I329-F329</f>
        <v>5</v>
      </c>
      <c r="L329" s="5" t="s">
        <v>33</v>
      </c>
      <c r="M329" s="5" t="n">
        <v>23</v>
      </c>
      <c r="N329" s="6" t="n">
        <v>64.95</v>
      </c>
      <c r="O329" s="6" t="n">
        <v>79.95</v>
      </c>
      <c r="P329" s="6" t="n">
        <f aca="false">O329-I329</f>
        <v>5</v>
      </c>
    </row>
    <row r="330" customFormat="false" ht="15" hidden="false" customHeight="false" outlineLevel="0" collapsed="false">
      <c r="A330" s="5" t="s">
        <v>833</v>
      </c>
      <c r="B330" s="5" t="s">
        <v>834</v>
      </c>
      <c r="C330" s="5" t="s">
        <v>32</v>
      </c>
      <c r="D330" s="5" t="s">
        <v>822</v>
      </c>
      <c r="E330" s="5" t="n">
        <v>90</v>
      </c>
      <c r="F330" s="6" t="n">
        <v>69.95</v>
      </c>
      <c r="G330" s="6" t="n">
        <v>127.95</v>
      </c>
      <c r="H330" s="12" t="n">
        <f aca="false">1-F330/G330</f>
        <v>0.453302071121532</v>
      </c>
      <c r="I330" s="13" t="n">
        <v>74.95</v>
      </c>
      <c r="J330" s="6" t="n">
        <f aca="false">ROUNDUP(I330/(1-H330),0)-0.05</f>
        <v>137.95</v>
      </c>
      <c r="K330" s="6" t="n">
        <f aca="false">I330-F330</f>
        <v>5</v>
      </c>
      <c r="L330" s="5" t="s">
        <v>33</v>
      </c>
      <c r="M330" s="5" t="n">
        <v>23</v>
      </c>
      <c r="N330" s="6" t="n">
        <v>64.95</v>
      </c>
      <c r="O330" s="6" t="n">
        <v>79.95</v>
      </c>
      <c r="P330" s="6" t="n">
        <f aca="false">O330-I330</f>
        <v>5</v>
      </c>
    </row>
    <row r="331" customFormat="false" ht="15" hidden="false" customHeight="false" outlineLevel="0" collapsed="false">
      <c r="A331" s="5" t="s">
        <v>835</v>
      </c>
      <c r="B331" s="5" t="s">
        <v>836</v>
      </c>
      <c r="C331" s="5" t="s">
        <v>32</v>
      </c>
      <c r="D331" s="5" t="s">
        <v>837</v>
      </c>
      <c r="E331" s="5" t="n">
        <v>24</v>
      </c>
      <c r="F331" s="6" t="n">
        <v>69.95</v>
      </c>
      <c r="G331" s="6" t="n">
        <v>127.95</v>
      </c>
      <c r="H331" s="12" t="n">
        <f aca="false">1-F331/G331</f>
        <v>0.453302071121532</v>
      </c>
      <c r="I331" s="13" t="n">
        <v>74.95</v>
      </c>
      <c r="J331" s="6" t="n">
        <f aca="false">ROUNDUP(I331/(1-H331),0)-0.05</f>
        <v>137.95</v>
      </c>
      <c r="K331" s="6" t="n">
        <f aca="false">I331-F331</f>
        <v>5</v>
      </c>
      <c r="L331" s="5" t="s">
        <v>33</v>
      </c>
      <c r="M331" s="5" t="n">
        <v>23</v>
      </c>
      <c r="N331" s="6" t="n">
        <v>64.95</v>
      </c>
      <c r="O331" s="6" t="n">
        <v>79.95</v>
      </c>
      <c r="P331" s="6" t="n">
        <f aca="false">O331-I331</f>
        <v>5</v>
      </c>
    </row>
    <row r="332" customFormat="false" ht="15" hidden="false" customHeight="false" outlineLevel="0" collapsed="false">
      <c r="A332" s="5" t="s">
        <v>838</v>
      </c>
      <c r="B332" s="5" t="s">
        <v>839</v>
      </c>
      <c r="C332" s="5" t="s">
        <v>32</v>
      </c>
      <c r="D332" s="5" t="s">
        <v>817</v>
      </c>
      <c r="E332" s="5" t="n">
        <v>22</v>
      </c>
      <c r="F332" s="6" t="n">
        <v>69.95</v>
      </c>
      <c r="G332" s="6" t="n">
        <v>116.95</v>
      </c>
      <c r="H332" s="12" t="n">
        <f aca="false">1-F332/G332</f>
        <v>0.401881145788799</v>
      </c>
      <c r="I332" s="13" t="n">
        <v>74.95</v>
      </c>
      <c r="J332" s="6" t="n">
        <f aca="false">ROUNDUP(I332/(1-H332),0)-0.05</f>
        <v>125.95</v>
      </c>
      <c r="K332" s="6" t="n">
        <f aca="false">I332-F332</f>
        <v>5</v>
      </c>
      <c r="L332" s="5" t="s">
        <v>33</v>
      </c>
      <c r="M332" s="5" t="n">
        <v>23</v>
      </c>
      <c r="N332" s="6" t="n">
        <v>64.95</v>
      </c>
      <c r="O332" s="6" t="n">
        <v>79.95</v>
      </c>
      <c r="P332" s="6" t="n">
        <f aca="false">O332-I332</f>
        <v>5</v>
      </c>
    </row>
    <row r="333" customFormat="false" ht="15" hidden="false" customHeight="false" outlineLevel="0" collapsed="false">
      <c r="A333" s="5" t="s">
        <v>840</v>
      </c>
      <c r="B333" s="5" t="s">
        <v>841</v>
      </c>
      <c r="C333" s="5" t="s">
        <v>40</v>
      </c>
      <c r="D333" s="5" t="s">
        <v>842</v>
      </c>
      <c r="E333" s="5" t="n">
        <v>24</v>
      </c>
      <c r="F333" s="6" t="n">
        <v>64.95</v>
      </c>
      <c r="G333" s="6" t="n">
        <v>118.95</v>
      </c>
      <c r="H333" s="12" t="n">
        <f aca="false">1-F333/G333</f>
        <v>0.453972257250946</v>
      </c>
      <c r="I333" s="13" t="n">
        <v>64.95</v>
      </c>
      <c r="J333" s="6" t="n">
        <f aca="false">ROUNDUP(I333/(1-H333),0)-0.05</f>
        <v>118.95</v>
      </c>
      <c r="K333" s="6" t="n">
        <f aca="false">I333-F333</f>
        <v>0</v>
      </c>
      <c r="L333" s="5" t="s">
        <v>17</v>
      </c>
      <c r="M333" s="5" t="n">
        <v>6</v>
      </c>
      <c r="N333" s="6" t="n">
        <v>54.95</v>
      </c>
      <c r="O333" s="6" t="n">
        <v>54.95</v>
      </c>
      <c r="P333" s="6" t="n">
        <f aca="false">O333-I333</f>
        <v>-10</v>
      </c>
    </row>
    <row r="334" customFormat="false" ht="15" hidden="false" customHeight="false" outlineLevel="0" collapsed="false">
      <c r="A334" s="5" t="s">
        <v>843</v>
      </c>
      <c r="B334" s="5" t="s">
        <v>844</v>
      </c>
      <c r="C334" s="5" t="s">
        <v>40</v>
      </c>
      <c r="D334" s="5" t="s">
        <v>183</v>
      </c>
      <c r="E334" s="5" t="n">
        <v>45</v>
      </c>
      <c r="F334" s="6" t="n">
        <v>64.95</v>
      </c>
      <c r="G334" s="6" t="n">
        <v>129.95</v>
      </c>
      <c r="H334" s="12" t="n">
        <f aca="false">1-F334/G334</f>
        <v>0.500192381685264</v>
      </c>
      <c r="I334" s="13" t="n">
        <v>64.95</v>
      </c>
      <c r="J334" s="6" t="n">
        <f aca="false">ROUNDUP(I334/(1-H334),0)-0.05</f>
        <v>129.95</v>
      </c>
      <c r="K334" s="6" t="n">
        <f aca="false">I334-F334</f>
        <v>0</v>
      </c>
      <c r="L334" s="5" t="s">
        <v>17</v>
      </c>
      <c r="M334" s="5" t="n">
        <v>6</v>
      </c>
      <c r="N334" s="6" t="n">
        <v>54.95</v>
      </c>
      <c r="O334" s="6" t="n">
        <v>54.95</v>
      </c>
      <c r="P334" s="6" t="n">
        <f aca="false">O334-I334</f>
        <v>-10</v>
      </c>
    </row>
    <row r="335" customFormat="false" ht="15" hidden="false" customHeight="false" outlineLevel="0" collapsed="false">
      <c r="A335" s="5" t="s">
        <v>845</v>
      </c>
      <c r="B335" s="5" t="s">
        <v>846</v>
      </c>
      <c r="C335" s="5" t="s">
        <v>40</v>
      </c>
      <c r="D335" s="5" t="s">
        <v>256</v>
      </c>
      <c r="E335" s="5" t="n">
        <v>24</v>
      </c>
      <c r="F335" s="6" t="n">
        <v>64.95</v>
      </c>
      <c r="G335" s="6" t="n">
        <v>129.95</v>
      </c>
      <c r="H335" s="12" t="n">
        <f aca="false">1-F335/G335</f>
        <v>0.500192381685264</v>
      </c>
      <c r="I335" s="13" t="n">
        <v>64.95</v>
      </c>
      <c r="J335" s="6" t="n">
        <f aca="false">ROUNDUP(I335/(1-H335),0)-0.05</f>
        <v>129.95</v>
      </c>
      <c r="K335" s="6" t="n">
        <f aca="false">I335-F335</f>
        <v>0</v>
      </c>
      <c r="L335" s="5" t="s">
        <v>17</v>
      </c>
      <c r="M335" s="5" t="n">
        <v>6</v>
      </c>
      <c r="N335" s="6" t="n">
        <v>54.95</v>
      </c>
      <c r="O335" s="6" t="n">
        <v>54.95</v>
      </c>
      <c r="P335" s="6" t="n">
        <f aca="false">O335-I335</f>
        <v>-10</v>
      </c>
    </row>
    <row r="336" customFormat="false" ht="15" hidden="false" customHeight="false" outlineLevel="0" collapsed="false">
      <c r="A336" s="5" t="s">
        <v>847</v>
      </c>
      <c r="B336" s="5" t="s">
        <v>848</v>
      </c>
      <c r="C336" s="5" t="s">
        <v>40</v>
      </c>
      <c r="D336" s="5" t="s">
        <v>849</v>
      </c>
      <c r="E336" s="5" t="n">
        <v>24</v>
      </c>
      <c r="F336" s="6" t="n">
        <v>64.95</v>
      </c>
      <c r="G336" s="6" t="n">
        <v>108.95</v>
      </c>
      <c r="H336" s="12" t="n">
        <f aca="false">1-F336/G336</f>
        <v>0.403854979348325</v>
      </c>
      <c r="I336" s="13" t="n">
        <v>64.95</v>
      </c>
      <c r="J336" s="6" t="n">
        <f aca="false">ROUNDUP(I336/(1-H336),0)-0.05</f>
        <v>108.95</v>
      </c>
      <c r="K336" s="6" t="n">
        <f aca="false">I336-F336</f>
        <v>0</v>
      </c>
      <c r="L336" s="5" t="s">
        <v>17</v>
      </c>
      <c r="M336" s="5" t="n">
        <v>6</v>
      </c>
      <c r="N336" s="6" t="n">
        <v>54.95</v>
      </c>
      <c r="O336" s="6" t="n">
        <v>54.95</v>
      </c>
      <c r="P336" s="6" t="n">
        <f aca="false">O336-I336</f>
        <v>-10</v>
      </c>
    </row>
    <row r="337" customFormat="false" ht="15" hidden="false" customHeight="false" outlineLevel="0" collapsed="false">
      <c r="A337" s="5" t="s">
        <v>850</v>
      </c>
      <c r="B337" s="5" t="s">
        <v>851</v>
      </c>
      <c r="C337" s="5" t="s">
        <v>40</v>
      </c>
      <c r="D337" s="5" t="s">
        <v>302</v>
      </c>
      <c r="E337" s="5" t="n">
        <v>40</v>
      </c>
      <c r="F337" s="6" t="n">
        <v>64.95</v>
      </c>
      <c r="G337" s="6" t="n">
        <v>118.95</v>
      </c>
      <c r="H337" s="12" t="n">
        <f aca="false">1-F337/G337</f>
        <v>0.453972257250946</v>
      </c>
      <c r="I337" s="13" t="n">
        <v>64.95</v>
      </c>
      <c r="J337" s="6" t="n">
        <f aca="false">ROUNDUP(I337/(1-H337),0)-0.05</f>
        <v>118.95</v>
      </c>
      <c r="K337" s="6" t="n">
        <f aca="false">I337-F337</f>
        <v>0</v>
      </c>
      <c r="L337" s="5" t="s">
        <v>17</v>
      </c>
      <c r="M337" s="5" t="n">
        <v>6</v>
      </c>
      <c r="N337" s="6" t="n">
        <v>54.95</v>
      </c>
      <c r="O337" s="6" t="n">
        <v>54.95</v>
      </c>
      <c r="P337" s="6" t="n">
        <f aca="false">O337-I337</f>
        <v>-10</v>
      </c>
    </row>
    <row r="338" customFormat="false" ht="15" hidden="false" customHeight="false" outlineLevel="0" collapsed="false">
      <c r="A338" s="5" t="s">
        <v>852</v>
      </c>
      <c r="B338" s="5" t="s">
        <v>853</v>
      </c>
      <c r="C338" s="5" t="s">
        <v>41</v>
      </c>
      <c r="D338" s="5" t="s">
        <v>854</v>
      </c>
      <c r="E338" s="5" t="n">
        <v>25</v>
      </c>
      <c r="F338" s="6" t="n">
        <v>59.95</v>
      </c>
      <c r="G338" s="6" t="n">
        <v>119.95</v>
      </c>
      <c r="H338" s="12" t="n">
        <f aca="false">1-F338/G338</f>
        <v>0.500208420175073</v>
      </c>
      <c r="I338" s="13" t="n">
        <v>64.95</v>
      </c>
      <c r="J338" s="6" t="n">
        <f aca="false">ROUNDUP(I338/(1-H338),0)-0.05</f>
        <v>129.95</v>
      </c>
      <c r="K338" s="6" t="n">
        <f aca="false">I338-F338</f>
        <v>5</v>
      </c>
      <c r="L338" s="5" t="s">
        <v>39</v>
      </c>
      <c r="M338" s="5" t="n">
        <v>22</v>
      </c>
      <c r="N338" s="6" t="n">
        <v>71.2</v>
      </c>
      <c r="O338" s="6" t="n">
        <v>79.95</v>
      </c>
      <c r="P338" s="6" t="n">
        <f aca="false">O338-I338</f>
        <v>15</v>
      </c>
    </row>
    <row r="339" customFormat="false" ht="15" hidden="false" customHeight="false" outlineLevel="0" collapsed="false">
      <c r="A339" s="5" t="s">
        <v>855</v>
      </c>
      <c r="B339" s="5" t="s">
        <v>856</v>
      </c>
      <c r="C339" s="5" t="s">
        <v>41</v>
      </c>
      <c r="D339" s="5" t="s">
        <v>633</v>
      </c>
      <c r="E339" s="5" t="n">
        <v>18</v>
      </c>
      <c r="F339" s="6" t="n">
        <v>59.95</v>
      </c>
      <c r="G339" s="6" t="n">
        <v>108.95</v>
      </c>
      <c r="H339" s="12" t="n">
        <f aca="false">1-F339/G339</f>
        <v>0.449747590637907</v>
      </c>
      <c r="I339" s="13" t="n">
        <v>64.95</v>
      </c>
      <c r="J339" s="6" t="n">
        <f aca="false">ROUNDUP(I339/(1-H339),0)-0.05</f>
        <v>118.95</v>
      </c>
      <c r="K339" s="6" t="n">
        <f aca="false">I339-F339</f>
        <v>5</v>
      </c>
      <c r="L339" s="5" t="s">
        <v>39</v>
      </c>
      <c r="M339" s="5" t="n">
        <v>22</v>
      </c>
      <c r="N339" s="6" t="n">
        <v>71.2</v>
      </c>
      <c r="O339" s="6" t="n">
        <v>79.95</v>
      </c>
      <c r="P339" s="6" t="n">
        <f aca="false">O339-I339</f>
        <v>15</v>
      </c>
    </row>
    <row r="340" customFormat="false" ht="15" hidden="false" customHeight="false" outlineLevel="0" collapsed="false">
      <c r="A340" s="5" t="s">
        <v>857</v>
      </c>
      <c r="B340" s="5" t="s">
        <v>858</v>
      </c>
      <c r="C340" s="5" t="s">
        <v>41</v>
      </c>
      <c r="D340" s="5" t="s">
        <v>633</v>
      </c>
      <c r="E340" s="5" t="n">
        <v>28</v>
      </c>
      <c r="F340" s="6" t="n">
        <v>59.95</v>
      </c>
      <c r="G340" s="6" t="n">
        <v>108.95</v>
      </c>
      <c r="H340" s="12" t="n">
        <f aca="false">1-F340/G340</f>
        <v>0.449747590637907</v>
      </c>
      <c r="I340" s="13" t="n">
        <v>64.95</v>
      </c>
      <c r="J340" s="6" t="n">
        <f aca="false">ROUNDUP(I340/(1-H340),0)-0.05</f>
        <v>118.95</v>
      </c>
      <c r="K340" s="6" t="n">
        <f aca="false">I340-F340</f>
        <v>5</v>
      </c>
      <c r="L340" s="5" t="s">
        <v>39</v>
      </c>
      <c r="M340" s="5" t="n">
        <v>22</v>
      </c>
      <c r="N340" s="6" t="n">
        <v>71.2</v>
      </c>
      <c r="O340" s="6" t="n">
        <v>79.95</v>
      </c>
      <c r="P340" s="6" t="n">
        <f aca="false">O340-I340</f>
        <v>15</v>
      </c>
    </row>
    <row r="341" customFormat="false" ht="15" hidden="false" customHeight="false" outlineLevel="0" collapsed="false">
      <c r="A341" s="5" t="s">
        <v>859</v>
      </c>
      <c r="B341" s="5" t="s">
        <v>858</v>
      </c>
      <c r="C341" s="5" t="s">
        <v>41</v>
      </c>
      <c r="D341" s="5" t="s">
        <v>84</v>
      </c>
      <c r="E341" s="5" t="n">
        <v>35</v>
      </c>
      <c r="F341" s="6" t="n">
        <v>59.95</v>
      </c>
      <c r="G341" s="6" t="n">
        <v>99.95</v>
      </c>
      <c r="H341" s="12" t="n">
        <f aca="false">1-F341/G341</f>
        <v>0.400200100050025</v>
      </c>
      <c r="I341" s="13" t="n">
        <v>64.95</v>
      </c>
      <c r="J341" s="6" t="n">
        <f aca="false">ROUNDUP(I341/(1-H341),0)-0.05</f>
        <v>108.95</v>
      </c>
      <c r="K341" s="6" t="n">
        <f aca="false">I341-F341</f>
        <v>5</v>
      </c>
      <c r="L341" s="5" t="s">
        <v>39</v>
      </c>
      <c r="M341" s="5" t="n">
        <v>22</v>
      </c>
      <c r="N341" s="6" t="n">
        <v>71.2</v>
      </c>
      <c r="O341" s="6" t="n">
        <v>79.95</v>
      </c>
      <c r="P341" s="6" t="n">
        <f aca="false">O341-I341</f>
        <v>15</v>
      </c>
    </row>
    <row r="342" customFormat="false" ht="15" hidden="false" customHeight="false" outlineLevel="0" collapsed="false">
      <c r="A342" s="5" t="s">
        <v>860</v>
      </c>
      <c r="B342" s="5" t="s">
        <v>861</v>
      </c>
      <c r="C342" s="5" t="s">
        <v>44</v>
      </c>
      <c r="D342" s="5" t="s">
        <v>249</v>
      </c>
      <c r="E342" s="5" t="n">
        <v>18</v>
      </c>
      <c r="F342" s="6" t="n">
        <v>54.95</v>
      </c>
      <c r="G342" s="6" t="n">
        <v>99.95</v>
      </c>
      <c r="H342" s="12" t="n">
        <f aca="false">1-F342/G342</f>
        <v>0.450225112556278</v>
      </c>
      <c r="I342" s="13" t="n">
        <v>64.95</v>
      </c>
      <c r="J342" s="6" t="n">
        <f aca="false">ROUNDUP(I342/(1-H342),0)-0.05</f>
        <v>118.95</v>
      </c>
      <c r="K342" s="6" t="n">
        <f aca="false">I342-F342</f>
        <v>10</v>
      </c>
      <c r="L342" s="5" t="s">
        <v>15</v>
      </c>
      <c r="M342" s="5" t="n">
        <v>6</v>
      </c>
      <c r="N342" s="6" t="n">
        <v>66.2</v>
      </c>
      <c r="O342" s="6" t="n">
        <v>69.95</v>
      </c>
      <c r="P342" s="6" t="n">
        <f aca="false">O342-I342</f>
        <v>5</v>
      </c>
    </row>
  </sheetData>
  <autoFilter ref="A1:P3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2026-09-24T09:46:18Z</dcterms:created>
  <dc:creator>openpyxl</dc:creator>
  <dc:description/>
  <dc:language>en-US</dc:language>
  <cp:lastModifiedBy/>
  <dcterms:modified xsi:type="dcterms:W3CDTF">2026-09-24T09:46:18Z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