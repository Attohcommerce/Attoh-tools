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s" sheetId="1" state="visible" r:id="rId3"/>
    <sheet name="Voorstel" sheetId="2" state="visible" r:id="rId4"/>
    <sheet name="Samenvatting" sheetId="3" state="visible" r:id="rId5"/>
    <sheet name="Mar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<sst xmlns="http://schemas.openxmlformats.org/spreadsheetml/2006/main" count="1070" uniqueCount="735">
  <si>
    <t xml:space="preserve">LGB — prijsarchitectuur (AUD), gericht op conversie</t>
  </si>
  <si>
    <t xml:space="preserve">Blauwe cellen zijn de enige die je hier aanpast. Voorstel, Samenvatting en Marge rekenen hierop door.</t>
  </si>
  <si>
    <t xml:space="preserve">Groep</t>
  </si>
  <si>
    <t xml:space="preserve">Nieuwe prijs</t>
  </si>
  <si>
    <t xml:space="preserve">In euro</t>
  </si>
  <si>
    <t xml:space="preserve">Nu in de store</t>
  </si>
  <si>
    <t xml:space="preserve">Tops &amp; blouses</t>
  </si>
  <si>
    <t xml:space="preserve">71 producten, A$34.95 – A$69.95 (mediaan A$44.95)</t>
  </si>
  <si>
    <t xml:space="preserve">Swimwear</t>
  </si>
  <si>
    <t xml:space="preserve">5 producten, A$44.95 – A$44.95 (mediaan A$44.95)</t>
  </si>
  <si>
    <t xml:space="preserve">Shorts &amp; rokken</t>
  </si>
  <si>
    <t xml:space="preserve">28 producten, A$34.95 – A$69.95 (mediaan A$44.95)</t>
  </si>
  <si>
    <t xml:space="preserve">Sandalen &amp; slippers</t>
  </si>
  <si>
    <t xml:space="preserve">26 producten, A$49.95 – A$54.95 (mediaan A$54.95)</t>
  </si>
  <si>
    <t xml:space="preserve">Broeken</t>
  </si>
  <si>
    <t xml:space="preserve">9 producten, A$44.95 – A$59.95 (mediaan A$59.95)</t>
  </si>
  <si>
    <t xml:space="preserve">Knitwear &amp; cardigans</t>
  </si>
  <si>
    <t xml:space="preserve">6 producten, A$59.95 – A$59.95 (mediaan A$59.95)</t>
  </si>
  <si>
    <t xml:space="preserve">Platte schoenen &amp; loafers</t>
  </si>
  <si>
    <t xml:space="preserve">24 producten, A$54.95 – A$64.95 (mediaan A$64.95)</t>
  </si>
  <si>
    <t xml:space="preserve">Jurken</t>
  </si>
  <si>
    <t xml:space="preserve">107 producten, A$49.95 – A$69.95 (mediaan A$69.95)</t>
  </si>
  <si>
    <t xml:space="preserve">Hakken</t>
  </si>
  <si>
    <t xml:space="preserve">15 producten, A$64.95 – A$64.95 (mediaan A$64.95)</t>
  </si>
  <si>
    <t xml:space="preserve">Sneakers</t>
  </si>
  <si>
    <t xml:space="preserve">4 producten, A$69.95 – A$69.95 (mediaan A$69.95)</t>
  </si>
  <si>
    <t xml:space="preserve">Boots</t>
  </si>
  <si>
    <t xml:space="preserve">13 producten, A$59.95 – A$79.95 (mediaan A$79.95)</t>
  </si>
  <si>
    <t xml:space="preserve">Outerwear</t>
  </si>
  <si>
    <t xml:space="preserve">8 producten, A$69.95 – A$89.95 (mediaan A$89.95)</t>
  </si>
  <si>
    <t xml:space="preserve">Instellingen</t>
  </si>
  <si>
    <t xml:space="preserve">Uniforme korting gebruiken? (ja/nee)</t>
  </si>
  <si>
    <t xml:space="preserve">nee</t>
  </si>
  <si>
    <t xml:space="preserve">Koers AUD naar EUR</t>
  </si>
  <si>
    <t xml:space="preserve">Uniforme korting</t>
  </si>
  <si>
    <t xml:space="preserve">Aannames</t>
  </si>
  <si>
    <t xml:space="preserve">Bron: products_export_1.csv, geleverd door Justin op 20-09-2026 — 316 producten, 9.022 varianten, alle varianten van een product hebben dezelfde prijs.</t>
  </si>
  <si>
    <t xml:space="preserve">Koers 1 AUD = 0,6209 EUR (exchange-rates.org, 18-09-2026). Alleen om te toetsen of een prijs in euro nog redelijk is; de store rekent in AUD.</t>
  </si>
  <si>
    <t xml:space="preserve">Elke prijs eindigt op ,95. Compare-at wordt naar boven afgerond op een heel dollarbedrag min A$0,05, dus die eindigt ook op ,95.</t>
  </si>
  <si>
    <t xml:space="preserve">Geen verkoop- of inkoopdata in de export. De margeberekening op het tabblad Marge werkt met percentages die jij zelf invult.</t>
  </si>
  <si>
    <t xml:space="preserve">15 van de 316 producten hebben "Men's" in de titel terwijl LGB een dames-store is — zie de opmerking in Samenvatting.</t>
  </si>
  <si>
    <t xml:space="preserve">LGB — prijsvoorstel per product</t>
  </si>
  <si>
    <t xml:space="preserve">Geel = door jou aan te passen. Vul "Handmatig" alleen als je van de tierprijs wilt afwijken.</t>
  </si>
  <si>
    <t xml:space="preserve">Handle</t>
  </si>
  <si>
    <t xml:space="preserve">Titel</t>
  </si>
  <si>
    <t xml:space="preserve">Huidige prijs</t>
  </si>
  <si>
    <t xml:space="preserve">Tierprijs</t>
  </si>
  <si>
    <t xml:space="preserve">Handmatig</t>
  </si>
  <si>
    <t xml:space="preserve">Verschil</t>
  </si>
  <si>
    <t xml:space="preserve">Verschil %</t>
  </si>
  <si>
    <t xml:space="preserve">Actie</t>
  </si>
  <si>
    <t xml:space="preserve">Let op</t>
  </si>
  <si>
    <t xml:space="preserve">Nieuw in euro</t>
  </si>
  <si>
    <t xml:space="preserve">Huidige compare-at</t>
  </si>
  <si>
    <t xml:space="preserve">Huidige korting</t>
  </si>
  <si>
    <t xml:space="preserve">Doelkorting</t>
  </si>
  <si>
    <t xml:space="preserve">Nieuwe compare-at</t>
  </si>
  <si>
    <t xml:space="preserve">Nieuwe korting</t>
  </si>
  <si>
    <t xml:space="preserve">Varianten</t>
  </si>
  <si>
    <t xml:space="preserve">mens-tank-top-hooded-v-neck-sleeveless-zip-closure</t>
  </si>
  <si>
    <t xml:space="preserve">Men's Tank Top | Hooded V-Neck Sleeveless Zip Closure</t>
  </si>
  <si>
    <t xml:space="preserve">mens-tank-top-v-neck-sleeveless-knit-relaxed</t>
  </si>
  <si>
    <t xml:space="preserve">Men's Tank Top | V-Neck Sleeveless Knit Relaxed</t>
  </si>
  <si>
    <t xml:space="preserve">womens-bikini-cover-up-mesh-knit-scalloped-hem-loose-fit</t>
  </si>
  <si>
    <t xml:space="preserve">Women's Bikini Cover Up | Mesh Knit Scalloped Hem Loose Fit</t>
  </si>
  <si>
    <t xml:space="preserve">womens-bikini-cover-up-midi-length-button-front-long-sleeve</t>
  </si>
  <si>
    <t xml:space="preserve">Women's Bikini Cover Up | Midi Length Button Front Long Sleeve</t>
  </si>
  <si>
    <t xml:space="preserve">womens-bikini-cover-up-midi-mesh-knit-long-sleeve-scalloped</t>
  </si>
  <si>
    <t xml:space="preserve">Women's Bikini Cover Up | Midi Mesh Knit Long Sleeve Scalloped</t>
  </si>
  <si>
    <t xml:space="preserve">womens-bikini-cover-up-v-neck-long-sleeve-tie-front-print</t>
  </si>
  <si>
    <t xml:space="preserve">Women's Bikini Cover Up | V-Neck Long Sleeve Tie Front Print</t>
  </si>
  <si>
    <t xml:space="preserve">womens-bikini-cover-up-v-neck-striped-short-sleeve-midi</t>
  </si>
  <si>
    <t xml:space="preserve">Women's Bikini Cover Up | V-Neck Striped Short Sleeve Midi</t>
  </si>
  <si>
    <t xml:space="preserve">womens-bikini-cover-up-v-neck-three-quarter-sleeve-linen-tie-front</t>
  </si>
  <si>
    <t xml:space="preserve">Women's Bikini Cover Up | V-Neck Three-Quarter Sleeve Linen Tie Front</t>
  </si>
  <si>
    <t xml:space="preserve">womens-blouse-peter-pan-collar-button-front-linen</t>
  </si>
  <si>
    <t xml:space="preserve">Women's Blouse | Peter Pan Collar Button Front Linen</t>
  </si>
  <si>
    <t xml:space="preserve">womens-blouse-ruffle-sleeve-floral-print-v-neck</t>
  </si>
  <si>
    <t xml:space="preserve">Women's Blouse | Ruffle Sleeve Floral Print V-Neck</t>
  </si>
  <si>
    <t xml:space="preserve">womens-blouse-v-neck-short-sleeve-relaxed-fit-1</t>
  </si>
  <si>
    <t xml:space="preserve">Women's Blouse | V-Neck Short Sleeve Relaxed Fit</t>
  </si>
  <si>
    <t xml:space="preserve">womens-blouse-v-neck-short-sleeve-relaxed-fit</t>
  </si>
  <si>
    <t xml:space="preserve">womens-blouse-v-neck-sleeveless-button-front</t>
  </si>
  <si>
    <t xml:space="preserve">Women's Blouse | V-Neck Sleeveless Button Front</t>
  </si>
  <si>
    <t xml:space="preserve">womens-christmas-shirt-crew-neck-short-sleeve-graphic-print</t>
  </si>
  <si>
    <t xml:space="preserve">Women's Christmas Shirt | Crew Neck Short Sleeve Graphic Print</t>
  </si>
  <si>
    <t xml:space="preserve">womens-christmas-shirt-sequin-collared-long-sleeve-button</t>
  </si>
  <si>
    <t xml:space="preserve">Women's Christmas Shirt | Sequin Collared Long Sleeve Button</t>
  </si>
  <si>
    <t xml:space="preserve">womens-christmas-shirt-v-neck-short-sleeve-knit-relaxed</t>
  </si>
  <si>
    <t xml:space="preserve">Women's Christmas Shirt | V-Neck Short Sleeve Knit Relaxed</t>
  </si>
  <si>
    <t xml:space="preserve">womens-corset-top-high-top-lace-up-mesh-cushioned-sole</t>
  </si>
  <si>
    <t xml:space="preserve">Women's Corset Top | High-Top Lace-Up Mesh Cushioned Sole</t>
  </si>
  <si>
    <t xml:space="preserve">womens-corset-top-round-neckline-long-sleeve-button-closure-knit</t>
  </si>
  <si>
    <t xml:space="preserve">Women's Corset Top | Round Neckline Long Sleeve Button Closure Knit</t>
  </si>
  <si>
    <t xml:space="preserve">womens-corset-top-square-neckline-camisole-satin-sleeveless</t>
  </si>
  <si>
    <t xml:space="preserve">Women's Corset Top | Square Neckline Camisole Satin Sleeveless</t>
  </si>
  <si>
    <t xml:space="preserve">womens-corset-top-sweetheart-neckline-mesh-embroidered-lace</t>
  </si>
  <si>
    <t xml:space="preserve">Women's Corset Top | Sweetheart Neckline Mesh Embroidered Lace</t>
  </si>
  <si>
    <t xml:space="preserve">womens-green-sundress-wrap-front-v-neckline-midi-chiffon</t>
  </si>
  <si>
    <t xml:space="preserve">Women's Green Sundress | Wrap Front V-Neckline Midi Chiffon</t>
  </si>
  <si>
    <t xml:space="preserve">womens-halter-neck-top-cold-shoulder-knit-turtleneck</t>
  </si>
  <si>
    <t xml:space="preserve">Women's Halter Neck Top | Cold Shoulder Knit Turtleneck</t>
  </si>
  <si>
    <t xml:space="preserve">womens-halter-neck-top-crochet-knit-v-neckline-fringe-hem</t>
  </si>
  <si>
    <t xml:space="preserve">Women's Halter Neck Top | Crochet Knit V-Neckline Fringe Hem</t>
  </si>
  <si>
    <t xml:space="preserve">womens-halter-neck-top-crossover-halter-denim-button-front</t>
  </si>
  <si>
    <t xml:space="preserve">Women's Halter Neck Top | Crossover Halter Denim Button Front</t>
  </si>
  <si>
    <t xml:space="preserve">womens-halter-neck-top-crossover-neckline-sleeveless-fitted</t>
  </si>
  <si>
    <t xml:space="preserve">Women's Halter Neck Top | Crossover Neckline Sleeveless Fitted</t>
  </si>
  <si>
    <t xml:space="preserve">womens-halter-neck-top-high-neckline-metal-ring-knit-sleeveless</t>
  </si>
  <si>
    <t xml:space="preserve">Women's Halter Neck Top | High Neckline Metal Ring Knit Sleeveless</t>
  </si>
  <si>
    <t xml:space="preserve">womens-halter-neck-top-ruffled-front-sleeveless-high-neck</t>
  </si>
  <si>
    <t xml:space="preserve">Women's Halter Neck Top | Ruffled Front Sleeveless High Neck</t>
  </si>
  <si>
    <t xml:space="preserve">womens-lace-cami-lace-trim-v-neck-spaghetti-strap-sleeveless</t>
  </si>
  <si>
    <t xml:space="preserve">Women's Lace Cami | Lace Trim V-Neck Spaghetti Strap Sleeveless</t>
  </si>
  <si>
    <t xml:space="preserve">womens-lace-cami-mock-neck-sleeveless-floral-lace</t>
  </si>
  <si>
    <t xml:space="preserve">Women's Lace Cami | Mock Neck Sleeveless Floral Lace</t>
  </si>
  <si>
    <t xml:space="preserve">womens-lace-cami-v-neck-satin-asymmetrical-hem-adjustable-straps</t>
  </si>
  <si>
    <t xml:space="preserve">Women's Lace Cami | V Neck Satin Asymmetrical Hem Adjustable Straps</t>
  </si>
  <si>
    <t xml:space="preserve">womens-lace-cami-v-neck-spaghetti-strap-satin</t>
  </si>
  <si>
    <t xml:space="preserve">Women's Lace Cami | V-Neck Spaghetti Strap Satin</t>
  </si>
  <si>
    <t xml:space="preserve">womens-long-sleeve-top-crew-neck-striped-knit</t>
  </si>
  <si>
    <t xml:space="preserve">Women's Long Sleeve Top | Crew Neck Striped Knit</t>
  </si>
  <si>
    <t xml:space="preserve">womens-long-sleeve-top-crew-neck-waffle-knit-regular-fit</t>
  </si>
  <si>
    <t xml:space="preserve">Women's Long Sleeve Top | Crew Neck Waffle Knit Regular Fit</t>
  </si>
  <si>
    <t xml:space="preserve">womens-long-sleeve-top-draped-cowl-neck-velvet-raglan</t>
  </si>
  <si>
    <t xml:space="preserve">Women's Long Sleeve Top | Draped Cowl Neck Velvet Raglan</t>
  </si>
  <si>
    <t xml:space="preserve">womens-long-sleeve-top-off-shoulder-v-neck-relaxed-fit</t>
  </si>
  <si>
    <t xml:space="preserve">Women's Long Sleeve Top | Off Shoulder V Neck Relaxed Fit</t>
  </si>
  <si>
    <t xml:space="preserve">womens-long-sleeve-top-v-neck-button-front-relaxed-fit</t>
  </si>
  <si>
    <t xml:space="preserve">Women's Long Sleeve Top | V-Neck Button Front Relaxed Fit</t>
  </si>
  <si>
    <t xml:space="preserve">womens-off-the-shoulder-top-cold-shoulder-denim-long-sleeve</t>
  </si>
  <si>
    <t xml:space="preserve">Women's Off The Shoulder Top | Cold Shoulder Denim Long Sleeve</t>
  </si>
  <si>
    <t xml:space="preserve">womens-off-the-shoulder-top-draped-neckline-cap-sleeve</t>
  </si>
  <si>
    <t xml:space="preserve">Women's Off The Shoulder Top | Draped Neckline Cap Sleeve</t>
  </si>
  <si>
    <t xml:space="preserve">womens-off-the-shoulder-top-ruffle-neckline-long-sleeve</t>
  </si>
  <si>
    <t xml:space="preserve">Women's Off The Shoulder Top | Ruffle Neckline Long Sleeve</t>
  </si>
  <si>
    <t xml:space="preserve">womens-red-top-stand-collar-short-sleeve-structured</t>
  </si>
  <si>
    <t xml:space="preserve">Women's Red Top | Stand Collar Short Sleeve Structured</t>
  </si>
  <si>
    <t xml:space="preserve">womens-red-top-textured-round-neckline-short-sleeve</t>
  </si>
  <si>
    <t xml:space="preserve">Women's Red Top | Textured Round Neckline Short Sleeve</t>
  </si>
  <si>
    <t xml:space="preserve">womens-red-top-v-neck-plaid-raglan-long-sleeve-cotton-blend</t>
  </si>
  <si>
    <t xml:space="preserve">Women's Red Top | V Neck Plaid Raglan Long Sleeve Cotton Blend</t>
  </si>
  <si>
    <t xml:space="preserve">womens-red-top-v-neck-floral-print-three-quarter-sleeve</t>
  </si>
  <si>
    <t xml:space="preserve">Women's Red Top | V-Neck Floral Print Three-Quarter Sleeve</t>
  </si>
  <si>
    <t xml:space="preserve">womens-red-top-wrap-v-neck-satin-bubble-sleeve</t>
  </si>
  <si>
    <t xml:space="preserve">Women's Red Top | Wrap V-Neck Satin Bubble Sleeve</t>
  </si>
  <si>
    <t xml:space="preserve">womens-sequin-top-mesh-sleeves-round-neck-long-sleeve</t>
  </si>
  <si>
    <t xml:space="preserve">Women's Sequin Top | Mesh Sleeves Round Neck Long Sleeve</t>
  </si>
  <si>
    <t xml:space="preserve">womens-sequin-top-one-shoulder-long-sleeve-fitted</t>
  </si>
  <si>
    <t xml:space="preserve">Women's Sequin Top | One Shoulder Long Sleeve Fitted</t>
  </si>
  <si>
    <t xml:space="preserve">womens-sequin-top-v-neck-long-sleeve-glitter-1</t>
  </si>
  <si>
    <t xml:space="preserve">Women's Sequin Top | V-Neck Long Sleeve Glitter</t>
  </si>
  <si>
    <t xml:space="preserve">womens-sequin-top-v-neck-long-sleeve-glitter</t>
  </si>
  <si>
    <t xml:space="preserve">womens-sequin-top-v-neck-long-sleeve-sparkle</t>
  </si>
  <si>
    <t xml:space="preserve">Women's Sequin Top | V-Neck Long Sleeve Sparkle</t>
  </si>
  <si>
    <t xml:space="preserve">womens-striped-blouse-round-neck-roll-tab-sleeves-curved-hem</t>
  </si>
  <si>
    <t xml:space="preserve">Women's Striped Blouse | Round Neck Roll-Tab Sleeves Curved Hem</t>
  </si>
  <si>
    <t xml:space="preserve">womens-t-shirt-floral-print-round-neckline-short-sleeve</t>
  </si>
  <si>
    <t xml:space="preserve">Women's T Shirt | Floral Print Round Neckline Short Sleeve</t>
  </si>
  <si>
    <t xml:space="preserve">womens-t-shirt-oversized-relaxed-fit-crew-neck-short-sleeve</t>
  </si>
  <si>
    <t xml:space="preserve">Women's T Shirt | Oversized Relaxed Fit Crew Neck Short Sleeve</t>
  </si>
  <si>
    <t xml:space="preserve">womens-t-shirt-v-neck-short-sleeve-cotton</t>
  </si>
  <si>
    <t xml:space="preserve">Women's T Shirt | V-Neck Short Sleeve Cotton</t>
  </si>
  <si>
    <t xml:space="preserve">womens-t-shirt-v-neck-short-sleeve-relaxed-fit</t>
  </si>
  <si>
    <t xml:space="preserve">Women's T Shirt | V-Neck Short Sleeve Relaxed Fit</t>
  </si>
  <si>
    <t xml:space="preserve">womens-tank-top-deep-v-neck-sleeveless-satin</t>
  </si>
  <si>
    <t xml:space="preserve">Women's Tank Top | Deep V-Neck Sleeveless Satin</t>
  </si>
  <si>
    <t xml:space="preserve">womens-tank-top-mock-neck-sleeveless-casual-fit</t>
  </si>
  <si>
    <t xml:space="preserve">Women's Tank Top | Mock Neck Sleeveless Casual Fit</t>
  </si>
  <si>
    <t xml:space="preserve">womens-tank-top-round-neck-sleeveless-polka-dot-print</t>
  </si>
  <si>
    <t xml:space="preserve">Women's Tank Top | Round Neck Sleeveless Polka Dot Print</t>
  </si>
  <si>
    <t xml:space="preserve">womens-tank-top-shirt-collar-long-sleeve-mesh</t>
  </si>
  <si>
    <t xml:space="preserve">Women's Tank Top | Shirt Collar Long Sleeve Mesh</t>
  </si>
  <si>
    <t xml:space="preserve">womens-tank-top-stand-collar-long-sleeve-cotton-polka-dot</t>
  </si>
  <si>
    <t xml:space="preserve">Women's Tank Top | Stand Collar Long Sleeve Cotton Polka Dot</t>
  </si>
  <si>
    <t xml:space="preserve">womens-tank-top-v-neck-twist-front-sleeveless-knit</t>
  </si>
  <si>
    <t xml:space="preserve">Women's Tank Top | V-Neck Twist-Front Sleeveless Knit</t>
  </si>
  <si>
    <t xml:space="preserve">womens-top-cowl-neck-sleeveless-draped-satin</t>
  </si>
  <si>
    <t xml:space="preserve">Women's Top | Cowl Neck Sleeveless Draped Satin</t>
  </si>
  <si>
    <t xml:space="preserve">womens-top-halter-neck-sleeveless-cropped-drawstring</t>
  </si>
  <si>
    <t xml:space="preserve">Women's Top | Halter Neck Sleeveless Cropped Drawstring</t>
  </si>
  <si>
    <t xml:space="preserve">womens-top-roll-collar-sleeveless-linen</t>
  </si>
  <si>
    <t xml:space="preserve">Women's Top | Roll Collar Sleeveless Linen</t>
  </si>
  <si>
    <t xml:space="preserve">womens-top-v-neck-short-sleeve-henley-button-casual</t>
  </si>
  <si>
    <t xml:space="preserve">Women's Top | V-Neck Short Sleeve Henley Button Casual</t>
  </si>
  <si>
    <t xml:space="preserve">womens-top-v-neck-short-sleeve-polyester</t>
  </si>
  <si>
    <t xml:space="preserve">Women's Top | V-Neck Short Sleeve Polyester</t>
  </si>
  <si>
    <t xml:space="preserve">womens-white-top-v-neck-button-closure-relaxed-linen</t>
  </si>
  <si>
    <t xml:space="preserve">Women's White Top | V-Neck Button Closure Relaxed Linen</t>
  </si>
  <si>
    <t xml:space="preserve">womens-white-top-v-neck-open-knit-relaxed-elbow-length</t>
  </si>
  <si>
    <t xml:space="preserve">Women's White Top | V-Neck Open-Knit Relaxed Elbow-Length</t>
  </si>
  <si>
    <t xml:space="preserve">womens-white-top-v-neck-ruffle-sleeve-blouse-knit</t>
  </si>
  <si>
    <t xml:space="preserve">Women's White Top | V-Neck Ruffle Sleeve Blouse Knit</t>
  </si>
  <si>
    <t xml:space="preserve">womens-white-top-v-neck-sleeveless-lace-scalloped-hem</t>
  </si>
  <si>
    <t xml:space="preserve">Women's White Top | V-Neck Sleeveless Lace Scalloped Hem</t>
  </si>
  <si>
    <t xml:space="preserve">womens-white-top-v-neck-wrap-sleeveless-knit</t>
  </si>
  <si>
    <t xml:space="preserve">Women's White Top | V-Neck Wrap Sleeveless Knit</t>
  </si>
  <si>
    <t xml:space="preserve">womens-t-shirt-striped-crew-neck-long-sleeve-knit</t>
  </si>
  <si>
    <t xml:space="preserve">Women's t shirt | Striped Crew Neck Long Sleeve Knit</t>
  </si>
  <si>
    <t xml:space="preserve">womens-bandeau-bikini-criss-cross-v-neck-high-waist-ruched</t>
  </si>
  <si>
    <t xml:space="preserve">Women's Bandeau Bikini | Criss-Cross V-Neck High-Waist Ruched</t>
  </si>
  <si>
    <t xml:space="preserve">womens-bandeau-bikini-halter-neckline-striped-print-high-waist</t>
  </si>
  <si>
    <t xml:space="preserve">Women's Bandeau Bikini | Halter Neckline Striped Print High Waist</t>
  </si>
  <si>
    <t xml:space="preserve">womens-bandeau-bikini-ruffled-fabric-sweetheart-neckline-high-waist</t>
  </si>
  <si>
    <t xml:space="preserve">Women's Bandeau Bikini | Ruffled Fabric Sweetheart Neckline High Waist</t>
  </si>
  <si>
    <t xml:space="preserve">womens-bandeau-bikini-strapless-push-up-tie-back</t>
  </si>
  <si>
    <t xml:space="preserve">Women's Bandeau Bikini | Strapless Push-Up Tie Back</t>
  </si>
  <si>
    <t xml:space="preserve">womens-bandeau-bikini-sweetheart-neckline-ruched-high-waist</t>
  </si>
  <si>
    <t xml:space="preserve">Women's Bandeau Bikini | Sweetheart Neckline Ruched High Waist</t>
  </si>
  <si>
    <t xml:space="preserve">mens-denim-shorts-pixel-pattern-relaxed-fit-five-pocket</t>
  </si>
  <si>
    <t xml:space="preserve">Men's Denim Shorts | Pixel Pattern Relaxed Fit Five Pocket</t>
  </si>
  <si>
    <t xml:space="preserve">mens-mini-shorts-drawstring-relaxed-fit-knee-length</t>
  </si>
  <si>
    <t xml:space="preserve">Men's Mini Shorts | Drawstring Relaxed Fit Knee-Length</t>
  </si>
  <si>
    <t xml:space="preserve">mens-tailored-dress-shorts-flat-front-button-closure-relaxed-fit</t>
  </si>
  <si>
    <t xml:space="preserve">Men's Tailored Dress Shorts | Flat Front Button Closure Relaxed Fit</t>
  </si>
  <si>
    <t xml:space="preserve">mens-white-linen-shorts-pleated-tailored-high-rise</t>
  </si>
  <si>
    <t xml:space="preserve">Men's White Linen Shorts | Pleated Tailored High-Rise</t>
  </si>
  <si>
    <t xml:space="preserve">mens-white-linen-shorts-relaxed-fit-lightweight-breathable</t>
  </si>
  <si>
    <t xml:space="preserve">Men's White Linen Shorts | Relaxed Fit Lightweight Breathable</t>
  </si>
  <si>
    <t xml:space="preserve">womens-denim-shorts-collared-shirt-closure-button-pocket</t>
  </si>
  <si>
    <t xml:space="preserve">Women's Denim Shorts | Collared Shirt Closure Button Pocket</t>
  </si>
  <si>
    <t xml:space="preserve">womens-denim-shorts-distressed-frayed-hem-mid-rise</t>
  </si>
  <si>
    <t xml:space="preserve">Women's Denim Shorts | Distressed Frayed Hem Mid-Rise</t>
  </si>
  <si>
    <t xml:space="preserve">womens-denim-shorts-distressed-mid-rise-frayed-hem</t>
  </si>
  <si>
    <t xml:space="preserve">Women's Denim Shorts | Distressed Mid-Rise Frayed Hem</t>
  </si>
  <si>
    <t xml:space="preserve">womens-denim-shorts-high-waist-oversized-wide-leg-denim</t>
  </si>
  <si>
    <t xml:space="preserve">Women's Denim Shorts | High Waist Oversized Wide Leg Denim</t>
  </si>
  <si>
    <t xml:space="preserve">womens-denim-shorts-high-waisted-pleated-rolled-hem</t>
  </si>
  <si>
    <t xml:space="preserve">Women's Denim Shorts | High Waisted Pleated Rolled Hem</t>
  </si>
  <si>
    <t xml:space="preserve">womens-denim-shorts-high-rise-baggy-relaxed-washed</t>
  </si>
  <si>
    <t xml:space="preserve">Women's Denim Shorts | High-Rise Baggy Relaxed Washed</t>
  </si>
  <si>
    <t xml:space="preserve">womens-denim-shorts-high-rise-wide-leg-rolled-cuffs</t>
  </si>
  <si>
    <t xml:space="preserve">Women's Denim Shorts | High-Rise Wide-Leg Rolled Cuffs</t>
  </si>
  <si>
    <t xml:space="preserve">womens-denim-shorts-mini-length-high-waisted-button-fly</t>
  </si>
  <si>
    <t xml:space="preserve">Women's Denim Shorts | Mini Length High Waisted Button Fly</t>
  </si>
  <si>
    <t xml:space="preserve">womens-denim-shorts-sleeveless-button-front-top-wide-leg</t>
  </si>
  <si>
    <t xml:space="preserve">Women's Denim Shorts | Sleeveless Button-Front Top Wide-Leg</t>
  </si>
  <si>
    <t xml:space="preserve">womens-green-sundress-midi-collared-short-sleeve-linen</t>
  </si>
  <si>
    <t xml:space="preserve">Women's Green Sundress | Midi Collared Short Sleeve Linen</t>
  </si>
  <si>
    <t xml:space="preserve">womens-green-sundress-midi-tiered-v-neck-short-sleeve</t>
  </si>
  <si>
    <t xml:space="preserve">Women's Green Sundress | Midi Tiered V-Neck Short Sleeve</t>
  </si>
  <si>
    <t xml:space="preserve">womens-shorts-camp-collar-button-front-short-sleeve</t>
  </si>
  <si>
    <t xml:space="preserve">Women's Shorts | Camp Collar Button Front Short Sleeve</t>
  </si>
  <si>
    <t xml:space="preserve">womens-shorts-elastic-waist-relaxed-fit-mid-thigh</t>
  </si>
  <si>
    <t xml:space="preserve">Women's Shorts | Elastic Waist Relaxed Fit Mid-Thigh</t>
  </si>
  <si>
    <t xml:space="preserve">womens-shorts-high-waist-linen-pleated-side-pockets</t>
  </si>
  <si>
    <t xml:space="preserve">Women's Shorts | High Waist Linen Pleated Side Pockets</t>
  </si>
  <si>
    <t xml:space="preserve">womens-shorts-relaxed-fit-drawstring-elastic-waist</t>
  </si>
  <si>
    <t xml:space="preserve">Women's Shorts | Relaxed Fit Drawstring Elastic Waist</t>
  </si>
  <si>
    <t xml:space="preserve">womens-shorts-wrap-front-relaxed-fit-linen</t>
  </si>
  <si>
    <t xml:space="preserve">Women's Shorts | Wrap Front Relaxed Fit Linen</t>
  </si>
  <si>
    <t xml:space="preserve">womens-tailored-dress-shorts-high-waist-relaxed-knee-length</t>
  </si>
  <si>
    <t xml:space="preserve">Women's Tailored Dress Shorts | High Waist Relaxed Knee Length</t>
  </si>
  <si>
    <t xml:space="preserve">womens-tailored-dress-shorts-knee-length-elastic-waist-pockets</t>
  </si>
  <si>
    <t xml:space="preserve">Women's Tailored Dress Shorts | Knee Length Elastic Waist Pockets</t>
  </si>
  <si>
    <t xml:space="preserve">womens-tailored-dress-shorts-knee-length-side-pockets-polyester</t>
  </si>
  <si>
    <t xml:space="preserve">Women's Tailored Dress Shorts | Knee Length Side Pockets Polyester</t>
  </si>
  <si>
    <t xml:space="preserve">womens-tailored-dress-shorts-straight-leg-knee-length-linen</t>
  </si>
  <si>
    <t xml:space="preserve">Women's Tailored Dress Shorts | Straight Leg Knee Length Linen</t>
  </si>
  <si>
    <t xml:space="preserve">womens-white-linen-shorts-bermuda-length-relaxed-fit-adjustable-waist</t>
  </si>
  <si>
    <t xml:space="preserve">Women's White Linen Shorts | Bermuda Length Relaxed Fit Adjustable Waist</t>
  </si>
  <si>
    <t xml:space="preserve">womens-white-linen-shorts-high-rise-relaxed-leg-button-detail</t>
  </si>
  <si>
    <t xml:space="preserve">Women's White Linen Shorts | High-Rise Relaxed Leg Button Detail</t>
  </si>
  <si>
    <t xml:space="preserve">womens-white-linen-shorts-oversized-button-front-relaxed-fit</t>
  </si>
  <si>
    <t xml:space="preserve">Women's White Linen Shorts | Oversized Button Front Relaxed Fit</t>
  </si>
  <si>
    <t xml:space="preserve">black-sandals-for-women-cross-strap-leather-open-toe-buckle</t>
  </si>
  <si>
    <t xml:space="preserve">Black Sandals For Women | Cross-Strap Leather Open Toe Buckle</t>
  </si>
  <si>
    <t xml:space="preserve">mens-closed-toe-sandals-leather-strap-reinforced-toe-non-slip</t>
  </si>
  <si>
    <t xml:space="preserve">Men's Closed Toe Sandals | Leather Strap Reinforced Toe Non-Slip</t>
  </si>
  <si>
    <t xml:space="preserve">sandals-for-women-open-toe-t-strap-ankle-buckle-flat</t>
  </si>
  <si>
    <t xml:space="preserve">Sandals For Women | Open Toe T-Strap Ankle Buckle Flat</t>
  </si>
  <si>
    <t xml:space="preserve">womens-black-sandals-butterfly-embellished-open-toe-flat-sole-slide</t>
  </si>
  <si>
    <t xml:space="preserve">Women's Black Sandals | Butterfly Embellished Open Toe Flat Sole Slide</t>
  </si>
  <si>
    <t xml:space="preserve">womens-black-sandals-open-toe-buckle-strap-cutout</t>
  </si>
  <si>
    <t xml:space="preserve">Women's Black Sandals | Open Toe Buckle Strap Cutout</t>
  </si>
  <si>
    <t xml:space="preserve">womens-black-sandals-platform-ankle-strap-open-toe</t>
  </si>
  <si>
    <t xml:space="preserve">Women's Black Sandals | Platform Ankle Strap Open Toe</t>
  </si>
  <si>
    <t xml:space="preserve">womens-black-sandals-polka-dot-strap-flip-flop-slip-on</t>
  </si>
  <si>
    <t xml:space="preserve">Women's Black Sandals | Polka Dot Strap Flip Flop Slip-On</t>
  </si>
  <si>
    <t xml:space="preserve">womens-black-sandals-square-toe-strappy-ankle-buckle</t>
  </si>
  <si>
    <t xml:space="preserve">Women's Black Sandals | Square Toe Strappy Ankle Buckle</t>
  </si>
  <si>
    <t xml:space="preserve">womens-closed-toe-sandals-adjustable-ankle-strap-leather-wedge</t>
  </si>
  <si>
    <t xml:space="preserve">Women's Closed Toe Sandals | Adjustable Ankle Strap Leather Wedge</t>
  </si>
  <si>
    <t xml:space="preserve">womens-closed-toe-sandals-ankle-tie-open-sides-wedge</t>
  </si>
  <si>
    <t xml:space="preserve">Women's Closed Toe Sandals | Ankle Tie Open Sides Wedge</t>
  </si>
  <si>
    <t xml:space="preserve">womens-closed-toe-sandals-buckle-strap-suede-cut-out-mule</t>
  </si>
  <si>
    <t xml:space="preserve">Women's Closed Toe Sandals | Buckle Strap Suede Cut-Out Mule</t>
  </si>
  <si>
    <t xml:space="preserve">womens-platform-sandals-open-toe-buckle-strap-espadrille</t>
  </si>
  <si>
    <t xml:space="preserve">Women's Platform Sandals | Open Toe Buckle Strap Espadrille</t>
  </si>
  <si>
    <t xml:space="preserve">womens-platform-sandals-open-toe-buckle-woven-studded</t>
  </si>
  <si>
    <t xml:space="preserve">Women's Platform Sandals | Open Toe Buckle Woven Studded</t>
  </si>
  <si>
    <t xml:space="preserve">womens-platform-sandals-open-toe-slip-on-woven-textured-sole</t>
  </si>
  <si>
    <t xml:space="preserve">Women's Platform Sandals | Open Toe Slip On Woven Textured Sole</t>
  </si>
  <si>
    <t xml:space="preserve">womens-platform-sandals-open-toe-strappy-wedge-cushioned</t>
  </si>
  <si>
    <t xml:space="preserve">Women's Platform Sandals | Open Toe Strappy Wedge Cushioned</t>
  </si>
  <si>
    <t xml:space="preserve">womens-platform-sandals-open-toe-velcro-cushioned</t>
  </si>
  <si>
    <t xml:space="preserve">Women's Platform Sandals | Open Toe Velcro Cushioned</t>
  </si>
  <si>
    <t xml:space="preserve">womens-platform-sandals-thong-strap-two-tone-buckle-studded</t>
  </si>
  <si>
    <t xml:space="preserve">Women's Platform Sandals | Thong Strap Two-Tone Buckle Studded</t>
  </si>
  <si>
    <t xml:space="preserve">womens-platform-sandals-wedge-heel-open-toe-ankle-strap</t>
  </si>
  <si>
    <t xml:space="preserve">Women's Platform Sandals | Wedge Heel Open Toe Ankle Strap</t>
  </si>
  <si>
    <t xml:space="preserve">womens-sandals-closed-toe-adjustable-heel-strap-suede</t>
  </si>
  <si>
    <t xml:space="preserve">Women's Sandals | Closed Toe Adjustable Heel Strap Suede</t>
  </si>
  <si>
    <t xml:space="preserve">womens-sandals-open-square-toe-block-heel-buckle-strap</t>
  </si>
  <si>
    <t xml:space="preserve">Women's Sandals | Open Square Toe Block Heel Buckle Strap</t>
  </si>
  <si>
    <t xml:space="preserve">womens-sandals-open-toe-block-heel-adjustable-strap</t>
  </si>
  <si>
    <t xml:space="preserve">Women's Sandals | Open Toe Block Heel Adjustable Strap</t>
  </si>
  <si>
    <t xml:space="preserve">womens-sandals-open-toe-buckle-wedge-cushioned</t>
  </si>
  <si>
    <t xml:space="preserve">Women's Sandals | Open Toe Buckle Wedge Cushioned</t>
  </si>
  <si>
    <t xml:space="preserve">womens-sandals-open-toe-platform-buckle-suede</t>
  </si>
  <si>
    <t xml:space="preserve">Women's Sandals | Open Toe Platform Buckle Suede</t>
  </si>
  <si>
    <t xml:space="preserve">womens-sandals-open-toe-slingback-metal-buckle</t>
  </si>
  <si>
    <t xml:space="preserve">Women's Sandals | Open Toe Slingback Metal Buckle</t>
  </si>
  <si>
    <t xml:space="preserve">womens-sandals-platform-heel-open-toe-ankle-strap</t>
  </si>
  <si>
    <t xml:space="preserve">Women's Sandals | Platform Heel Open Toe Ankle Strap</t>
  </si>
  <si>
    <t xml:space="preserve">womens-sandals-strappy-wedge-sole-open-toe-orthopedic</t>
  </si>
  <si>
    <t xml:space="preserve">Women's Sandals | Strappy Wedge Sole Open Toe Orthopedic</t>
  </si>
  <si>
    <t xml:space="preserve">womens-linen-pants-drawstring-waist-relaxed-straight-leg-cuffed</t>
  </si>
  <si>
    <t xml:space="preserve">Women's Linen Pants | Drawstring Waist Relaxed Straight Leg Cuffed</t>
  </si>
  <si>
    <t xml:space="preserve">womens-linen-pants-elastic-waist-cropped-wide-leg</t>
  </si>
  <si>
    <t xml:space="preserve">Women's Linen Pants | Elastic Waist Cropped Wide Leg</t>
  </si>
  <si>
    <t xml:space="preserve">womens-linen-pants-floral-print-casual-elastic-waist</t>
  </si>
  <si>
    <t xml:space="preserve">Women's Linen Pants | Floral Print Casual Elastic Waist</t>
  </si>
  <si>
    <t xml:space="preserve">womens-linen-pants-high-neck-sleeveless-turtleneck-pleated-wide-leg</t>
  </si>
  <si>
    <t xml:space="preserve">Women's Linen Pants | High Neck Sleeveless Turtleneck Pleated Wide Leg</t>
  </si>
  <si>
    <t xml:space="preserve">womens-linen-pants-relaxed-fit-cropped-v-notch-pockets</t>
  </si>
  <si>
    <t xml:space="preserve">Women's Linen Pants | Relaxed Fit Cropped V-Notch Pockets</t>
  </si>
  <si>
    <t xml:space="preserve">womens-linen-pants-wide-leg-drawstring-crew-neck-sleeveless</t>
  </si>
  <si>
    <t xml:space="preserve">Women's Linen Pants | Wide Leg Drawstring Crew Neck Sleeveless</t>
  </si>
  <si>
    <t xml:space="preserve">womens-linen-pants-wide-leg-relaxed-fit-drawstring-elastic-waist</t>
  </si>
  <si>
    <t xml:space="preserve">Women's Linen Pants | Wide Leg Relaxed Fit Drawstring Elastic Waist</t>
  </si>
  <si>
    <t xml:space="preserve">womens-linen-pants-wide-leg-relaxed-fit-elastic-waist</t>
  </si>
  <si>
    <t xml:space="preserve">Women's Linen Pants | Wide Leg Relaxed Fit Elastic Waist</t>
  </si>
  <si>
    <t xml:space="preserve">womens-linen-pants-wide-leg-drawstring-waist-relaxed-fit</t>
  </si>
  <si>
    <t xml:space="preserve">Women's Linen Pants | Wide-leg Drawstring Waist Relaxed Fit</t>
  </si>
  <si>
    <t xml:space="preserve">mens-cardigan-cable-knit-zip-mock-neck-ribbed</t>
  </si>
  <si>
    <t xml:space="preserve">Men's Cardigan | Cable Knit Zip Mock Neck Ribbed</t>
  </si>
  <si>
    <t xml:space="preserve">mens-cardigan-textured-knit-stand-collar-button-front</t>
  </si>
  <si>
    <t xml:space="preserve">Men's Cardigan | Textured Knit Stand Collar Button Front</t>
  </si>
  <si>
    <t xml:space="preserve">womens-cardigan-collared-button-front-knit</t>
  </si>
  <si>
    <t xml:space="preserve">Women's Cardigan | Collared Button Front Knit</t>
  </si>
  <si>
    <t xml:space="preserve">womens-cardigan-fair-isle-knit-crew-neck-button-closure</t>
  </si>
  <si>
    <t xml:space="preserve">Women's Cardigan | Fair Isle Knit Crew Neck Button Closure</t>
  </si>
  <si>
    <t xml:space="preserve">womens-cardigan-fair-isle-pattern-button-closure-knit</t>
  </si>
  <si>
    <t xml:space="preserve">Women's Cardigan | Fair Isle Pattern Button Closure Knit</t>
  </si>
  <si>
    <t xml:space="preserve">womens-cardigan-merino-knit-crew-neck-button-closure</t>
  </si>
  <si>
    <t xml:space="preserve">Women's Cardigan | Merino Knit Crew Neck Button Closure</t>
  </si>
  <si>
    <t xml:space="preserve">mens-boat-shoe-leather-lace-closure-rounded-toe</t>
  </si>
  <si>
    <t xml:space="preserve">Men's Boat Shoe | Leather Lace Closure Rounded Toe</t>
  </si>
  <si>
    <t xml:space="preserve">mens-lace-up-shoe-leather-upper-round-toe-oxford</t>
  </si>
  <si>
    <t xml:space="preserve">Men's Lace-Up Shoe | Leather Upper Round Toe Oxford</t>
  </si>
  <si>
    <t xml:space="preserve">mens-lace-up-shoe-suede-oxford-round-toe-flat</t>
  </si>
  <si>
    <t xml:space="preserve">Men's Lace-Up Shoe | Suede Oxford Round Toe Flat</t>
  </si>
  <si>
    <t xml:space="preserve">mens-shoe-lace-up-casual-comfort-print</t>
  </si>
  <si>
    <t xml:space="preserve">Men's Shoe | Lace-Up Casual Comfort Print</t>
  </si>
  <si>
    <t xml:space="preserve">mens-shoe-lace-up-derby-polished-leather</t>
  </si>
  <si>
    <t xml:space="preserve">Men's Shoe | Lace-Up Derby Polished Leather</t>
  </si>
  <si>
    <t xml:space="preserve">womens-ballet-flats-lace-up-leather-casual</t>
  </si>
  <si>
    <t xml:space="preserve">Women's Ballet Flats | Lace-Up Leather Casual</t>
  </si>
  <si>
    <t xml:space="preserve">womens-ballet-flats-mesh-upper-round-toe-bar-strap</t>
  </si>
  <si>
    <t xml:space="preserve">Women's Ballet Flats | Mesh Upper Round Toe Bar Strap</t>
  </si>
  <si>
    <t xml:space="preserve">womens-ballet-flats-mesh-upper-round-toe-slip-on</t>
  </si>
  <si>
    <t xml:space="preserve">Women's Ballet Flats | Mesh Upper Round Toe Slip On</t>
  </si>
  <si>
    <t xml:space="preserve">womens-ballet-flats-pointed-toe-tassel-detail-animal-print-flat</t>
  </si>
  <si>
    <t xml:space="preserve">Women's Ballet Flats | Pointed Toe Tassel Detail Animal Print Flat</t>
  </si>
  <si>
    <t xml:space="preserve">womens-ballet-flats-slingback-strap-suede-low-heel</t>
  </si>
  <si>
    <t xml:space="preserve">Women's Ballet Flats | Slingback Strap Suede Low Heel</t>
  </si>
  <si>
    <t xml:space="preserve">womens-ballet-flats-t-strap-pointed-toe-flat</t>
  </si>
  <si>
    <t xml:space="preserve">Women's Ballet Flats | T-Strap Pointed Toe Flat</t>
  </si>
  <si>
    <t xml:space="preserve">womens-ballet-flats-zebra-print-cross-strap-pointed</t>
  </si>
  <si>
    <t xml:space="preserve">Women's Ballet Flats | Zebra Print Cross-Strap Pointed</t>
  </si>
  <si>
    <t xml:space="preserve">womens-barefoot-water-shoe-closed-toe-lace-up-quick-dry-mesh</t>
  </si>
  <si>
    <t xml:space="preserve">Women's Barefoot Water Shoe | Closed Toe Lace-Up Quick-Dry Mesh</t>
  </si>
  <si>
    <t xml:space="preserve">womens-mary-jane-brogue-detail-block-heel-buckle-strap</t>
  </si>
  <si>
    <t xml:space="preserve">Women's Mary Jane | Brogue Detail Block Heel Buckle Strap</t>
  </si>
  <si>
    <t xml:space="preserve">womens-mary-jane-buckle-strap-chunky-sole-leather</t>
  </si>
  <si>
    <t xml:space="preserve">Women's Mary Jane | Buckle Strap Chunky Sole Leather</t>
  </si>
  <si>
    <t xml:space="preserve">womens-mary-jane-buckle-strap-rounded-toe-platform</t>
  </si>
  <si>
    <t xml:space="preserve">Women's Mary Jane | Buckle Strap Rounded Toe Platform</t>
  </si>
  <si>
    <t xml:space="preserve">womens-mary-jane-rounded-toe-buckle-strap-flat-leather</t>
  </si>
  <si>
    <t xml:space="preserve">Women's Mary Jane | Rounded Toe Buckle Strap Flat Leather</t>
  </si>
  <si>
    <t xml:space="preserve">womens-mary-jane-square-toe-buckle-strap-flat</t>
  </si>
  <si>
    <t xml:space="preserve">Women's Mary Jane | Square Toe Buckle Strap Flat</t>
  </si>
  <si>
    <t xml:space="preserve">womens-shoe-buckle-strap-platform-comfortable</t>
  </si>
  <si>
    <t xml:space="preserve">Women's Shoe | Buckle Strap Platform Comfortable</t>
  </si>
  <si>
    <t xml:space="preserve">womens-shoe-mesh-upper-lace-closure-flexible-sole</t>
  </si>
  <si>
    <t xml:space="preserve">Women's Shoe | Mesh Upper Lace Closure Flexible Sole</t>
  </si>
  <si>
    <t xml:space="preserve">womens-shoe-pointed-toe-stiletto-polka-dot-slip-on</t>
  </si>
  <si>
    <t xml:space="preserve">Women's Shoe | Pointed Toe Stiletto Polka Dot Slip-On</t>
  </si>
  <si>
    <t xml:space="preserve">womens-shoe-pointed-toe-knot-detail-flat-sole-knit</t>
  </si>
  <si>
    <t xml:space="preserve">Women's Shoe | Pointed Toe, Knot Detail, Flat Sole, Knit</t>
  </si>
  <si>
    <t xml:space="preserve">womens-shoe-rounded-toe-padded-loafer-side-zip</t>
  </si>
  <si>
    <t xml:space="preserve">Women's Shoe | Rounded Toe Padded Loafer Side Zip</t>
  </si>
  <si>
    <t xml:space="preserve">womens-slip-on-shoe-cushioned-sole-supportive-footbed-breathable</t>
  </si>
  <si>
    <t xml:space="preserve">Women's Slip-On Shoe | Cushioned Sole Supportive Footbed Breathable</t>
  </si>
  <si>
    <t xml:space="preserve">womens-body-con-mini-dress-halter-neck-asymmetrical-ruffle-chiffon</t>
  </si>
  <si>
    <t xml:space="preserve">Women's Body Con Mini Dress | Halter Neck Asymmetrical Ruffle Chiffon</t>
  </si>
  <si>
    <t xml:space="preserve">womens-body-con-mini-dress-turtleneck-long-sleeve-knit</t>
  </si>
  <si>
    <t xml:space="preserve">Women's Body Con Mini Dress | Turtleneck Long Sleeve Knit</t>
  </si>
  <si>
    <t xml:space="preserve">womens-body-con-mini-dress-v-neck-long-sleeve-ribbed-knit</t>
  </si>
  <si>
    <t xml:space="preserve">Women's Body Con Mini Dress | V Neck Long Sleeve Ribbed Knit</t>
  </si>
  <si>
    <t xml:space="preserve">womens-body-con-mini-dress-v-neck-wrap-ruched-short-sleeve</t>
  </si>
  <si>
    <t xml:space="preserve">Women's Body Con Mini Dress | V-Neck Wrap Ruched Short Sleeve</t>
  </si>
  <si>
    <t xml:space="preserve">womens-christmas-dress-maxi-slit-cami-neckline-satin</t>
  </si>
  <si>
    <t xml:space="preserve">Women's Christmas Dress | Maxi Slit Cami Neckline Satin</t>
  </si>
  <si>
    <t xml:space="preserve">womens-christmas-dress-maxi-strapless-ruched-split</t>
  </si>
  <si>
    <t xml:space="preserve">Women's Christmas Dress | Maxi Strapless Ruched Split</t>
  </si>
  <si>
    <t xml:space="preserve">womens-christmas-dress-maxi-v-neck-floral-chiffon</t>
  </si>
  <si>
    <t xml:space="preserve">Women's Christmas Dress | Maxi V-Neck Floral Chiffon</t>
  </si>
  <si>
    <t xml:space="preserve">womens-christmas-dress-midi-a-line-round-neckline-short-sleeve</t>
  </si>
  <si>
    <t xml:space="preserve">Women's Christmas Dress | Midi A-Line Round Neckline Short Sleeve</t>
  </si>
  <si>
    <t xml:space="preserve">womens-christmas-dress-midi-length-sweetheart-neckline-spaghetti-strap</t>
  </si>
  <si>
    <t xml:space="preserve">Women's Christmas Dress | Midi Length Sweetheart Neckline Spaghetti Strap</t>
  </si>
  <si>
    <t xml:space="preserve">womens-christmas-dress-square-neckline-long-sleeve-velvet-mini</t>
  </si>
  <si>
    <t xml:space="preserve">Women's Christmas Dress | Square Neckline Long Sleeve Velvet Mini</t>
  </si>
  <si>
    <t xml:space="preserve">womens-cocktail-dress-maxi-halter-neckline-pleated-open-back</t>
  </si>
  <si>
    <t xml:space="preserve">Women's Cocktail Dress | Maxi Halter Neckline Pleated Open Back</t>
  </si>
  <si>
    <t xml:space="preserve">womens-cocktail-dress-maxi-ruffle-hem-sleeveless-linen</t>
  </si>
  <si>
    <t xml:space="preserve">Women's Cocktail Dress | Maxi Ruffle Hem Sleeveless Linen</t>
  </si>
  <si>
    <t xml:space="preserve">womens-cocktail-dress-midi-keyhole-neckline-sleeveless-wrap</t>
  </si>
  <si>
    <t xml:space="preserve">Women's Cocktail Dress | Midi Keyhole Neckline Sleeveless Wrap</t>
  </si>
  <si>
    <t xml:space="preserve">womens-cocktail-dress-midi-length-crisscross-neckline-sleeveless-pleated</t>
  </si>
  <si>
    <t xml:space="preserve">Women's Cocktail Dress | Midi Length Crisscross Neckline Sleeveless Pleated</t>
  </si>
  <si>
    <t xml:space="preserve">womens-cocktail-dress-midi-length-keyhole-neckline-sleeveless</t>
  </si>
  <si>
    <t xml:space="preserve">Women's Cocktail Dress | Midi Length Keyhole Neckline Sleeveless</t>
  </si>
  <si>
    <t xml:space="preserve">womens-cocktail-dress-midi-length-round-neckline-three-quarter-sleeve</t>
  </si>
  <si>
    <t xml:space="preserve">Women's Cocktail Dress | Midi Length Round Neckline Three-Quarter Sleeve</t>
  </si>
  <si>
    <t xml:space="preserve">womens-cocktail-dress-midi-v-neck-three-quarter-sleeve-floral-print</t>
  </si>
  <si>
    <t xml:space="preserve">Women's Cocktail Dress | Midi V-Neck Three-Quarter Sleeve Floral Print</t>
  </si>
  <si>
    <t xml:space="preserve">womens-cocktail-dress-midi-v-neck-wrap-shawl-collar</t>
  </si>
  <si>
    <t xml:space="preserve">Women's Cocktail Dress | Midi V-Neck Wrap Shawl Collar</t>
  </si>
  <si>
    <t xml:space="preserve">womens-cocktail-dress-off-shoulder-midi-slit-knit</t>
  </si>
  <si>
    <t xml:space="preserve">Women's Cocktail Dress | Off Shoulder Midi Slit Knit</t>
  </si>
  <si>
    <t xml:space="preserve">womens-cocktail-dress-v-neck-mini-linen-crochet-lace</t>
  </si>
  <si>
    <t xml:space="preserve">Women's Cocktail Dress | V-Neck Mini Linen Crochet Lace</t>
  </si>
  <si>
    <t xml:space="preserve">womens-denim-dress-button-front-short-sleeves-relaxed-fit</t>
  </si>
  <si>
    <t xml:space="preserve">Women's Denim Dress | Button Front Short Sleeves Relaxed Fit</t>
  </si>
  <si>
    <t xml:space="preserve">womens-denim-dress-midi-length-polo-collar-short-sleeve-denim</t>
  </si>
  <si>
    <t xml:space="preserve">Women's Denim Dress | Midi Length Polo Collar Short Sleeve Denim</t>
  </si>
  <si>
    <t xml:space="preserve">womens-denim-dress-midi-length-round-neckline-patchwork-print</t>
  </si>
  <si>
    <t xml:space="preserve">Women's Denim Dress | Midi Length Round Neckline Patchwork Print</t>
  </si>
  <si>
    <t xml:space="preserve">womens-denim-dress-mini-corset-scoop-neck-spaghetti-strap</t>
  </si>
  <si>
    <t xml:space="preserve">Women's Denim Dress | Mini Corset Scoop Neck Spaghetti Strap</t>
  </si>
  <si>
    <t xml:space="preserve">womens-denim-dress-strapless-tube-neckline-wrap-front-asymmetric</t>
  </si>
  <si>
    <t xml:space="preserve">Women's Denim Dress | Strapless Tube Neckline Wrap Front Asymmetric</t>
  </si>
  <si>
    <t xml:space="preserve">womens-dress-maxi-halter-neckline-ruched-back</t>
  </si>
  <si>
    <t xml:space="preserve">Women's Dress | Maxi Halter Neckline Ruched Back</t>
  </si>
  <si>
    <t xml:space="preserve">womens-dress-maxi-length-deep-v-neck-wrap-waist</t>
  </si>
  <si>
    <t xml:space="preserve">Women's Dress | Maxi Length Deep V Neck Wrap Waist</t>
  </si>
  <si>
    <t xml:space="preserve">womens-dress-maxi-square-neckline-sleeveless-geometric</t>
  </si>
  <si>
    <t xml:space="preserve">Women's Dress | Maxi Square Neckline Sleeveless Geometric</t>
  </si>
  <si>
    <t xml:space="preserve">womens-dress-midi-length-floral-print-wrap-closure</t>
  </si>
  <si>
    <t xml:space="preserve">Women's Dress | Midi Length Floral Print Wrap Closure</t>
  </si>
  <si>
    <t xml:space="preserve">womens-dress-midi-length-lace-bodice-three-quarter-sleeve</t>
  </si>
  <si>
    <t xml:space="preserve">Women's Dress | Midi Length Lace Bodice Three-Quarter Sleeve</t>
  </si>
  <si>
    <t xml:space="preserve">womens-dress-midi-scoop-neck-short-sleeve-gathered-empire</t>
  </si>
  <si>
    <t xml:space="preserve">Women's Dress | Midi Scoop Neck Short Sleeve Gathered Empire</t>
  </si>
  <si>
    <t xml:space="preserve">womens-dress-midi-v-neck-short-sleeve-floral-print</t>
  </si>
  <si>
    <t xml:space="preserve">Women's Dress | Midi V-Neck Short Sleeve Floral Print</t>
  </si>
  <si>
    <t xml:space="preserve">womens-dress-v-neck-sleeveless-tiered-ruffle-linen</t>
  </si>
  <si>
    <t xml:space="preserve">Women's Dress | V-Neck Sleeveless Tiered Ruffle Linen</t>
  </si>
  <si>
    <t xml:space="preserve">womens-formal-dress-cowl-neck-lace-sleeve-midi</t>
  </si>
  <si>
    <t xml:space="preserve">Women's Formal Dress | Cowl Neck Lace Sleeve Midi</t>
  </si>
  <si>
    <t xml:space="preserve">womens-formal-dress-maxi-halter-neck-satin-sleeveless</t>
  </si>
  <si>
    <t xml:space="preserve">Women's Formal Dress | Maxi Halter Neck Satin Sleeveless</t>
  </si>
  <si>
    <t xml:space="preserve">womens-formal-dress-maxi-keyhole-neckline-puff-sleeve</t>
  </si>
  <si>
    <t xml:space="preserve">Women's Formal Dress | Maxi Keyhole Neckline Puff Sleeve</t>
  </si>
  <si>
    <t xml:space="preserve">womens-formal-dress-maxi-v-neck-button-velvet</t>
  </si>
  <si>
    <t xml:space="preserve">Women's Formal Dress | Maxi V-Neck Button Velvet</t>
  </si>
  <si>
    <t xml:space="preserve">womens-formal-dress-midi-cape-sleeve-round-neckline-fitted</t>
  </si>
  <si>
    <t xml:space="preserve">Women's Formal Dress | Midi Cape Sleeve Round Neckline Fitted</t>
  </si>
  <si>
    <t xml:space="preserve">womens-formal-dress-midi-length-wrap-neckline-pleated-skirt</t>
  </si>
  <si>
    <t xml:space="preserve">Women's Formal Dress | Midi Length Wrap Neckline Pleated Skirt</t>
  </si>
  <si>
    <t xml:space="preserve">womens-formal-dress-midi-v-neck-crossover-wrap-side-pockets</t>
  </si>
  <si>
    <t xml:space="preserve">Women's Formal Dress | Midi V-Neck Crossover Wrap Side Pockets</t>
  </si>
  <si>
    <t xml:space="preserve">womens-formal-dress-off-shoulder-maxi-crossover-ruched</t>
  </si>
  <si>
    <t xml:space="preserve">Women's Formal Dress | Off-Shoulder Maxi Crossover Ruched</t>
  </si>
  <si>
    <t xml:space="preserve">womens-formal-dress-one-shoulder-maxi-asymmetric-wrap</t>
  </si>
  <si>
    <t xml:space="preserve">Women's Formal Dress | One-Shoulder Maxi Asymmetric Wrap</t>
  </si>
  <si>
    <t xml:space="preserve">womens-formal-dress-strapless-corset-maxi-draped</t>
  </si>
  <si>
    <t xml:space="preserve">Women's Formal Dress | Strapless Corset Maxi Draped</t>
  </si>
  <si>
    <t xml:space="preserve">womens-formal-dress-wrap-neckline-long-sleeve-knit-midi</t>
  </si>
  <si>
    <t xml:space="preserve">Women's Formal Dress | Wrap Neckline Long Sleeve Knit Midi</t>
  </si>
  <si>
    <t xml:space="preserve">womens-green-sundress-halter-v-neck-maxi-tiered-ruffle</t>
  </si>
  <si>
    <t xml:space="preserve">Women's Green Sundress | Halter V-Neck Maxi Tiered Ruffle</t>
  </si>
  <si>
    <t xml:space="preserve">womens-green-sundress-midi-scoop-neck-half-sleeve-linen</t>
  </si>
  <si>
    <t xml:space="preserve">Women's Green Sundress | Midi Scoop Neck Half Sleeve Linen</t>
  </si>
  <si>
    <t xml:space="preserve">womens-green-sundress-midi-sleeveless-scoop-neckline-tiered</t>
  </si>
  <si>
    <t xml:space="preserve">Women's Green Sundress | Midi Sleeveless Scoop Neckline Tiered</t>
  </si>
  <si>
    <t xml:space="preserve">womens-maxi-dress-collared-neckline-front-wrap-maxi</t>
  </si>
  <si>
    <t xml:space="preserve">Women's Maxi Dress | Collared Neckline Front Wrap Maxi</t>
  </si>
  <si>
    <t xml:space="preserve">womens-maxi-dress-maxi-length-button-front-relaxed-fit</t>
  </si>
  <si>
    <t xml:space="preserve">Women's Maxi Dress | Maxi Length Button Front Relaxed Fit</t>
  </si>
  <si>
    <t xml:space="preserve">womens-maxi-dress-one-shoulder-asymmetric-neckline-satin</t>
  </si>
  <si>
    <t xml:space="preserve">Women's Maxi Dress | One-Shoulder Asymmetric Neckline Satin</t>
  </si>
  <si>
    <t xml:space="preserve">womens-maxi-dress-square-neckline-slit-faux-leather</t>
  </si>
  <si>
    <t xml:space="preserve">Women's Maxi Dress | Square Neckline Slit Faux Leather</t>
  </si>
  <si>
    <t xml:space="preserve">womens-maxi-dress-v-neck-half-sleeve-floral-print</t>
  </si>
  <si>
    <t xml:space="preserve">Women's Maxi Dress | V-Neck Half Sleeve Floral Print</t>
  </si>
  <si>
    <t xml:space="preserve">womens-maxi-dress-v-neck-short-sleeve-drawstring-waist</t>
  </si>
  <si>
    <t xml:space="preserve">Women's Maxi Dress | V-Neck Short Sleeve Drawstring Waist</t>
  </si>
  <si>
    <t xml:space="preserve">womens-maxi-dress-v-neckline-ikat-print-ruffled-sleeves</t>
  </si>
  <si>
    <t xml:space="preserve">Women's Maxi Dress | V-Neckline Ikat Print Ruffled Sleeves</t>
  </si>
  <si>
    <t xml:space="preserve">womens-maxi-dress-wrap-v-neck-half-sleeve-floral</t>
  </si>
  <si>
    <t xml:space="preserve">Women's Maxi Dress | Wrap V-Neck Half Sleeve Floral</t>
  </si>
  <si>
    <t xml:space="preserve">womens-midi-dress-collared-long-sleeve-button-front-striped</t>
  </si>
  <si>
    <t xml:space="preserve">Women's Midi Dress | Collared Long Sleeve Button Front Striped</t>
  </si>
  <si>
    <t xml:space="preserve">womens-midi-dress-midi-length-scoop-neck-elbow-sleeve</t>
  </si>
  <si>
    <t xml:space="preserve">Women's Midi Dress | Midi Length Scoop Neck Elbow Sleeve</t>
  </si>
  <si>
    <t xml:space="preserve">womens-midi-dress-midi-sleeveless-floral-round-neck</t>
  </si>
  <si>
    <t xml:space="preserve">Women's Midi Dress | Midi Sleeveless Floral Round Neck</t>
  </si>
  <si>
    <t xml:space="preserve">womens-midi-dress-short-sleeve-round-neck-polka-dot</t>
  </si>
  <si>
    <t xml:space="preserve">Women's Midi Dress | Short Sleeve Round Neck Polka Dot</t>
  </si>
  <si>
    <t xml:space="preserve">womens-midi-dress-v-neck-sleeveless-wrap-tie-midi</t>
  </si>
  <si>
    <t xml:space="preserve">Women's Midi Dress | V-Neck Sleeveless Wrap Tie Midi</t>
  </si>
  <si>
    <t xml:space="preserve">womens-mini-dress-draped-neckline-sleeveless-a-line</t>
  </si>
  <si>
    <t xml:space="preserve">Women's Mini Dress | Draped Neckline Sleeveless A-Line</t>
  </si>
  <si>
    <t xml:space="preserve">womens-mini-dress-halter-neckline-backless-bodycon</t>
  </si>
  <si>
    <t xml:space="preserve">Women's Mini Dress | Halter Neckline Backless Bodycon</t>
  </si>
  <si>
    <t xml:space="preserve">womens-mini-dress-midi-high-neckline-balloon-sleeve-asymmetric</t>
  </si>
  <si>
    <t xml:space="preserve">Women's Mini Dress | Midi High Neckline Balloon Sleeve Asymmetric</t>
  </si>
  <si>
    <t xml:space="preserve">womens-mini-dress-sequin-sweetheart-neckline-long-sleeve</t>
  </si>
  <si>
    <t xml:space="preserve">Women's Mini Dress | Sequin Sweetheart Neckline Long Sleeve</t>
  </si>
  <si>
    <t xml:space="preserve">womens-mini-dress-striped-sleeveless-v-neck-relaxed</t>
  </si>
  <si>
    <t xml:space="preserve">Women's Mini Dress | Striped Sleeveless V-Neck Relaxed</t>
  </si>
  <si>
    <t xml:space="preserve">womens-mini-dress-v-neck-polka-dot-flared-sleeve</t>
  </si>
  <si>
    <t xml:space="preserve">Women's Mini Dress | V-Neck Polka Dot Flared Sleeve</t>
  </si>
  <si>
    <t xml:space="preserve">womens-mini-dress-v-neck-sleeveless-ruffle-hem</t>
  </si>
  <si>
    <t xml:space="preserve">Women's Mini Dress | V-Neck Sleeveless Ruffle Hem</t>
  </si>
  <si>
    <t xml:space="preserve">womens-mother-of-the-bride-dress-boat-neck-batwing-sleeve-maxi</t>
  </si>
  <si>
    <t xml:space="preserve">Women's Mother Of The Bride Dress | Boat Neck Batwing Sleeve Maxi</t>
  </si>
  <si>
    <t xml:space="preserve">womens-mother-of-the-bride-dress-midi-high-neck-short-sleeve-lace</t>
  </si>
  <si>
    <t xml:space="preserve">Women's Mother Of The Bride Dress | Midi High Neck Short Sleeve Lace</t>
  </si>
  <si>
    <t xml:space="preserve">womens-mother-of-the-bride-dress-midi-lace-trim-spaghetti-strap</t>
  </si>
  <si>
    <t xml:space="preserve">Women's Mother Of The Bride Dress | Midi Lace Trim Spaghetti Strap</t>
  </si>
  <si>
    <t xml:space="preserve">womens-mother-of-the-bride-dress-midi-length-v-neck-long-sleeve-floral</t>
  </si>
  <si>
    <t xml:space="preserve">Women's Mother Of The Bride Dress | Midi Length V-Neck Long Sleeve Floral</t>
  </si>
  <si>
    <t xml:space="preserve">womens-mother-of-the-bride-dress-v-neck-maxi-floral-embroidered</t>
  </si>
  <si>
    <t xml:space="preserve">Women's Mother Of The Bride Dress | V-Neck Maxi Floral Embroidered</t>
  </si>
  <si>
    <t xml:space="preserve">womens-mother-of-the-bride-dress-v-neck-sleeveless-asymmetric-maxi</t>
  </si>
  <si>
    <t xml:space="preserve">Women's Mother Of The Bride Dress | V-Neck Sleeveless Asymmetric Maxi</t>
  </si>
  <si>
    <t xml:space="preserve">womens-new-year-dress-maxi-halter-pleated-thigh-high-slit</t>
  </si>
  <si>
    <t xml:space="preserve">Women's New Year Dress | Maxi Halter Pleated Thigh-High Slit</t>
  </si>
  <si>
    <t xml:space="preserve">womens-new-year-dress-mini-square-neck-corset-sequin</t>
  </si>
  <si>
    <t xml:space="preserve">Women's New Year Dress | Mini Square Neck Corset Sequin</t>
  </si>
  <si>
    <t xml:space="preserve">womens-new-year-dress-off-shoulder-maxi-floral-pleated</t>
  </si>
  <si>
    <t xml:space="preserve">Women's New Year Dress | Off-Shoulder Maxi Floral Pleated</t>
  </si>
  <si>
    <t xml:space="preserve">womens-new-year-dress-v-neck-spaghetti-strap-mini-feathered</t>
  </si>
  <si>
    <t xml:space="preserve">Women's New Year Dress | V-Neck Spaghetti Strap Mini Feathered</t>
  </si>
  <si>
    <t xml:space="preserve">womens-red-dress-maxi-one-shoulder-floral-print</t>
  </si>
  <si>
    <t xml:space="preserve">Women's Red Dress | Maxi One-Shoulder Floral Print</t>
  </si>
  <si>
    <t xml:space="preserve">womens-red-dress-midi-v-neck-three-quarter-sleeve-boho-print</t>
  </si>
  <si>
    <t xml:space="preserve">Women's Red Dress | Midi V-Neck Three-Quarter Sleeve Boho Print</t>
  </si>
  <si>
    <t xml:space="preserve">womens-red-dress-mini-asymmetrical-ruffle-one-shoulder</t>
  </si>
  <si>
    <t xml:space="preserve">Women's Red Dress | Mini Asymmetrical Ruffle One Shoulder</t>
  </si>
  <si>
    <t xml:space="preserve">womens-red-dress-mini-length-corset-bodice-cami-strap</t>
  </si>
  <si>
    <t xml:space="preserve">Women's Red Dress | Mini Length Corset Bodice Cami Strap</t>
  </si>
  <si>
    <t xml:space="preserve">womens-red-dress-mini-v-neck-button-front-tiered</t>
  </si>
  <si>
    <t xml:space="preserve">Women's Red Dress | Mini V Neck Button Front Tiered</t>
  </si>
  <si>
    <t xml:space="preserve">womens-red-dress-v-neck-long-sleeve-midi-knit</t>
  </si>
  <si>
    <t xml:space="preserve">Women's Red Dress | V-Neck Long Sleeve Midi Knit</t>
  </si>
  <si>
    <t xml:space="preserve">womens-shirt-dress-midi-button-front-relaxed-fit</t>
  </si>
  <si>
    <t xml:space="preserve">Women's Shirt Dress | Midi Button Front Relaxed Fit</t>
  </si>
  <si>
    <t xml:space="preserve">womens-summer-dress-collared-short-sleeve-button-front-midi</t>
  </si>
  <si>
    <t xml:space="preserve">Women's Summer Dress | Collared Short Sleeve Button Front Midi</t>
  </si>
  <si>
    <t xml:space="preserve">womens-summer-dress-midi-length-short-sleeve-embroidered-neckline</t>
  </si>
  <si>
    <t xml:space="preserve">Women's Summer Dress | Midi Length Short Sleeve Embroidered Neckline</t>
  </si>
  <si>
    <t xml:space="preserve">womens-summer-dress-midi-striped-button-closure-a-line</t>
  </si>
  <si>
    <t xml:space="preserve">Women's Summer Dress | Midi Striped Button Closure A-Line</t>
  </si>
  <si>
    <t xml:space="preserve">womens-summer-dress-sleeveless-v-neck-floral-split-maxi</t>
  </si>
  <si>
    <t xml:space="preserve">Women's Summer Dress | Sleeveless V-Neck Floral Split Maxi</t>
  </si>
  <si>
    <t xml:space="preserve">womens-summer-dress-strapless-maxi-abstract-floral-sleeveless</t>
  </si>
  <si>
    <t xml:space="preserve">Women's Summer Dress | Strapless Maxi Abstract Floral Sleeveless</t>
  </si>
  <si>
    <t xml:space="preserve">womens-summer-dress-v-neck-midi-ikat-print</t>
  </si>
  <si>
    <t xml:space="preserve">Women's Summer Dress | V-Neck Midi Ikat Print</t>
  </si>
  <si>
    <t xml:space="preserve">womens-summer-dress-v-neck-short-sleeve-pocket</t>
  </si>
  <si>
    <t xml:space="preserve">Women's Summer Dress | V-Neck Short Sleeve Pocket</t>
  </si>
  <si>
    <t xml:space="preserve">womens-wedding-guest-dress-maxi-off-shoulder-braided-neckline</t>
  </si>
  <si>
    <t xml:space="preserve">Women's Wedding Guest Dress | Maxi Off-Shoulder Braided Neckline</t>
  </si>
  <si>
    <t xml:space="preserve">womens-wedding-guest-dress-maxi-off-shoulder-floral</t>
  </si>
  <si>
    <t xml:space="preserve">Women's Wedding Guest Dress | Maxi Off-Shoulder Floral</t>
  </si>
  <si>
    <t xml:space="preserve">womens-wedding-guest-dress-maxi-pleated-sleeveless-ruched-waist</t>
  </si>
  <si>
    <t xml:space="preserve">Women's Wedding Guest Dress | Maxi Pleated Sleeveless Ruched Waist</t>
  </si>
  <si>
    <t xml:space="preserve">womens-wedding-guest-dress-maxi-v-neck-floral-print-puff-sleeve</t>
  </si>
  <si>
    <t xml:space="preserve">Women's Wedding Guest Dress | Maxi V-Neck Floral Print Puff Sleeve</t>
  </si>
  <si>
    <t xml:space="preserve">womens-wedding-guest-dress-midi-cowl-neck-sleeveless-pleated</t>
  </si>
  <si>
    <t xml:space="preserve">Women's Wedding Guest Dress | Midi Cowl Neck Sleeveless Pleated</t>
  </si>
  <si>
    <t xml:space="preserve">womens-wedding-guest-dress-midi-floral-applique-short-sleeve</t>
  </si>
  <si>
    <t xml:space="preserve">Women's Wedding Guest Dress | Midi Floral Appliqué Short Sleeve</t>
  </si>
  <si>
    <t xml:space="preserve">womens-wedding-guest-dress-midi-pleated-v-neck-sleeveless</t>
  </si>
  <si>
    <t xml:space="preserve">Women's Wedding Guest Dress | Midi Pleated V-Neck Sleeveless</t>
  </si>
  <si>
    <t xml:space="preserve">womens-wedding-guest-dress-midi-sequin-beaded-chiffon-overlay</t>
  </si>
  <si>
    <t xml:space="preserve">Women's Wedding Guest Dress | Midi Sequin Beaded Chiffon Overlay</t>
  </si>
  <si>
    <t xml:space="preserve">womens-wedding-guest-dress-midi-sleeveless-round-neckline-organza</t>
  </si>
  <si>
    <t xml:space="preserve">Women's Wedding Guest Dress | Midi Sleeveless Round Neckline Organza</t>
  </si>
  <si>
    <t xml:space="preserve">womens-wedding-guest-dress-midi-sweetheart-spaghetti-strap</t>
  </si>
  <si>
    <t xml:space="preserve">Women's Wedding Guest Dress | Midi Sweetheart Spaghetti Strap</t>
  </si>
  <si>
    <t xml:space="preserve">womens-white-dress-maxi-cold-shoulder-puff-sleeve</t>
  </si>
  <si>
    <t xml:space="preserve">Women's White Dress | Maxi Cold Shoulder Puff Sleeve</t>
  </si>
  <si>
    <t xml:space="preserve">womens-white-dress-maxi-floral-v-neck-balloon-sleeve</t>
  </si>
  <si>
    <t xml:space="preserve">Women's White Dress | Maxi Floral V-Neck Balloon Sleeve</t>
  </si>
  <si>
    <t xml:space="preserve">womens-white-dress-maxi-lace-off-shoulder-long-sleeve</t>
  </si>
  <si>
    <t xml:space="preserve">Women's White Dress | Maxi Lace Off-Shoulder Long Sleeve</t>
  </si>
  <si>
    <t xml:space="preserve">womens-white-dress-maxi-length-collared-button-front-long-sleeve</t>
  </si>
  <si>
    <t xml:space="preserve">Women's White Dress | Maxi Length Collared Button Front Long Sleeve</t>
  </si>
  <si>
    <t xml:space="preserve">womens-white-dress-maxi-ruffle-collar-button-placket</t>
  </si>
  <si>
    <t xml:space="preserve">Women's White Dress | Maxi Ruffle Collar Button Placket</t>
  </si>
  <si>
    <t xml:space="preserve">womens-white-dress-mini-length-v-neck-spaghetti-strap-feather-fringe</t>
  </si>
  <si>
    <t xml:space="preserve">Women's White Dress | Mini Length V-Neck Spaghetti Strap Feather Fringe</t>
  </si>
  <si>
    <t xml:space="preserve">white-heels-for-women-pointed-toe-block-heel-slip-on</t>
  </si>
  <si>
    <t xml:space="preserve">White Heels For Women | Pointed Toe Block Heel Slip On</t>
  </si>
  <si>
    <t xml:space="preserve">white-heels-for-women-pointed-toe-mary-jane-buckle-strap</t>
  </si>
  <si>
    <t xml:space="preserve">White Heels For Women | Pointed Toe Mary Jane Buckle Strap</t>
  </si>
  <si>
    <t xml:space="preserve">white-heels-for-women-square-toe-block-heel-metallic-accents</t>
  </si>
  <si>
    <t xml:space="preserve">White Heels For Women | Square Toe Block Heel Metallic Accents</t>
  </si>
  <si>
    <t xml:space="preserve">womens-heels-block-heel-strap-closure-rounded-toe</t>
  </si>
  <si>
    <t xml:space="preserve">Women's Heels | Block Heel Strap Closure Rounded Toe</t>
  </si>
  <si>
    <t xml:space="preserve">womens-heels-mary-jane-velvet-platform-buckle-strap</t>
  </si>
  <si>
    <t xml:space="preserve">Women's Heels | Mary Jane Velvet Platform Buckle Strap</t>
  </si>
  <si>
    <t xml:space="preserve">womens-heels-peep-toe-ankle-strap-suede</t>
  </si>
  <si>
    <t xml:space="preserve">Women's Heels | Peep Toe Ankle Strap Suede</t>
  </si>
  <si>
    <t xml:space="preserve">womens-heels-t-strap-block-heel-mary-jane-buckle-closure</t>
  </si>
  <si>
    <t xml:space="preserve">Women's Heels | T-Strap Block Heel Mary Jane Buckle Closure</t>
  </si>
  <si>
    <t xml:space="preserve">womens-heels-t-strap-chunky-heel-closed-toe-buckle</t>
  </si>
  <si>
    <t xml:space="preserve">Women's Heels | T-Strap Chunky Heel Closed Toe Buckle</t>
  </si>
  <si>
    <t xml:space="preserve">womens-kitten-heels-pointed-toe-ankle-strap-floral-embellishment</t>
  </si>
  <si>
    <t xml:space="preserve">Women's Kitten Heels | Pointed Toe Ankle Strap Floral Embellishment</t>
  </si>
  <si>
    <t xml:space="preserve">womens-kitten-heels-pointed-toe-leather-embossed</t>
  </si>
  <si>
    <t xml:space="preserve">Women's Kitten Heels | Pointed Toe Leather Embossed</t>
  </si>
  <si>
    <t xml:space="preserve">womens-kitten-heels-pointed-toe-slingback-adjustable</t>
  </si>
  <si>
    <t xml:space="preserve">Women's Kitten Heels | Pointed Toe Slingback Adjustable</t>
  </si>
  <si>
    <t xml:space="preserve">womens-kitten-heels-pointed-toe-slingback-embroidered-mesh</t>
  </si>
  <si>
    <t xml:space="preserve">Women's Kitten Heels | Pointed Toe Slingback Embroidered Mesh</t>
  </si>
  <si>
    <t xml:space="preserve">womens-kitten-heels-pointed-toe-slingback-striped-knit</t>
  </si>
  <si>
    <t xml:space="preserve">Women's Kitten Heels | Pointed Toe Slingback Striped Knit</t>
  </si>
  <si>
    <t xml:space="preserve">womens-white-heels-open-toe-block-heel-sandal</t>
  </si>
  <si>
    <t xml:space="preserve">Women's White Heels | Open Toe Block Heel Sandal</t>
  </si>
  <si>
    <t xml:space="preserve">womens-white-heels-t-strap-pointed-toe-block-heel-leather</t>
  </si>
  <si>
    <t xml:space="preserve">Women's White Heels | T-Strap Pointed Toe Block Heel Leather</t>
  </si>
  <si>
    <t xml:space="preserve">womens-sneakers-lace-closure-cushioned-sole-platform</t>
  </si>
  <si>
    <t xml:space="preserve">Women's Sneakers | Lace Closure Cushioned Sole Platform</t>
  </si>
  <si>
    <t xml:space="preserve">womens-sneakers-lace-up-mesh-knit-air-cushion-sole</t>
  </si>
  <si>
    <t xml:space="preserve">Women's Sneakers | Lace-Up Mesh Knit Air Cushion Sole</t>
  </si>
  <si>
    <t xml:space="preserve">womens-sneakers-platform-rounded-toe-lace-closure</t>
  </si>
  <si>
    <t xml:space="preserve">Women's Sneakers | Platform Rounded Toe Lace Closure</t>
  </si>
  <si>
    <t xml:space="preserve">womens-sneakers-retro-lace-up-low-profile-gum-sole</t>
  </si>
  <si>
    <t xml:space="preserve">Women's Sneakers | Retro Lace-Up Low-Profile Gum Sole</t>
  </si>
  <si>
    <t xml:space="preserve">womens-ankle-boots-slip-on-leather-elastic-panel</t>
  </si>
  <si>
    <t xml:space="preserve">Women's Ankle Boots | Slip-On Leather Elastic Panel</t>
  </si>
  <si>
    <t xml:space="preserve">womens-boots-ankle-length-faux-fur-trim-buckle-closure</t>
  </si>
  <si>
    <t xml:space="preserve">Women's Boots | Ankle Length Faux Fur Trim Buckle Closure</t>
  </si>
  <si>
    <t xml:space="preserve">womens-boots-knee-high-suede-slouch-block-heel</t>
  </si>
  <si>
    <t xml:space="preserve">Women's Boots | Knee-High Suede Slouch Block Heel</t>
  </si>
  <si>
    <t xml:space="preserve">womens-boots-leather-ankle-zip-closure-padded-sole</t>
  </si>
  <si>
    <t xml:space="preserve">Women's Boots | Leather Ankle Zip Closure Padded Sole</t>
  </si>
  <si>
    <t xml:space="preserve">womens-boots-sculpted-mid-heel-leather-ankle</t>
  </si>
  <si>
    <t xml:space="preserve">Women's Boots | Sculpted Mid-Heel Leather Ankle</t>
  </si>
  <si>
    <t xml:space="preserve">womens-boots-wedge-heel-mid-calf-leather-zip</t>
  </si>
  <si>
    <t xml:space="preserve">Women's Boots | Wedge Heel Mid-Calf Leather Zip</t>
  </si>
  <si>
    <t xml:space="preserve">womens-knee-high-boots-buckle-strap-lug-sole-leather</t>
  </si>
  <si>
    <t xml:space="preserve">Women's Knee High Boots | Buckle Strap Lug Sole Leather</t>
  </si>
  <si>
    <t xml:space="preserve">womens-knee-high-boots-fur-trim-lace-up-block-heel</t>
  </si>
  <si>
    <t xml:space="preserve">Women's Knee High Boots | Fur Trim Lace Up Block Heel</t>
  </si>
  <si>
    <t xml:space="preserve">womens-knee-high-boots-pointed-toe-block-heel-studded</t>
  </si>
  <si>
    <t xml:space="preserve">Women's Knee High Boots | Pointed Toe Block Heel Studded</t>
  </si>
  <si>
    <t xml:space="preserve">womens-knee-high-boots-studded-leather-block-heel</t>
  </si>
  <si>
    <t xml:space="preserve">Women's Knee High Boots | Studded Leather Block Heel</t>
  </si>
  <si>
    <t xml:space="preserve">womens-knee-high-boots-suede-buckle-strap-lug-sole</t>
  </si>
  <si>
    <t xml:space="preserve">Women's Knee High Boots | Suede Buckle Strap Lug Sole</t>
  </si>
  <si>
    <t xml:space="preserve">womens-knee-high-boots-suede-slouch-mid-calf-block-heel</t>
  </si>
  <si>
    <t xml:space="preserve">Women's Knee High Boots | Suede Slouch Mid Calf Block Heel</t>
  </si>
  <si>
    <t xml:space="preserve">womens-suede-ankle-boots-cowboy-toe-chunky-heel-pull-on-closure</t>
  </si>
  <si>
    <t xml:space="preserve">Women's Suede Ankle Boots | Cowboy Toe Chunky Heel Pull-On Closure</t>
  </si>
  <si>
    <t xml:space="preserve">womens-denim-jacket-asymmetric-closure-high-collar-relaxed-fit</t>
  </si>
  <si>
    <t xml:space="preserve">Women's Denim Jacket | Asymmetric Closure High Collar Relaxed Fit</t>
  </si>
  <si>
    <t xml:space="preserve">womens-denim-jacket-collared-button-front-cropped</t>
  </si>
  <si>
    <t xml:space="preserve">Women's Denim Jacket | Collared Button Front Cropped</t>
  </si>
  <si>
    <t xml:space="preserve">womens-denim-jacket-cropped-lapel-faux-fur-collar-cuffs-zip</t>
  </si>
  <si>
    <t xml:space="preserve">Women's Denim Jacket | Cropped Lapel Faux Fur Collar Cuffs Zip</t>
  </si>
  <si>
    <t xml:space="preserve">womens-denim-jacket-cropped-relaxed-fit-stand-collar-hidden-button</t>
  </si>
  <si>
    <t xml:space="preserve">Women's Denim Jacket | Cropped Relaxed Fit Stand Collar Hidden Button</t>
  </si>
  <si>
    <t xml:space="preserve">womens-denim-jacket-fleece-lined-button-front-chest-pockets</t>
  </si>
  <si>
    <t xml:space="preserve">Women's Denim Jacket | Fleece Lined Button Front Chest Pockets</t>
  </si>
  <si>
    <t xml:space="preserve">womens-denim-jacket-lace-overlay-lapel-collar-button-front</t>
  </si>
  <si>
    <t xml:space="preserve">Women's Denim Jacket | Lace Overlay Lapel Collar Button Front</t>
  </si>
  <si>
    <t xml:space="preserve">womens-denim-jacket-off-shoulder-belted-structured-asymmetric</t>
  </si>
  <si>
    <t xml:space="preserve">Women's Denim Jacket | Off-Shoulder Belted Structured Asymmetric</t>
  </si>
  <si>
    <t xml:space="preserve">womens-denim-jacket-stud-embellished-collar-button-front</t>
  </si>
  <si>
    <t xml:space="preserve">Women's Denim Jacket | Stud Embellished Collar Button Front</t>
  </si>
  <si>
    <t xml:space="preserve">LGB — samenvatting prijsvoorstel</t>
  </si>
  <si>
    <t xml:space="preserve">Producten</t>
  </si>
  <si>
    <t xml:space="preserve">Gem. nu</t>
  </si>
  <si>
    <t xml:space="preserve">Gem. nieuw</t>
  </si>
  <si>
    <t xml:space="preserve">Omhoog</t>
  </si>
  <si>
    <t xml:space="preserve">Omlaag</t>
  </si>
  <si>
    <t xml:space="preserve">Gelijk</t>
  </si>
  <si>
    <t xml:space="preserve">Te controleren</t>
  </si>
  <si>
    <t xml:space="preserve">Totaal</t>
  </si>
  <si>
    <t xml:space="preserve">Laagste prijs nu</t>
  </si>
  <si>
    <t xml:space="preserve">Hoogste prijs nu</t>
  </si>
  <si>
    <t xml:space="preserve">Laagste prijs nieuw</t>
  </si>
  <si>
    <t xml:space="preserve">Hoogste prijs nieuw</t>
  </si>
  <si>
    <t xml:space="preserve">Gem. prijs nieuw in euro</t>
  </si>
  <si>
    <t xml:space="preserve">Gem. korting nu</t>
  </si>
  <si>
    <t xml:space="preserve">Gem. korting nieuw</t>
  </si>
  <si>
    <t xml:space="preserve">Opmerkingen</t>
  </si>
  <si>
    <t xml:space="preserve">Doel is conversie: de prijsband gaat van A$34,95–A$89,95 naar A$44,95–A$74,95, met het zwaartepunt op A$44,95–A$59,95.</t>
  </si>
  <si>
    <t xml:space="preserve">De 107 jurken zijn de grootste hefboom. Die stonden op A$69,95 en gaan naar A$59,95 — dat is waar de meeste conversiewinst zit.</t>
  </si>
  <si>
    <t xml:space="preserve">De vloer blijft A$44,95 (ongeveer 28 euro). Lager wordt het winstarm: zie het tabblad Marge, bij ROAS 2,0 houd je daar nog maar een paar dollar per order over.</t>
  </si>
  <si>
    <t xml:space="preserve">Het plafond gaat naar A$74,95 voor jassen. Boven de A$75 zakt de conversie in deze categorie en LGB heeft nog geen merkvertrouwen om dat te dragen.</t>
  </si>
  <si>
    <t xml:space="preserve">Compare-at houdt per product hetzelfde kortingspercentage als nu, tenzij je in Tiers de uniforme korting aanzet. Omdat de prijzen zakken, zakt de doorstreepprijs mee.</t>
  </si>
  <si>
    <t xml:space="preserve">GMC-risico, hetzelfde als bij SSB: elk product staat op een vaste 40/45/50% korting. Een doorstreepprijs die nooit de echte verkoopprijs was, is in Google Shopping een overtreding.</t>
  </si>
  <si>
    <t xml:space="preserve">15 producten hebben "Men's" in de titel terwijl LGB een dames-store is (o.a. Men's Closed Toe Sandals, Men's Cardigan, Men's Tailored Dress Shorts). Los van de prijs: dat wil je opruimen of het gender-attribuut goed zetten, anders kost het je zichtbaarheid in Shopping.</t>
  </si>
  <si>
    <t xml:space="preserve">Deze sheet raakt de store niet. Na jouw goedkeuring voer ik het door via de Shopify API.</t>
  </si>
  <si>
    <t xml:space="preserve">LGB — hoeveel houd je over per order?</t>
  </si>
  <si>
    <t xml:space="preserve">Vul de gele cellen met je eigen cijfers. Alles eronder rekent mee.</t>
  </si>
  <si>
    <t xml:space="preserve">Inkoopprijs als % van de verkoopprijs (COGS)</t>
  </si>
  <si>
    <t xml:space="preserve">ROAS (omzet gedeeld door ad spend)</t>
  </si>
  <si>
    <t xml:space="preserve">Betaalkosten als % van de verkoopprijs</t>
  </si>
  <si>
    <t xml:space="preserve">Refunds en retouren als % van de omzet</t>
  </si>
  <si>
    <t xml:space="preserve">Ad spend als % van de omzet</t>
  </si>
  <si>
    <t xml:space="preserve">Marge die overblijft als % van de prijs</t>
  </si>
  <si>
    <t xml:space="preserve">Per prijspunt</t>
  </si>
  <si>
    <t xml:space="preserve">Prijs (AUD)</t>
  </si>
  <si>
    <t xml:space="preserve">Inkoop</t>
  </si>
  <si>
    <t xml:space="preserve">Ad spend</t>
  </si>
  <si>
    <t xml:space="preserve">Betaalkosten</t>
  </si>
  <si>
    <t xml:space="preserve">Refunds</t>
  </si>
  <si>
    <t xml:space="preserve">Blijft over</t>
  </si>
  <si>
    <t xml:space="preserve">Blijft over %</t>
  </si>
  <si>
    <t xml:space="preserve">Hoe je dit leest</t>
  </si>
  <si>
    <t xml:space="preserve">De percentages zijn aannames, geen gemeten cijfers. COGS 30% komt uit de TrackBee-fallback en is dus een schatting — de Kungfubuy-bills zijn de echte bron.</t>
  </si>
  <si>
    <t xml:space="preserve">ROAS 2,2 is het niveau waar SSB op zat in de RTM-benchmark (11 aug–15 sep 2026: ongeveer 2,5 op de actieve campagnes).</t>
  </si>
  <si>
    <t xml:space="preserve">Dit is contributiemarge per order: er gaan nog geen vaste kosten, apps, mediabuyer-fee of chargebacks af.</t>
  </si>
  <si>
    <t xml:space="preserve">De vloer van A$44,95 in het voorstel komt hieruit: zak je daaronder, dan verdien je bij deze ROAS niet genoeg per order om de rest te dekken.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</si>
</sst>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A$&quot;#,##0.00"/>
    <numFmt numFmtId="166" formatCode="\€#,##0.00"/>
    <numFmt numFmtId="167" formatCode="0.0000"/>
    <numFmt numFmtId="168" formatCode="0.0%"/>
    <numFmt numFmtId="169" formatCode="&quot;A$&quot;#,##0.00;&quot;(A$&quot;#,##0.00\);\-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C2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374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2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7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 t="n">
        <v>44.95</v>
      </c>
      <c r="C4" s="6" t="n">
        <f aca="false">B4*$B$19</f>
        <v>27.909455</v>
      </c>
      <c r="D4" s="7" t="s">
        <v>7</v>
      </c>
    </row>
    <row r="5" customFormat="false" ht="15" hidden="false" customHeight="false" outlineLevel="0" collapsed="false">
      <c r="A5" s="4" t="s">
        <v>8</v>
      </c>
      <c r="B5" s="5" t="n">
        <v>44.95</v>
      </c>
      <c r="C5" s="6" t="n">
        <f aca="false">B5*$B$19</f>
        <v>27.909455</v>
      </c>
      <c r="D5" s="7" t="s">
        <v>9</v>
      </c>
    </row>
    <row r="6" customFormat="false" ht="15" hidden="false" customHeight="false" outlineLevel="0" collapsed="false">
      <c r="A6" s="4" t="s">
        <v>10</v>
      </c>
      <c r="B6" s="5" t="n">
        <v>44.95</v>
      </c>
      <c r="C6" s="6" t="n">
        <f aca="false">B6*$B$19</f>
        <v>27.909455</v>
      </c>
      <c r="D6" s="7" t="s">
        <v>11</v>
      </c>
    </row>
    <row r="7" customFormat="false" ht="15" hidden="false" customHeight="false" outlineLevel="0" collapsed="false">
      <c r="A7" s="4" t="s">
        <v>12</v>
      </c>
      <c r="B7" s="5" t="n">
        <v>49.95</v>
      </c>
      <c r="C7" s="6" t="n">
        <f aca="false">B7*$B$19</f>
        <v>31.013955</v>
      </c>
      <c r="D7" s="7" t="s">
        <v>13</v>
      </c>
    </row>
    <row r="8" customFormat="false" ht="15" hidden="false" customHeight="false" outlineLevel="0" collapsed="false">
      <c r="A8" s="4" t="s">
        <v>14</v>
      </c>
      <c r="B8" s="5" t="n">
        <v>54.95</v>
      </c>
      <c r="C8" s="6" t="n">
        <f aca="false">B8*$B$19</f>
        <v>34.118455</v>
      </c>
      <c r="D8" s="7" t="s">
        <v>15</v>
      </c>
    </row>
    <row r="9" customFormat="false" ht="15" hidden="false" customHeight="false" outlineLevel="0" collapsed="false">
      <c r="A9" s="4" t="s">
        <v>16</v>
      </c>
      <c r="B9" s="5" t="n">
        <v>54.95</v>
      </c>
      <c r="C9" s="6" t="n">
        <f aca="false">B9*$B$19</f>
        <v>34.118455</v>
      </c>
      <c r="D9" s="7" t="s">
        <v>17</v>
      </c>
    </row>
    <row r="10" customFormat="false" ht="15" hidden="false" customHeight="false" outlineLevel="0" collapsed="false">
      <c r="A10" s="4" t="s">
        <v>18</v>
      </c>
      <c r="B10" s="5" t="n">
        <v>54.95</v>
      </c>
      <c r="C10" s="6" t="n">
        <f aca="false">B10*$B$19</f>
        <v>34.118455</v>
      </c>
      <c r="D10" s="7" t="s">
        <v>19</v>
      </c>
    </row>
    <row r="11" customFormat="false" ht="15" hidden="false" customHeight="false" outlineLevel="0" collapsed="false">
      <c r="A11" s="4" t="s">
        <v>20</v>
      </c>
      <c r="B11" s="5" t="n">
        <v>59.95</v>
      </c>
      <c r="C11" s="6" t="n">
        <f aca="false">B11*$B$19</f>
        <v>37.222955</v>
      </c>
      <c r="D11" s="7" t="s">
        <v>21</v>
      </c>
    </row>
    <row r="12" customFormat="false" ht="15" hidden="false" customHeight="false" outlineLevel="0" collapsed="false">
      <c r="A12" s="4" t="s">
        <v>22</v>
      </c>
      <c r="B12" s="5" t="n">
        <v>59.95</v>
      </c>
      <c r="C12" s="6" t="n">
        <f aca="false">B12*$B$19</f>
        <v>37.222955</v>
      </c>
      <c r="D12" s="7" t="s">
        <v>23</v>
      </c>
    </row>
    <row r="13" customFormat="false" ht="15" hidden="false" customHeight="false" outlineLevel="0" collapsed="false">
      <c r="A13" s="4" t="s">
        <v>24</v>
      </c>
      <c r="B13" s="5" t="n">
        <v>59.95</v>
      </c>
      <c r="C13" s="6" t="n">
        <f aca="false">B13*$B$19</f>
        <v>37.222955</v>
      </c>
      <c r="D13" s="7" t="s">
        <v>25</v>
      </c>
    </row>
    <row r="14" customFormat="false" ht="15" hidden="false" customHeight="false" outlineLevel="0" collapsed="false">
      <c r="A14" s="4" t="s">
        <v>26</v>
      </c>
      <c r="B14" s="5" t="n">
        <v>69.95</v>
      </c>
      <c r="C14" s="6" t="n">
        <f aca="false">B14*$B$19</f>
        <v>43.431955</v>
      </c>
      <c r="D14" s="7" t="s">
        <v>27</v>
      </c>
    </row>
    <row r="15" customFormat="false" ht="15" hidden="false" customHeight="false" outlineLevel="0" collapsed="false">
      <c r="A15" s="4" t="s">
        <v>28</v>
      </c>
      <c r="B15" s="5" t="n">
        <v>74.95</v>
      </c>
      <c r="C15" s="6" t="n">
        <f aca="false">B15*$B$19</f>
        <v>46.536455</v>
      </c>
      <c r="D15" s="7" t="s">
        <v>29</v>
      </c>
    </row>
    <row r="17" customFormat="false" ht="15" hidden="false" customHeight="false" outlineLevel="0" collapsed="false">
      <c r="A17" s="8" t="s">
        <v>30</v>
      </c>
    </row>
    <row r="18" customFormat="false" ht="15" hidden="false" customHeight="false" outlineLevel="0" collapsed="false">
      <c r="A18" s="4" t="s">
        <v>31</v>
      </c>
      <c r="B18" s="9" t="s">
        <v>32</v>
      </c>
    </row>
    <row r="19" customFormat="false" ht="15" hidden="false" customHeight="false" outlineLevel="0" collapsed="false">
      <c r="A19" s="4" t="s">
        <v>33</v>
      </c>
      <c r="B19" s="10" t="n">
        <v>0.6209</v>
      </c>
    </row>
    <row r="20" customFormat="false" ht="15" hidden="false" customHeight="false" outlineLevel="0" collapsed="false">
      <c r="A20" s="4" t="s">
        <v>34</v>
      </c>
      <c r="B20" s="11" t="n">
        <v>0.45</v>
      </c>
    </row>
    <row r="22" customFormat="false" ht="15" hidden="false" customHeight="false" outlineLevel="0" collapsed="false">
      <c r="A22" s="8" t="s">
        <v>35</v>
      </c>
    </row>
    <row r="23" customFormat="false" ht="15" hidden="false" customHeight="false" outlineLevel="0" collapsed="false">
      <c r="A23" s="12" t="s">
        <v>36</v>
      </c>
    </row>
    <row r="24" customFormat="false" ht="15" hidden="false" customHeight="false" outlineLevel="0" collapsed="false">
      <c r="A24" s="12" t="s">
        <v>37</v>
      </c>
    </row>
    <row r="25" customFormat="false" ht="15" hidden="false" customHeight="false" outlineLevel="0" collapsed="false">
      <c r="A25" s="12" t="s">
        <v>38</v>
      </c>
    </row>
    <row r="26" customFormat="false" ht="15" hidden="false" customHeight="false" outlineLevel="0" collapsed="false">
      <c r="A26" s="12" t="s">
        <v>39</v>
      </c>
    </row>
    <row r="27" customFormat="false" ht="15" hidden="false" customHeight="false" outlineLevel="0" collapsed="false">
      <c r="A27" s="1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11" min="8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1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3" customFormat="false" ht="26.85" hidden="false" customHeight="false" outlineLevel="0" collapsed="false">
      <c r="A3" s="13" t="s">
        <v>43</v>
      </c>
      <c r="B3" s="13" t="s">
        <v>44</v>
      </c>
      <c r="C3" s="13" t="s">
        <v>2</v>
      </c>
      <c r="D3" s="13" t="s">
        <v>45</v>
      </c>
      <c r="E3" s="13" t="s">
        <v>46</v>
      </c>
      <c r="F3" s="13" t="s">
        <v>47</v>
      </c>
      <c r="G3" s="13" t="s">
        <v>3</v>
      </c>
      <c r="H3" s="13" t="s">
        <v>48</v>
      </c>
      <c r="I3" s="13" t="s">
        <v>49</v>
      </c>
      <c r="J3" s="13" t="s">
        <v>50</v>
      </c>
      <c r="K3" s="13" t="s">
        <v>51</v>
      </c>
      <c r="L3" s="13" t="s">
        <v>52</v>
      </c>
      <c r="M3" s="13" t="s">
        <v>53</v>
      </c>
      <c r="N3" s="13" t="s">
        <v>54</v>
      </c>
      <c r="O3" s="13" t="s">
        <v>55</v>
      </c>
      <c r="P3" s="13" t="s">
        <v>56</v>
      </c>
      <c r="Q3" s="13" t="s">
        <v>57</v>
      </c>
      <c r="R3" s="13" t="s">
        <v>58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14" t="s">
        <v>6</v>
      </c>
      <c r="D4" s="15" t="n">
        <v>44.95</v>
      </c>
      <c r="E4" s="15" t="n">
        <f aca="false">IFERROR(INDEX(Tiers!$B$4:$B$15,MATCH(C4,Tiers!$A$4:$A$15,0)),D4)</f>
        <v>44.95</v>
      </c>
      <c r="F4" s="16"/>
      <c r="G4" s="17" t="n">
        <f aca="false">IF(F4="",E4,F4)</f>
        <v>44.95</v>
      </c>
      <c r="H4" s="18" t="n">
        <f aca="false">G4-D4</f>
        <v>0</v>
      </c>
      <c r="I4" s="19" t="n">
        <f aca="false">IFERROR((G4-D4)/D4,0)</f>
        <v>0</v>
      </c>
      <c r="J4" s="14" t="str">
        <f aca="false">IF(G4&gt;D4,"Omhoog",IF(G4&lt;D4,"Omlaag","Gelijk"))</f>
        <v>Gelijk</v>
      </c>
      <c r="K4" s="20" t="str">
        <f aca="false">IF(ABS(I4)&gt;=0.2,"controleren","")</f>
        <v/>
      </c>
      <c r="L4" s="21" t="n">
        <f aca="false">G4*Tiers!$B$19</f>
        <v>27.909455</v>
      </c>
      <c r="M4" s="15" t="n">
        <v>81.73</v>
      </c>
      <c r="N4" s="19" t="n">
        <f aca="false">IFERROR(1-D4/M4,0)</f>
        <v>0.450018353113912</v>
      </c>
      <c r="O4" s="19" t="n">
        <f aca="false">IF(Tiers!$B$18="ja",Tiers!$B$20,N4)</f>
        <v>0.450018353113912</v>
      </c>
      <c r="P4" s="15" t="n">
        <f aca="false">ROUNDUP(G4/(1-O4),0)-0.05</f>
        <v>81.95</v>
      </c>
      <c r="Q4" s="19" t="n">
        <f aca="false">IFERROR(1-G4/P4,0)</f>
        <v>0.451494813910921</v>
      </c>
      <c r="R4" s="14" t="n">
        <v>25</v>
      </c>
    </row>
    <row r="5" customFormat="false" ht="15" hidden="false" customHeight="false" outlineLevel="0" collapsed="false">
      <c r="A5" s="14" t="s">
        <v>61</v>
      </c>
      <c r="B5" s="14" t="s">
        <v>62</v>
      </c>
      <c r="C5" s="14" t="s">
        <v>6</v>
      </c>
      <c r="D5" s="15" t="n">
        <v>44.95</v>
      </c>
      <c r="E5" s="15" t="n">
        <f aca="false">IFERROR(INDEX(Tiers!$B$4:$B$15,MATCH(C5,Tiers!$A$4:$A$15,0)),D5)</f>
        <v>44.95</v>
      </c>
      <c r="F5" s="16"/>
      <c r="G5" s="17" t="n">
        <f aca="false">IF(F5="",E5,F5)</f>
        <v>44.95</v>
      </c>
      <c r="H5" s="18" t="n">
        <f aca="false">G5-D5</f>
        <v>0</v>
      </c>
      <c r="I5" s="19" t="n">
        <f aca="false">IFERROR((G5-D5)/D5,0)</f>
        <v>0</v>
      </c>
      <c r="J5" s="14" t="str">
        <f aca="false">IF(G5&gt;D5,"Omhoog",IF(G5&lt;D5,"Omlaag","Gelijk"))</f>
        <v>Gelijk</v>
      </c>
      <c r="K5" s="20" t="str">
        <f aca="false">IF(ABS(I5)&gt;=0.2,"controleren","")</f>
        <v/>
      </c>
      <c r="L5" s="21" t="n">
        <f aca="false">G5*Tiers!$B$19</f>
        <v>27.909455</v>
      </c>
      <c r="M5" s="15" t="n">
        <v>74.92</v>
      </c>
      <c r="N5" s="19" t="n">
        <f aca="false">IFERROR(1-D5/M5,0)</f>
        <v>0.400026695141484</v>
      </c>
      <c r="O5" s="19" t="n">
        <f aca="false">IF(Tiers!$B$18="ja",Tiers!$B$20,N5)</f>
        <v>0.400026695141484</v>
      </c>
      <c r="P5" s="15" t="n">
        <f aca="false">ROUNDUP(G5/(1-O5),0)-0.05</f>
        <v>74.95</v>
      </c>
      <c r="Q5" s="19" t="n">
        <f aca="false">IFERROR(1-G5/P5,0)</f>
        <v>0.400266844563042</v>
      </c>
      <c r="R5" s="14" t="n">
        <v>15</v>
      </c>
    </row>
    <row r="6" customFormat="false" ht="15" hidden="false" customHeight="false" outlineLevel="0" collapsed="false">
      <c r="A6" s="14" t="s">
        <v>63</v>
      </c>
      <c r="B6" s="14" t="s">
        <v>64</v>
      </c>
      <c r="C6" s="14" t="s">
        <v>6</v>
      </c>
      <c r="D6" s="15" t="n">
        <v>64.95</v>
      </c>
      <c r="E6" s="15" t="n">
        <f aca="false">IFERROR(INDEX(Tiers!$B$4:$B$15,MATCH(C6,Tiers!$A$4:$A$15,0)),D6)</f>
        <v>44.95</v>
      </c>
      <c r="F6" s="16"/>
      <c r="G6" s="17" t="n">
        <f aca="false">IF(F6="",E6,F6)</f>
        <v>44.95</v>
      </c>
      <c r="H6" s="18" t="n">
        <f aca="false">G6-D6</f>
        <v>-20</v>
      </c>
      <c r="I6" s="19" t="n">
        <f aca="false">IFERROR((G6-D6)/D6,0)</f>
        <v>-0.307929176289453</v>
      </c>
      <c r="J6" s="14" t="str">
        <f aca="false">IF(G6&gt;D6,"Omhoog",IF(G6&lt;D6,"Omlaag","Gelijk"))</f>
        <v>Omlaag</v>
      </c>
      <c r="K6" s="20" t="str">
        <f aca="false">IF(ABS(I6)&gt;=0.2,"controleren","")</f>
        <v>controleren</v>
      </c>
      <c r="L6" s="21" t="n">
        <f aca="false">G6*Tiers!$B$19</f>
        <v>27.909455</v>
      </c>
      <c r="M6" s="15" t="n">
        <v>108.25</v>
      </c>
      <c r="N6" s="19" t="n">
        <f aca="false">IFERROR(1-D6/M6,0)</f>
        <v>0.4</v>
      </c>
      <c r="O6" s="19" t="n">
        <f aca="false">IF(Tiers!$B$18="ja",Tiers!$B$20,N6)</f>
        <v>0.4</v>
      </c>
      <c r="P6" s="15" t="n">
        <f aca="false">ROUNDUP(G6/(1-O6),0)-0.05</f>
        <v>74.95</v>
      </c>
      <c r="Q6" s="19" t="n">
        <f aca="false">IFERROR(1-G6/P6,0)</f>
        <v>0.400266844563042</v>
      </c>
      <c r="R6" s="14" t="n">
        <v>18</v>
      </c>
    </row>
    <row r="7" customFormat="false" ht="15" hidden="false" customHeight="false" outlineLevel="0" collapsed="false">
      <c r="A7" s="14" t="s">
        <v>65</v>
      </c>
      <c r="B7" s="14" t="s">
        <v>66</v>
      </c>
      <c r="C7" s="14" t="s">
        <v>6</v>
      </c>
      <c r="D7" s="15" t="n">
        <v>64.95</v>
      </c>
      <c r="E7" s="15" t="n">
        <f aca="false">IFERROR(INDEX(Tiers!$B$4:$B$15,MATCH(C7,Tiers!$A$4:$A$15,0)),D7)</f>
        <v>44.95</v>
      </c>
      <c r="F7" s="16"/>
      <c r="G7" s="17" t="n">
        <f aca="false">IF(F7="",E7,F7)</f>
        <v>44.95</v>
      </c>
      <c r="H7" s="18" t="n">
        <f aca="false">G7-D7</f>
        <v>-20</v>
      </c>
      <c r="I7" s="19" t="n">
        <f aca="false">IFERROR((G7-D7)/D7,0)</f>
        <v>-0.307929176289453</v>
      </c>
      <c r="J7" s="14" t="str">
        <f aca="false">IF(G7&gt;D7,"Omhoog",IF(G7&lt;D7,"Omlaag","Gelijk"))</f>
        <v>Omlaag</v>
      </c>
      <c r="K7" s="20" t="str">
        <f aca="false">IF(ABS(I7)&gt;=0.2,"controleren","")</f>
        <v>controleren</v>
      </c>
      <c r="L7" s="21" t="n">
        <f aca="false">G7*Tiers!$B$19</f>
        <v>27.909455</v>
      </c>
      <c r="M7" s="15" t="n">
        <v>108.25</v>
      </c>
      <c r="N7" s="19" t="n">
        <f aca="false">IFERROR(1-D7/M7,0)</f>
        <v>0.4</v>
      </c>
      <c r="O7" s="19" t="n">
        <f aca="false">IF(Tiers!$B$18="ja",Tiers!$B$20,N7)</f>
        <v>0.4</v>
      </c>
      <c r="P7" s="15" t="n">
        <f aca="false">ROUNDUP(G7/(1-O7),0)-0.05</f>
        <v>74.95</v>
      </c>
      <c r="Q7" s="19" t="n">
        <f aca="false">IFERROR(1-G7/P7,0)</f>
        <v>0.400266844563042</v>
      </c>
      <c r="R7" s="14" t="n">
        <v>56</v>
      </c>
    </row>
    <row r="8" customFormat="false" ht="15" hidden="false" customHeight="false" outlineLevel="0" collapsed="false">
      <c r="A8" s="14" t="s">
        <v>67</v>
      </c>
      <c r="B8" s="14" t="s">
        <v>68</v>
      </c>
      <c r="C8" s="14" t="s">
        <v>6</v>
      </c>
      <c r="D8" s="15" t="n">
        <v>64.95</v>
      </c>
      <c r="E8" s="15" t="n">
        <f aca="false">IFERROR(INDEX(Tiers!$B$4:$B$15,MATCH(C8,Tiers!$A$4:$A$15,0)),D8)</f>
        <v>44.95</v>
      </c>
      <c r="F8" s="16"/>
      <c r="G8" s="17" t="n">
        <f aca="false">IF(F8="",E8,F8)</f>
        <v>44.95</v>
      </c>
      <c r="H8" s="18" t="n">
        <f aca="false">G8-D8</f>
        <v>-20</v>
      </c>
      <c r="I8" s="19" t="n">
        <f aca="false">IFERROR((G8-D8)/D8,0)</f>
        <v>-0.307929176289453</v>
      </c>
      <c r="J8" s="14" t="str">
        <f aca="false">IF(G8&gt;D8,"Omhoog",IF(G8&lt;D8,"Omlaag","Gelijk"))</f>
        <v>Omlaag</v>
      </c>
      <c r="K8" s="20" t="str">
        <f aca="false">IF(ABS(I8)&gt;=0.2,"controleren","")</f>
        <v>controleren</v>
      </c>
      <c r="L8" s="21" t="n">
        <f aca="false">G8*Tiers!$B$19</f>
        <v>27.909455</v>
      </c>
      <c r="M8" s="15" t="n">
        <v>129.9</v>
      </c>
      <c r="N8" s="19" t="n">
        <f aca="false">IFERROR(1-D8/M8,0)</f>
        <v>0.5</v>
      </c>
      <c r="O8" s="19" t="n">
        <f aca="false">IF(Tiers!$B$18="ja",Tiers!$B$20,N8)</f>
        <v>0.5</v>
      </c>
      <c r="P8" s="15" t="n">
        <f aca="false">ROUNDUP(G8/(1-O8),0)-0.05</f>
        <v>89.95</v>
      </c>
      <c r="Q8" s="19" t="n">
        <f aca="false">IFERROR(1-G8/P8,0)</f>
        <v>0.500277932184547</v>
      </c>
      <c r="R8" s="14" t="n">
        <v>18</v>
      </c>
    </row>
    <row r="9" customFormat="false" ht="15" hidden="false" customHeight="false" outlineLevel="0" collapsed="false">
      <c r="A9" s="14" t="s">
        <v>69</v>
      </c>
      <c r="B9" s="14" t="s">
        <v>70</v>
      </c>
      <c r="C9" s="14" t="s">
        <v>6</v>
      </c>
      <c r="D9" s="15" t="n">
        <v>59.95</v>
      </c>
      <c r="E9" s="15" t="n">
        <f aca="false">IFERROR(INDEX(Tiers!$B$4:$B$15,MATCH(C9,Tiers!$A$4:$A$15,0)),D9)</f>
        <v>44.95</v>
      </c>
      <c r="F9" s="16"/>
      <c r="G9" s="17" t="n">
        <f aca="false">IF(F9="",E9,F9)</f>
        <v>44.95</v>
      </c>
      <c r="H9" s="18" t="n">
        <f aca="false">G9-D9</f>
        <v>-15</v>
      </c>
      <c r="I9" s="19" t="n">
        <f aca="false">IFERROR((G9-D9)/D9,0)</f>
        <v>-0.250208507089241</v>
      </c>
      <c r="J9" s="14" t="str">
        <f aca="false">IF(G9&gt;D9,"Omhoog",IF(G9&lt;D9,"Omlaag","Gelijk"))</f>
        <v>Omlaag</v>
      </c>
      <c r="K9" s="20" t="str">
        <f aca="false">IF(ABS(I9)&gt;=0.2,"controleren","")</f>
        <v>controleren</v>
      </c>
      <c r="L9" s="21" t="n">
        <f aca="false">G9*Tiers!$B$19</f>
        <v>27.909455</v>
      </c>
      <c r="M9" s="15" t="n">
        <v>99.92</v>
      </c>
      <c r="N9" s="19" t="n">
        <f aca="false">IFERROR(1-D9/M9,0)</f>
        <v>0.40002001601281</v>
      </c>
      <c r="O9" s="19" t="n">
        <f aca="false">IF(Tiers!$B$18="ja",Tiers!$B$20,N9)</f>
        <v>0.40002001601281</v>
      </c>
      <c r="P9" s="15" t="n">
        <f aca="false">ROUNDUP(G9/(1-O9),0)-0.05</f>
        <v>74.95</v>
      </c>
      <c r="Q9" s="19" t="n">
        <f aca="false">IFERROR(1-G9/P9,0)</f>
        <v>0.400266844563042</v>
      </c>
      <c r="R9" s="14" t="n">
        <v>16</v>
      </c>
    </row>
    <row r="10" customFormat="false" ht="15" hidden="false" customHeight="false" outlineLevel="0" collapsed="false">
      <c r="A10" s="14" t="s">
        <v>71</v>
      </c>
      <c r="B10" s="14" t="s">
        <v>72</v>
      </c>
      <c r="C10" s="14" t="s">
        <v>6</v>
      </c>
      <c r="D10" s="15" t="n">
        <v>64.95</v>
      </c>
      <c r="E10" s="15" t="n">
        <f aca="false">IFERROR(INDEX(Tiers!$B$4:$B$15,MATCH(C10,Tiers!$A$4:$A$15,0)),D10)</f>
        <v>44.95</v>
      </c>
      <c r="F10" s="16"/>
      <c r="G10" s="17" t="n">
        <f aca="false">IF(F10="",E10,F10)</f>
        <v>44.95</v>
      </c>
      <c r="H10" s="18" t="n">
        <f aca="false">G10-D10</f>
        <v>-20</v>
      </c>
      <c r="I10" s="19" t="n">
        <f aca="false">IFERROR((G10-D10)/D10,0)</f>
        <v>-0.307929176289453</v>
      </c>
      <c r="J10" s="14" t="str">
        <f aca="false">IF(G10&gt;D10,"Omhoog",IF(G10&lt;D10,"Omlaag","Gelijk"))</f>
        <v>Omlaag</v>
      </c>
      <c r="K10" s="20" t="str">
        <f aca="false">IF(ABS(I10)&gt;=0.2,"controleren","")</f>
        <v>controleren</v>
      </c>
      <c r="L10" s="21" t="n">
        <f aca="false">G10*Tiers!$B$19</f>
        <v>27.909455</v>
      </c>
      <c r="M10" s="15" t="n">
        <v>118.09</v>
      </c>
      <c r="N10" s="19" t="n">
        <f aca="false">IFERROR(1-D10/M10,0)</f>
        <v>0.449995765941231</v>
      </c>
      <c r="O10" s="19" t="n">
        <f aca="false">IF(Tiers!$B$18="ja",Tiers!$B$20,N10)</f>
        <v>0.449995765941231</v>
      </c>
      <c r="P10" s="15" t="n">
        <f aca="false">ROUNDUP(G10/(1-O10),0)-0.05</f>
        <v>81.95</v>
      </c>
      <c r="Q10" s="19" t="n">
        <f aca="false">IFERROR(1-G10/P10,0)</f>
        <v>0.451494813910921</v>
      </c>
      <c r="R10" s="14" t="n">
        <v>20</v>
      </c>
    </row>
    <row r="11" customFormat="false" ht="15" hidden="false" customHeight="false" outlineLevel="0" collapsed="false">
      <c r="A11" s="14" t="s">
        <v>73</v>
      </c>
      <c r="B11" s="14" t="s">
        <v>74</v>
      </c>
      <c r="C11" s="14" t="s">
        <v>6</v>
      </c>
      <c r="D11" s="15" t="n">
        <v>54.95</v>
      </c>
      <c r="E11" s="15" t="n">
        <f aca="false">IFERROR(INDEX(Tiers!$B$4:$B$15,MATCH(C11,Tiers!$A$4:$A$15,0)),D11)</f>
        <v>44.95</v>
      </c>
      <c r="F11" s="16"/>
      <c r="G11" s="17" t="n">
        <f aca="false">IF(F11="",E11,F11)</f>
        <v>44.95</v>
      </c>
      <c r="H11" s="18" t="n">
        <f aca="false">G11-D11</f>
        <v>-10</v>
      </c>
      <c r="I11" s="19" t="n">
        <f aca="false">IFERROR((G11-D11)/D11,0)</f>
        <v>-0.181983621474067</v>
      </c>
      <c r="J11" s="14" t="str">
        <f aca="false">IF(G11&gt;D11,"Omhoog",IF(G11&lt;D11,"Omlaag","Gelijk"))</f>
        <v>Omlaag</v>
      </c>
      <c r="K11" s="20" t="str">
        <f aca="false">IF(ABS(I11)&gt;=0.2,"controleren","")</f>
        <v/>
      </c>
      <c r="L11" s="21" t="n">
        <f aca="false">G11*Tiers!$B$19</f>
        <v>27.909455</v>
      </c>
      <c r="M11" s="15" t="n">
        <v>99.91</v>
      </c>
      <c r="N11" s="19" t="n">
        <f aca="false">IFERROR(1-D11/M11,0)</f>
        <v>0.450005004504054</v>
      </c>
      <c r="O11" s="19" t="n">
        <f aca="false">IF(Tiers!$B$18="ja",Tiers!$B$20,N11)</f>
        <v>0.450005004504054</v>
      </c>
      <c r="P11" s="15" t="n">
        <f aca="false">ROUNDUP(G11/(1-O11),0)-0.05</f>
        <v>81.95</v>
      </c>
      <c r="Q11" s="19" t="n">
        <f aca="false">IFERROR(1-G11/P11,0)</f>
        <v>0.451494813910921</v>
      </c>
      <c r="R11" s="14" t="n">
        <v>48</v>
      </c>
    </row>
    <row r="12" customFormat="false" ht="15" hidden="false" customHeight="false" outlineLevel="0" collapsed="false">
      <c r="A12" s="14" t="s">
        <v>75</v>
      </c>
      <c r="B12" s="14" t="s">
        <v>76</v>
      </c>
      <c r="C12" s="14" t="s">
        <v>6</v>
      </c>
      <c r="D12" s="15" t="n">
        <v>49.95</v>
      </c>
      <c r="E12" s="15" t="n">
        <f aca="false">IFERROR(INDEX(Tiers!$B$4:$B$15,MATCH(C12,Tiers!$A$4:$A$15,0)),D12)</f>
        <v>44.95</v>
      </c>
      <c r="F12" s="16"/>
      <c r="G12" s="17" t="n">
        <f aca="false">IF(F12="",E12,F12)</f>
        <v>44.95</v>
      </c>
      <c r="H12" s="18" t="n">
        <f aca="false">G12-D12</f>
        <v>-5</v>
      </c>
      <c r="I12" s="19" t="n">
        <f aca="false">IFERROR((G12-D12)/D12,0)</f>
        <v>-0.1001001001001</v>
      </c>
      <c r="J12" s="14" t="str">
        <f aca="false">IF(G12&gt;D12,"Omhoog",IF(G12&lt;D12,"Omlaag","Gelijk"))</f>
        <v>Omlaag</v>
      </c>
      <c r="K12" s="20" t="str">
        <f aca="false">IF(ABS(I12)&gt;=0.2,"controleren","")</f>
        <v/>
      </c>
      <c r="L12" s="21" t="n">
        <f aca="false">G12*Tiers!$B$19</f>
        <v>27.909455</v>
      </c>
      <c r="M12" s="15" t="n">
        <v>83.25</v>
      </c>
      <c r="N12" s="19" t="n">
        <f aca="false">IFERROR(1-D12/M12,0)</f>
        <v>0.4</v>
      </c>
      <c r="O12" s="19" t="n">
        <f aca="false">IF(Tiers!$B$18="ja",Tiers!$B$20,N12)</f>
        <v>0.4</v>
      </c>
      <c r="P12" s="15" t="n">
        <f aca="false">ROUNDUP(G12/(1-O12),0)-0.05</f>
        <v>74.95</v>
      </c>
      <c r="Q12" s="19" t="n">
        <f aca="false">IFERROR(1-G12/P12,0)</f>
        <v>0.400266844563042</v>
      </c>
      <c r="R12" s="14" t="n">
        <v>20</v>
      </c>
    </row>
    <row r="13" customFormat="false" ht="15" hidden="false" customHeight="false" outlineLevel="0" collapsed="false">
      <c r="A13" s="14" t="s">
        <v>77</v>
      </c>
      <c r="B13" s="14" t="s">
        <v>78</v>
      </c>
      <c r="C13" s="14" t="s">
        <v>6</v>
      </c>
      <c r="D13" s="15" t="n">
        <v>49.95</v>
      </c>
      <c r="E13" s="15" t="n">
        <f aca="false">IFERROR(INDEX(Tiers!$B$4:$B$15,MATCH(C13,Tiers!$A$4:$A$15,0)),D13)</f>
        <v>44.95</v>
      </c>
      <c r="F13" s="16"/>
      <c r="G13" s="17" t="n">
        <f aca="false">IF(F13="",E13,F13)</f>
        <v>44.95</v>
      </c>
      <c r="H13" s="18" t="n">
        <f aca="false">G13-D13</f>
        <v>-5</v>
      </c>
      <c r="I13" s="19" t="n">
        <f aca="false">IFERROR((G13-D13)/D13,0)</f>
        <v>-0.1001001001001</v>
      </c>
      <c r="J13" s="14" t="str">
        <f aca="false">IF(G13&gt;D13,"Omhoog",IF(G13&lt;D13,"Omlaag","Gelijk"))</f>
        <v>Omlaag</v>
      </c>
      <c r="K13" s="20" t="str">
        <f aca="false">IF(ABS(I13)&gt;=0.2,"controleren","")</f>
        <v/>
      </c>
      <c r="L13" s="21" t="n">
        <f aca="false">G13*Tiers!$B$19</f>
        <v>27.909455</v>
      </c>
      <c r="M13" s="15" t="n">
        <v>83.25</v>
      </c>
      <c r="N13" s="19" t="n">
        <f aca="false">IFERROR(1-D13/M13,0)</f>
        <v>0.4</v>
      </c>
      <c r="O13" s="19" t="n">
        <f aca="false">IF(Tiers!$B$18="ja",Tiers!$B$20,N13)</f>
        <v>0.4</v>
      </c>
      <c r="P13" s="15" t="n">
        <f aca="false">ROUNDUP(G13/(1-O13),0)-0.05</f>
        <v>74.95</v>
      </c>
      <c r="Q13" s="19" t="n">
        <f aca="false">IFERROR(1-G13/P13,0)</f>
        <v>0.400266844563042</v>
      </c>
      <c r="R13" s="14" t="n">
        <v>60</v>
      </c>
    </row>
    <row r="14" customFormat="false" ht="15" hidden="false" customHeight="false" outlineLevel="0" collapsed="false">
      <c r="A14" s="14" t="s">
        <v>79</v>
      </c>
      <c r="B14" s="14" t="s">
        <v>80</v>
      </c>
      <c r="C14" s="14" t="s">
        <v>6</v>
      </c>
      <c r="D14" s="15" t="n">
        <v>49.95</v>
      </c>
      <c r="E14" s="15" t="n">
        <f aca="false">IFERROR(INDEX(Tiers!$B$4:$B$15,MATCH(C14,Tiers!$A$4:$A$15,0)),D14)</f>
        <v>44.95</v>
      </c>
      <c r="F14" s="16"/>
      <c r="G14" s="17" t="n">
        <f aca="false">IF(F14="",E14,F14)</f>
        <v>44.95</v>
      </c>
      <c r="H14" s="18" t="n">
        <f aca="false">G14-D14</f>
        <v>-5</v>
      </c>
      <c r="I14" s="19" t="n">
        <f aca="false">IFERROR((G14-D14)/D14,0)</f>
        <v>-0.1001001001001</v>
      </c>
      <c r="J14" s="14" t="str">
        <f aca="false">IF(G14&gt;D14,"Omhoog",IF(G14&lt;D14,"Omlaag","Gelijk"))</f>
        <v>Omlaag</v>
      </c>
      <c r="K14" s="20" t="str">
        <f aca="false">IF(ABS(I14)&gt;=0.2,"controleren","")</f>
        <v/>
      </c>
      <c r="L14" s="21" t="n">
        <f aca="false">G14*Tiers!$B$19</f>
        <v>27.909455</v>
      </c>
      <c r="M14" s="15" t="n">
        <v>83.25</v>
      </c>
      <c r="N14" s="19" t="n">
        <f aca="false">IFERROR(1-D14/M14,0)</f>
        <v>0.4</v>
      </c>
      <c r="O14" s="19" t="n">
        <f aca="false">IF(Tiers!$B$18="ja",Tiers!$B$20,N14)</f>
        <v>0.4</v>
      </c>
      <c r="P14" s="15" t="n">
        <f aca="false">ROUNDUP(G14/(1-O14),0)-0.05</f>
        <v>74.95</v>
      </c>
      <c r="Q14" s="19" t="n">
        <f aca="false">IFERROR(1-G14/P14,0)</f>
        <v>0.400266844563042</v>
      </c>
      <c r="R14" s="14" t="n">
        <v>25</v>
      </c>
    </row>
    <row r="15" customFormat="false" ht="15" hidden="false" customHeight="false" outlineLevel="0" collapsed="false">
      <c r="A15" s="14" t="s">
        <v>81</v>
      </c>
      <c r="B15" s="14" t="s">
        <v>80</v>
      </c>
      <c r="C15" s="14" t="s">
        <v>6</v>
      </c>
      <c r="D15" s="15" t="n">
        <v>39.95</v>
      </c>
      <c r="E15" s="15" t="n">
        <f aca="false">IFERROR(INDEX(Tiers!$B$4:$B$15,MATCH(C15,Tiers!$A$4:$A$15,0)),D15)</f>
        <v>44.95</v>
      </c>
      <c r="F15" s="16"/>
      <c r="G15" s="17" t="n">
        <f aca="false">IF(F15="",E15,F15)</f>
        <v>44.95</v>
      </c>
      <c r="H15" s="18" t="n">
        <f aca="false">G15-D15</f>
        <v>5</v>
      </c>
      <c r="I15" s="19" t="n">
        <f aca="false">IFERROR((G15-D15)/D15,0)</f>
        <v>0.125156445556946</v>
      </c>
      <c r="J15" s="14" t="str">
        <f aca="false">IF(G15&gt;D15,"Omhoog",IF(G15&lt;D15,"Omlaag","Gelijk"))</f>
        <v>Omhoog</v>
      </c>
      <c r="K15" s="20" t="str">
        <f aca="false">IF(ABS(I15)&gt;=0.2,"controleren","")</f>
        <v/>
      </c>
      <c r="L15" s="21" t="n">
        <f aca="false">G15*Tiers!$B$19</f>
        <v>27.909455</v>
      </c>
      <c r="M15" s="15" t="n">
        <v>66.58</v>
      </c>
      <c r="N15" s="19" t="n">
        <f aca="false">IFERROR(1-D15/M15,0)</f>
        <v>0.399969960949234</v>
      </c>
      <c r="O15" s="19" t="n">
        <f aca="false">IF(Tiers!$B$18="ja",Tiers!$B$20,N15)</f>
        <v>0.399969960949234</v>
      </c>
      <c r="P15" s="15" t="n">
        <f aca="false">ROUNDUP(G15/(1-O15),0)-0.05</f>
        <v>74.95</v>
      </c>
      <c r="Q15" s="19" t="n">
        <f aca="false">IFERROR(1-G15/P15,0)</f>
        <v>0.400266844563042</v>
      </c>
      <c r="R15" s="14" t="n">
        <v>40</v>
      </c>
    </row>
    <row r="16" customFormat="false" ht="15" hidden="false" customHeight="false" outlineLevel="0" collapsed="false">
      <c r="A16" s="14" t="s">
        <v>82</v>
      </c>
      <c r="B16" s="14" t="s">
        <v>83</v>
      </c>
      <c r="C16" s="14" t="s">
        <v>6</v>
      </c>
      <c r="D16" s="15" t="n">
        <v>49.95</v>
      </c>
      <c r="E16" s="15" t="n">
        <f aca="false">IFERROR(INDEX(Tiers!$B$4:$B$15,MATCH(C16,Tiers!$A$4:$A$15,0)),D16)</f>
        <v>44.95</v>
      </c>
      <c r="F16" s="16"/>
      <c r="G16" s="17" t="n">
        <f aca="false">IF(F16="",E16,F16)</f>
        <v>44.95</v>
      </c>
      <c r="H16" s="18" t="n">
        <f aca="false">G16-D16</f>
        <v>-5</v>
      </c>
      <c r="I16" s="19" t="n">
        <f aca="false">IFERROR((G16-D16)/D16,0)</f>
        <v>-0.1001001001001</v>
      </c>
      <c r="J16" s="14" t="str">
        <f aca="false">IF(G16&gt;D16,"Omhoog",IF(G16&lt;D16,"Omlaag","Gelijk"))</f>
        <v>Omlaag</v>
      </c>
      <c r="K16" s="20" t="str">
        <f aca="false">IF(ABS(I16)&gt;=0.2,"controleren","")</f>
        <v/>
      </c>
      <c r="L16" s="21" t="n">
        <f aca="false">G16*Tiers!$B$19</f>
        <v>27.909455</v>
      </c>
      <c r="M16" s="15" t="n">
        <v>99.9</v>
      </c>
      <c r="N16" s="19" t="n">
        <f aca="false">IFERROR(1-D16/M16,0)</f>
        <v>0.5</v>
      </c>
      <c r="O16" s="19" t="n">
        <f aca="false">IF(Tiers!$B$18="ja",Tiers!$B$20,N16)</f>
        <v>0.5</v>
      </c>
      <c r="P16" s="15" t="n">
        <f aca="false">ROUNDUP(G16/(1-O16),0)-0.05</f>
        <v>89.95</v>
      </c>
      <c r="Q16" s="19" t="n">
        <f aca="false">IFERROR(1-G16/P16,0)</f>
        <v>0.500277932184547</v>
      </c>
      <c r="R16" s="14" t="n">
        <v>25</v>
      </c>
    </row>
    <row r="17" customFormat="false" ht="15" hidden="false" customHeight="false" outlineLevel="0" collapsed="false">
      <c r="A17" s="14" t="s">
        <v>84</v>
      </c>
      <c r="B17" s="14" t="s">
        <v>85</v>
      </c>
      <c r="C17" s="14" t="s">
        <v>6</v>
      </c>
      <c r="D17" s="15" t="n">
        <v>49.95</v>
      </c>
      <c r="E17" s="15" t="n">
        <f aca="false">IFERROR(INDEX(Tiers!$B$4:$B$15,MATCH(C17,Tiers!$A$4:$A$15,0)),D17)</f>
        <v>44.95</v>
      </c>
      <c r="F17" s="16"/>
      <c r="G17" s="17" t="n">
        <f aca="false">IF(F17="",E17,F17)</f>
        <v>44.95</v>
      </c>
      <c r="H17" s="18" t="n">
        <f aca="false">G17-D17</f>
        <v>-5</v>
      </c>
      <c r="I17" s="19" t="n">
        <f aca="false">IFERROR((G17-D17)/D17,0)</f>
        <v>-0.1001001001001</v>
      </c>
      <c r="J17" s="14" t="str">
        <f aca="false">IF(G17&gt;D17,"Omhoog",IF(G17&lt;D17,"Omlaag","Gelijk"))</f>
        <v>Omlaag</v>
      </c>
      <c r="K17" s="20" t="str">
        <f aca="false">IF(ABS(I17)&gt;=0.2,"controleren","")</f>
        <v/>
      </c>
      <c r="L17" s="21" t="n">
        <f aca="false">G17*Tiers!$B$19</f>
        <v>27.909455</v>
      </c>
      <c r="M17" s="15" t="n">
        <v>90.82</v>
      </c>
      <c r="N17" s="19" t="n">
        <f aca="false">IFERROR(1-D17/M17,0)</f>
        <v>0.450011010790575</v>
      </c>
      <c r="O17" s="19" t="n">
        <f aca="false">IF(Tiers!$B$18="ja",Tiers!$B$20,N17)</f>
        <v>0.450011010790575</v>
      </c>
      <c r="P17" s="15" t="n">
        <f aca="false">ROUNDUP(G17/(1-O17),0)-0.05</f>
        <v>81.95</v>
      </c>
      <c r="Q17" s="19" t="n">
        <f aca="false">IFERROR(1-G17/P17,0)</f>
        <v>0.451494813910921</v>
      </c>
      <c r="R17" s="14" t="n">
        <v>18</v>
      </c>
    </row>
    <row r="18" customFormat="false" ht="15" hidden="false" customHeight="false" outlineLevel="0" collapsed="false">
      <c r="A18" s="14" t="s">
        <v>86</v>
      </c>
      <c r="B18" s="14" t="s">
        <v>87</v>
      </c>
      <c r="C18" s="14" t="s">
        <v>6</v>
      </c>
      <c r="D18" s="15" t="n">
        <v>49.95</v>
      </c>
      <c r="E18" s="15" t="n">
        <f aca="false">IFERROR(INDEX(Tiers!$B$4:$B$15,MATCH(C18,Tiers!$A$4:$A$15,0)),D18)</f>
        <v>44.95</v>
      </c>
      <c r="F18" s="16"/>
      <c r="G18" s="17" t="n">
        <f aca="false">IF(F18="",E18,F18)</f>
        <v>44.95</v>
      </c>
      <c r="H18" s="18" t="n">
        <f aca="false">G18-D18</f>
        <v>-5</v>
      </c>
      <c r="I18" s="19" t="n">
        <f aca="false">IFERROR((G18-D18)/D18,0)</f>
        <v>-0.1001001001001</v>
      </c>
      <c r="J18" s="14" t="str">
        <f aca="false">IF(G18&gt;D18,"Omhoog",IF(G18&lt;D18,"Omlaag","Gelijk"))</f>
        <v>Omlaag</v>
      </c>
      <c r="K18" s="20" t="str">
        <f aca="false">IF(ABS(I18)&gt;=0.2,"controleren","")</f>
        <v/>
      </c>
      <c r="L18" s="21" t="n">
        <f aca="false">G18*Tiers!$B$19</f>
        <v>27.909455</v>
      </c>
      <c r="M18" s="15" t="n">
        <v>83.25</v>
      </c>
      <c r="N18" s="19" t="n">
        <f aca="false">IFERROR(1-D18/M18,0)</f>
        <v>0.4</v>
      </c>
      <c r="O18" s="19" t="n">
        <f aca="false">IF(Tiers!$B$18="ja",Tiers!$B$20,N18)</f>
        <v>0.4</v>
      </c>
      <c r="P18" s="15" t="n">
        <f aca="false">ROUNDUP(G18/(1-O18),0)-0.05</f>
        <v>74.95</v>
      </c>
      <c r="Q18" s="19" t="n">
        <f aca="false">IFERROR(1-G18/P18,0)</f>
        <v>0.400266844563042</v>
      </c>
      <c r="R18" s="14" t="n">
        <v>42</v>
      </c>
    </row>
    <row r="19" customFormat="false" ht="15" hidden="false" customHeight="false" outlineLevel="0" collapsed="false">
      <c r="A19" s="14" t="s">
        <v>88</v>
      </c>
      <c r="B19" s="14" t="s">
        <v>89</v>
      </c>
      <c r="C19" s="14" t="s">
        <v>6</v>
      </c>
      <c r="D19" s="15" t="n">
        <v>49.95</v>
      </c>
      <c r="E19" s="15" t="n">
        <f aca="false">IFERROR(INDEX(Tiers!$B$4:$B$15,MATCH(C19,Tiers!$A$4:$A$15,0)),D19)</f>
        <v>44.95</v>
      </c>
      <c r="F19" s="16"/>
      <c r="G19" s="17" t="n">
        <f aca="false">IF(F19="",E19,F19)</f>
        <v>44.95</v>
      </c>
      <c r="H19" s="18" t="n">
        <f aca="false">G19-D19</f>
        <v>-5</v>
      </c>
      <c r="I19" s="19" t="n">
        <f aca="false">IFERROR((G19-D19)/D19,0)</f>
        <v>-0.1001001001001</v>
      </c>
      <c r="J19" s="14" t="str">
        <f aca="false">IF(G19&gt;D19,"Omhoog",IF(G19&lt;D19,"Omlaag","Gelijk"))</f>
        <v>Omlaag</v>
      </c>
      <c r="K19" s="20" t="str">
        <f aca="false">IF(ABS(I19)&gt;=0.2,"controleren","")</f>
        <v/>
      </c>
      <c r="L19" s="21" t="n">
        <f aca="false">G19*Tiers!$B$19</f>
        <v>27.909455</v>
      </c>
      <c r="M19" s="15" t="n">
        <v>90.82</v>
      </c>
      <c r="N19" s="19" t="n">
        <f aca="false">IFERROR(1-D19/M19,0)</f>
        <v>0.450011010790575</v>
      </c>
      <c r="O19" s="19" t="n">
        <f aca="false">IF(Tiers!$B$18="ja",Tiers!$B$20,N19)</f>
        <v>0.450011010790575</v>
      </c>
      <c r="P19" s="15" t="n">
        <f aca="false">ROUNDUP(G19/(1-O19),0)-0.05</f>
        <v>81.95</v>
      </c>
      <c r="Q19" s="19" t="n">
        <f aca="false">IFERROR(1-G19/P19,0)</f>
        <v>0.451494813910921</v>
      </c>
      <c r="R19" s="14" t="n">
        <v>42</v>
      </c>
    </row>
    <row r="20" customFormat="false" ht="15" hidden="false" customHeight="false" outlineLevel="0" collapsed="false">
      <c r="A20" s="14" t="s">
        <v>90</v>
      </c>
      <c r="B20" s="14" t="s">
        <v>91</v>
      </c>
      <c r="C20" s="14" t="s">
        <v>6</v>
      </c>
      <c r="D20" s="15" t="n">
        <v>44.95</v>
      </c>
      <c r="E20" s="15" t="n">
        <f aca="false">IFERROR(INDEX(Tiers!$B$4:$B$15,MATCH(C20,Tiers!$A$4:$A$15,0)),D20)</f>
        <v>44.95</v>
      </c>
      <c r="F20" s="16"/>
      <c r="G20" s="17" t="n">
        <f aca="false">IF(F20="",E20,F20)</f>
        <v>44.95</v>
      </c>
      <c r="H20" s="18" t="n">
        <f aca="false">G20-D20</f>
        <v>0</v>
      </c>
      <c r="I20" s="19" t="n">
        <f aca="false">IFERROR((G20-D20)/D20,0)</f>
        <v>0</v>
      </c>
      <c r="J20" s="14" t="str">
        <f aca="false">IF(G20&gt;D20,"Omhoog",IF(G20&lt;D20,"Omlaag","Gelijk"))</f>
        <v>Gelijk</v>
      </c>
      <c r="K20" s="20" t="str">
        <f aca="false">IF(ABS(I20)&gt;=0.2,"controleren","")</f>
        <v/>
      </c>
      <c r="L20" s="21" t="n">
        <f aca="false">G20*Tiers!$B$19</f>
        <v>27.909455</v>
      </c>
      <c r="M20" s="15" t="n">
        <v>74.92</v>
      </c>
      <c r="N20" s="19" t="n">
        <f aca="false">IFERROR(1-D20/M20,0)</f>
        <v>0.400026695141484</v>
      </c>
      <c r="O20" s="19" t="n">
        <f aca="false">IF(Tiers!$B$18="ja",Tiers!$B$20,N20)</f>
        <v>0.400026695141484</v>
      </c>
      <c r="P20" s="15" t="n">
        <f aca="false">ROUNDUP(G20/(1-O20),0)-0.05</f>
        <v>74.95</v>
      </c>
      <c r="Q20" s="19" t="n">
        <f aca="false">IFERROR(1-G20/P20,0)</f>
        <v>0.400266844563042</v>
      </c>
      <c r="R20" s="14" t="n">
        <v>24</v>
      </c>
    </row>
    <row r="21" customFormat="false" ht="15" hidden="false" customHeight="false" outlineLevel="0" collapsed="false">
      <c r="A21" s="14" t="s">
        <v>92</v>
      </c>
      <c r="B21" s="14" t="s">
        <v>93</v>
      </c>
      <c r="C21" s="14" t="s">
        <v>6</v>
      </c>
      <c r="D21" s="15" t="n">
        <v>44.95</v>
      </c>
      <c r="E21" s="15" t="n">
        <f aca="false">IFERROR(INDEX(Tiers!$B$4:$B$15,MATCH(C21,Tiers!$A$4:$A$15,0)),D21)</f>
        <v>44.95</v>
      </c>
      <c r="F21" s="16"/>
      <c r="G21" s="17" t="n">
        <f aca="false">IF(F21="",E21,F21)</f>
        <v>44.95</v>
      </c>
      <c r="H21" s="18" t="n">
        <f aca="false">G21-D21</f>
        <v>0</v>
      </c>
      <c r="I21" s="19" t="n">
        <f aca="false">IFERROR((G21-D21)/D21,0)</f>
        <v>0</v>
      </c>
      <c r="J21" s="14" t="str">
        <f aca="false">IF(G21&gt;D21,"Omhoog",IF(G21&lt;D21,"Omlaag","Gelijk"))</f>
        <v>Gelijk</v>
      </c>
      <c r="K21" s="20" t="str">
        <f aca="false">IF(ABS(I21)&gt;=0.2,"controleren","")</f>
        <v/>
      </c>
      <c r="L21" s="21" t="n">
        <f aca="false">G21*Tiers!$B$19</f>
        <v>27.909455</v>
      </c>
      <c r="M21" s="15" t="n">
        <v>89.9</v>
      </c>
      <c r="N21" s="19" t="n">
        <f aca="false">IFERROR(1-D21/M21,0)</f>
        <v>0.5</v>
      </c>
      <c r="O21" s="19" t="n">
        <f aca="false">IF(Tiers!$B$18="ja",Tiers!$B$20,N21)</f>
        <v>0.5</v>
      </c>
      <c r="P21" s="15" t="n">
        <f aca="false">ROUNDUP(G21/(1-O21),0)-0.05</f>
        <v>89.95</v>
      </c>
      <c r="Q21" s="19" t="n">
        <f aca="false">IFERROR(1-G21/P21,0)</f>
        <v>0.500277932184547</v>
      </c>
      <c r="R21" s="14" t="n">
        <v>20</v>
      </c>
    </row>
    <row r="22" customFormat="false" ht="15" hidden="false" customHeight="false" outlineLevel="0" collapsed="false">
      <c r="A22" s="14" t="s">
        <v>94</v>
      </c>
      <c r="B22" s="14" t="s">
        <v>95</v>
      </c>
      <c r="C22" s="14" t="s">
        <v>6</v>
      </c>
      <c r="D22" s="15" t="n">
        <v>44.95</v>
      </c>
      <c r="E22" s="15" t="n">
        <f aca="false">IFERROR(INDEX(Tiers!$B$4:$B$15,MATCH(C22,Tiers!$A$4:$A$15,0)),D22)</f>
        <v>44.95</v>
      </c>
      <c r="F22" s="16"/>
      <c r="G22" s="17" t="n">
        <f aca="false">IF(F22="",E22,F22)</f>
        <v>44.95</v>
      </c>
      <c r="H22" s="18" t="n">
        <f aca="false">G22-D22</f>
        <v>0</v>
      </c>
      <c r="I22" s="19" t="n">
        <f aca="false">IFERROR((G22-D22)/D22,0)</f>
        <v>0</v>
      </c>
      <c r="J22" s="14" t="str">
        <f aca="false">IF(G22&gt;D22,"Omhoog",IF(G22&lt;D22,"Omlaag","Gelijk"))</f>
        <v>Gelijk</v>
      </c>
      <c r="K22" s="20" t="str">
        <f aca="false">IF(ABS(I22)&gt;=0.2,"controleren","")</f>
        <v/>
      </c>
      <c r="L22" s="21" t="n">
        <f aca="false">G22*Tiers!$B$19</f>
        <v>27.909455</v>
      </c>
      <c r="M22" s="15" t="n">
        <v>89.9</v>
      </c>
      <c r="N22" s="19" t="n">
        <f aca="false">IFERROR(1-D22/M22,0)</f>
        <v>0.5</v>
      </c>
      <c r="O22" s="19" t="n">
        <f aca="false">IF(Tiers!$B$18="ja",Tiers!$B$20,N22)</f>
        <v>0.5</v>
      </c>
      <c r="P22" s="15" t="n">
        <f aca="false">ROUNDUP(G22/(1-O22),0)-0.05</f>
        <v>89.95</v>
      </c>
      <c r="Q22" s="19" t="n">
        <f aca="false">IFERROR(1-G22/P22,0)</f>
        <v>0.500277932184547</v>
      </c>
      <c r="R22" s="14" t="n">
        <v>12</v>
      </c>
    </row>
    <row r="23" customFormat="false" ht="15" hidden="false" customHeight="false" outlineLevel="0" collapsed="false">
      <c r="A23" s="14" t="s">
        <v>96</v>
      </c>
      <c r="B23" s="14" t="s">
        <v>97</v>
      </c>
      <c r="C23" s="14" t="s">
        <v>6</v>
      </c>
      <c r="D23" s="15" t="n">
        <v>44.95</v>
      </c>
      <c r="E23" s="15" t="n">
        <f aca="false">IFERROR(INDEX(Tiers!$B$4:$B$15,MATCH(C23,Tiers!$A$4:$A$15,0)),D23)</f>
        <v>44.95</v>
      </c>
      <c r="F23" s="16"/>
      <c r="G23" s="17" t="n">
        <f aca="false">IF(F23="",E23,F23)</f>
        <v>44.95</v>
      </c>
      <c r="H23" s="18" t="n">
        <f aca="false">G23-D23</f>
        <v>0</v>
      </c>
      <c r="I23" s="19" t="n">
        <f aca="false">IFERROR((G23-D23)/D23,0)</f>
        <v>0</v>
      </c>
      <c r="J23" s="14" t="str">
        <f aca="false">IF(G23&gt;D23,"Omhoog",IF(G23&lt;D23,"Omlaag","Gelijk"))</f>
        <v>Gelijk</v>
      </c>
      <c r="K23" s="20" t="str">
        <f aca="false">IF(ABS(I23)&gt;=0.2,"controleren","")</f>
        <v/>
      </c>
      <c r="L23" s="21" t="n">
        <f aca="false">G23*Tiers!$B$19</f>
        <v>27.909455</v>
      </c>
      <c r="M23" s="15" t="n">
        <v>89.9</v>
      </c>
      <c r="N23" s="19" t="n">
        <f aca="false">IFERROR(1-D23/M23,0)</f>
        <v>0.5</v>
      </c>
      <c r="O23" s="19" t="n">
        <f aca="false">IF(Tiers!$B$18="ja",Tiers!$B$20,N23)</f>
        <v>0.5</v>
      </c>
      <c r="P23" s="15" t="n">
        <f aca="false">ROUNDUP(G23/(1-O23),0)-0.05</f>
        <v>89.95</v>
      </c>
      <c r="Q23" s="19" t="n">
        <f aca="false">IFERROR(1-G23/P23,0)</f>
        <v>0.500277932184547</v>
      </c>
      <c r="R23" s="14" t="n">
        <v>6</v>
      </c>
    </row>
    <row r="24" customFormat="false" ht="15" hidden="false" customHeight="false" outlineLevel="0" collapsed="false">
      <c r="A24" s="14" t="s">
        <v>98</v>
      </c>
      <c r="B24" s="14" t="s">
        <v>99</v>
      </c>
      <c r="C24" s="14" t="s">
        <v>6</v>
      </c>
      <c r="D24" s="15" t="n">
        <v>69.95</v>
      </c>
      <c r="E24" s="15" t="n">
        <f aca="false">IFERROR(INDEX(Tiers!$B$4:$B$15,MATCH(C24,Tiers!$A$4:$A$15,0)),D24)</f>
        <v>44.95</v>
      </c>
      <c r="F24" s="16"/>
      <c r="G24" s="17" t="n">
        <f aca="false">IF(F24="",E24,F24)</f>
        <v>44.95</v>
      </c>
      <c r="H24" s="18" t="n">
        <f aca="false">G24-D24</f>
        <v>-25</v>
      </c>
      <c r="I24" s="19" t="n">
        <f aca="false">IFERROR((G24-D24)/D24,0)</f>
        <v>-0.357398141529664</v>
      </c>
      <c r="J24" s="14" t="str">
        <f aca="false">IF(G24&gt;D24,"Omhoog",IF(G24&lt;D24,"Omlaag","Gelijk"))</f>
        <v>Omlaag</v>
      </c>
      <c r="K24" s="20" t="str">
        <f aca="false">IF(ABS(I24)&gt;=0.2,"controleren","")</f>
        <v>controleren</v>
      </c>
      <c r="L24" s="21" t="n">
        <f aca="false">G24*Tiers!$B$19</f>
        <v>27.909455</v>
      </c>
      <c r="M24" s="15" t="n">
        <v>139.9</v>
      </c>
      <c r="N24" s="19" t="n">
        <f aca="false">IFERROR(1-D24/M24,0)</f>
        <v>0.5</v>
      </c>
      <c r="O24" s="19" t="n">
        <f aca="false">IF(Tiers!$B$18="ja",Tiers!$B$20,N24)</f>
        <v>0.5</v>
      </c>
      <c r="P24" s="15" t="n">
        <f aca="false">ROUNDUP(G24/(1-O24),0)-0.05</f>
        <v>89.95</v>
      </c>
      <c r="Q24" s="19" t="n">
        <f aca="false">IFERROR(1-G24/P24,0)</f>
        <v>0.500277932184547</v>
      </c>
      <c r="R24" s="14" t="n">
        <v>63</v>
      </c>
    </row>
    <row r="25" customFormat="false" ht="15" hidden="false" customHeight="false" outlineLevel="0" collapsed="false">
      <c r="A25" s="14" t="s">
        <v>100</v>
      </c>
      <c r="B25" s="14" t="s">
        <v>101</v>
      </c>
      <c r="C25" s="14" t="s">
        <v>6</v>
      </c>
      <c r="D25" s="15" t="n">
        <v>44.95</v>
      </c>
      <c r="E25" s="15" t="n">
        <f aca="false">IFERROR(INDEX(Tiers!$B$4:$B$15,MATCH(C25,Tiers!$A$4:$A$15,0)),D25)</f>
        <v>44.95</v>
      </c>
      <c r="F25" s="16"/>
      <c r="G25" s="17" t="n">
        <f aca="false">IF(F25="",E25,F25)</f>
        <v>44.95</v>
      </c>
      <c r="H25" s="18" t="n">
        <f aca="false">G25-D25</f>
        <v>0</v>
      </c>
      <c r="I25" s="19" t="n">
        <f aca="false">IFERROR((G25-D25)/D25,0)</f>
        <v>0</v>
      </c>
      <c r="J25" s="14" t="str">
        <f aca="false">IF(G25&gt;D25,"Omhoog",IF(G25&lt;D25,"Omlaag","Gelijk"))</f>
        <v>Gelijk</v>
      </c>
      <c r="K25" s="20" t="str">
        <f aca="false">IF(ABS(I25)&gt;=0.2,"controleren","")</f>
        <v/>
      </c>
      <c r="L25" s="21" t="n">
        <f aca="false">G25*Tiers!$B$19</f>
        <v>27.909455</v>
      </c>
      <c r="M25" s="15" t="n">
        <v>89.9</v>
      </c>
      <c r="N25" s="19" t="n">
        <f aca="false">IFERROR(1-D25/M25,0)</f>
        <v>0.5</v>
      </c>
      <c r="O25" s="19" t="n">
        <f aca="false">IF(Tiers!$B$18="ja",Tiers!$B$20,N25)</f>
        <v>0.5</v>
      </c>
      <c r="P25" s="15" t="n">
        <f aca="false">ROUNDUP(G25/(1-O25),0)-0.05</f>
        <v>89.95</v>
      </c>
      <c r="Q25" s="19" t="n">
        <f aca="false">IFERROR(1-G25/P25,0)</f>
        <v>0.500277932184547</v>
      </c>
      <c r="R25" s="14" t="n">
        <v>21</v>
      </c>
    </row>
    <row r="26" customFormat="false" ht="15" hidden="false" customHeight="false" outlineLevel="0" collapsed="false">
      <c r="A26" s="14" t="s">
        <v>102</v>
      </c>
      <c r="B26" s="14" t="s">
        <v>103</v>
      </c>
      <c r="C26" s="14" t="s">
        <v>6</v>
      </c>
      <c r="D26" s="15" t="n">
        <v>39.95</v>
      </c>
      <c r="E26" s="15" t="n">
        <f aca="false">IFERROR(INDEX(Tiers!$B$4:$B$15,MATCH(C26,Tiers!$A$4:$A$15,0)),D26)</f>
        <v>44.95</v>
      </c>
      <c r="F26" s="16"/>
      <c r="G26" s="17" t="n">
        <f aca="false">IF(F26="",E26,F26)</f>
        <v>44.95</v>
      </c>
      <c r="H26" s="18" t="n">
        <f aca="false">G26-D26</f>
        <v>5</v>
      </c>
      <c r="I26" s="19" t="n">
        <f aca="false">IFERROR((G26-D26)/D26,0)</f>
        <v>0.125156445556946</v>
      </c>
      <c r="J26" s="14" t="str">
        <f aca="false">IF(G26&gt;D26,"Omhoog",IF(G26&lt;D26,"Omlaag","Gelijk"))</f>
        <v>Omhoog</v>
      </c>
      <c r="K26" s="20" t="str">
        <f aca="false">IF(ABS(I26)&gt;=0.2,"controleren","")</f>
        <v/>
      </c>
      <c r="L26" s="21" t="n">
        <f aca="false">G26*Tiers!$B$19</f>
        <v>27.909455</v>
      </c>
      <c r="M26" s="15" t="n">
        <v>72.64</v>
      </c>
      <c r="N26" s="19" t="n">
        <f aca="false">IFERROR(1-D26/M26,0)</f>
        <v>0.450027533039648</v>
      </c>
      <c r="O26" s="19" t="n">
        <f aca="false">IF(Tiers!$B$18="ja",Tiers!$B$20,N26)</f>
        <v>0.450027533039648</v>
      </c>
      <c r="P26" s="15" t="n">
        <f aca="false">ROUNDUP(G26/(1-O26),0)-0.05</f>
        <v>81.95</v>
      </c>
      <c r="Q26" s="19" t="n">
        <f aca="false">IFERROR(1-G26/P26,0)</f>
        <v>0.451494813910921</v>
      </c>
      <c r="R26" s="14" t="n">
        <v>14</v>
      </c>
    </row>
    <row r="27" customFormat="false" ht="15" hidden="false" customHeight="false" outlineLevel="0" collapsed="false">
      <c r="A27" s="14" t="s">
        <v>104</v>
      </c>
      <c r="B27" s="14" t="s">
        <v>105</v>
      </c>
      <c r="C27" s="14" t="s">
        <v>6</v>
      </c>
      <c r="D27" s="15" t="n">
        <v>44.95</v>
      </c>
      <c r="E27" s="15" t="n">
        <f aca="false">IFERROR(INDEX(Tiers!$B$4:$B$15,MATCH(C27,Tiers!$A$4:$A$15,0)),D27)</f>
        <v>44.95</v>
      </c>
      <c r="F27" s="16"/>
      <c r="G27" s="17" t="n">
        <f aca="false">IF(F27="",E27,F27)</f>
        <v>44.95</v>
      </c>
      <c r="H27" s="18" t="n">
        <f aca="false">G27-D27</f>
        <v>0</v>
      </c>
      <c r="I27" s="19" t="n">
        <f aca="false">IFERROR((G27-D27)/D27,0)</f>
        <v>0</v>
      </c>
      <c r="J27" s="14" t="str">
        <f aca="false">IF(G27&gt;D27,"Omhoog",IF(G27&lt;D27,"Omlaag","Gelijk"))</f>
        <v>Gelijk</v>
      </c>
      <c r="K27" s="20" t="str">
        <f aca="false">IF(ABS(I27)&gt;=0.2,"controleren","")</f>
        <v/>
      </c>
      <c r="L27" s="21" t="n">
        <f aca="false">G27*Tiers!$B$19</f>
        <v>27.909455</v>
      </c>
      <c r="M27" s="15" t="n">
        <v>74.92</v>
      </c>
      <c r="N27" s="19" t="n">
        <f aca="false">IFERROR(1-D27/M27,0)</f>
        <v>0.400026695141484</v>
      </c>
      <c r="O27" s="19" t="n">
        <f aca="false">IF(Tiers!$B$18="ja",Tiers!$B$20,N27)</f>
        <v>0.400026695141484</v>
      </c>
      <c r="P27" s="15" t="n">
        <f aca="false">ROUNDUP(G27/(1-O27),0)-0.05</f>
        <v>74.95</v>
      </c>
      <c r="Q27" s="19" t="n">
        <f aca="false">IFERROR(1-G27/P27,0)</f>
        <v>0.400266844563042</v>
      </c>
      <c r="R27" s="14" t="n">
        <v>18</v>
      </c>
    </row>
    <row r="28" customFormat="false" ht="15" hidden="false" customHeight="false" outlineLevel="0" collapsed="false">
      <c r="A28" s="14" t="s">
        <v>106</v>
      </c>
      <c r="B28" s="14" t="s">
        <v>107</v>
      </c>
      <c r="C28" s="14" t="s">
        <v>6</v>
      </c>
      <c r="D28" s="15" t="n">
        <v>44.95</v>
      </c>
      <c r="E28" s="15" t="n">
        <f aca="false">IFERROR(INDEX(Tiers!$B$4:$B$15,MATCH(C28,Tiers!$A$4:$A$15,0)),D28)</f>
        <v>44.95</v>
      </c>
      <c r="F28" s="16"/>
      <c r="G28" s="17" t="n">
        <f aca="false">IF(F28="",E28,F28)</f>
        <v>44.95</v>
      </c>
      <c r="H28" s="18" t="n">
        <f aca="false">G28-D28</f>
        <v>0</v>
      </c>
      <c r="I28" s="19" t="n">
        <f aca="false">IFERROR((G28-D28)/D28,0)</f>
        <v>0</v>
      </c>
      <c r="J28" s="14" t="str">
        <f aca="false">IF(G28&gt;D28,"Omhoog",IF(G28&lt;D28,"Omlaag","Gelijk"))</f>
        <v>Gelijk</v>
      </c>
      <c r="K28" s="20" t="str">
        <f aca="false">IF(ABS(I28)&gt;=0.2,"controleren","")</f>
        <v/>
      </c>
      <c r="L28" s="21" t="n">
        <f aca="false">G28*Tiers!$B$19</f>
        <v>27.909455</v>
      </c>
      <c r="M28" s="15" t="n">
        <v>89.9</v>
      </c>
      <c r="N28" s="19" t="n">
        <f aca="false">IFERROR(1-D28/M28,0)</f>
        <v>0.5</v>
      </c>
      <c r="O28" s="19" t="n">
        <f aca="false">IF(Tiers!$B$18="ja",Tiers!$B$20,N28)</f>
        <v>0.5</v>
      </c>
      <c r="P28" s="15" t="n">
        <f aca="false">ROUNDUP(G28/(1-O28),0)-0.05</f>
        <v>89.95</v>
      </c>
      <c r="Q28" s="19" t="n">
        <f aca="false">IFERROR(1-G28/P28,0)</f>
        <v>0.500277932184547</v>
      </c>
      <c r="R28" s="14" t="n">
        <v>6</v>
      </c>
    </row>
    <row r="29" customFormat="false" ht="15" hidden="false" customHeight="false" outlineLevel="0" collapsed="false">
      <c r="A29" s="14" t="s">
        <v>108</v>
      </c>
      <c r="B29" s="14" t="s">
        <v>109</v>
      </c>
      <c r="C29" s="14" t="s">
        <v>6</v>
      </c>
      <c r="D29" s="15" t="n">
        <v>44.95</v>
      </c>
      <c r="E29" s="15" t="n">
        <f aca="false">IFERROR(INDEX(Tiers!$B$4:$B$15,MATCH(C29,Tiers!$A$4:$A$15,0)),D29)</f>
        <v>44.95</v>
      </c>
      <c r="F29" s="16"/>
      <c r="G29" s="17" t="n">
        <f aca="false">IF(F29="",E29,F29)</f>
        <v>44.95</v>
      </c>
      <c r="H29" s="18" t="n">
        <f aca="false">G29-D29</f>
        <v>0</v>
      </c>
      <c r="I29" s="19" t="n">
        <f aca="false">IFERROR((G29-D29)/D29,0)</f>
        <v>0</v>
      </c>
      <c r="J29" s="14" t="str">
        <f aca="false">IF(G29&gt;D29,"Omhoog",IF(G29&lt;D29,"Omlaag","Gelijk"))</f>
        <v>Gelijk</v>
      </c>
      <c r="K29" s="20" t="str">
        <f aca="false">IF(ABS(I29)&gt;=0.2,"controleren","")</f>
        <v/>
      </c>
      <c r="L29" s="21" t="n">
        <f aca="false">G29*Tiers!$B$19</f>
        <v>27.909455</v>
      </c>
      <c r="M29" s="15" t="n">
        <v>81.73</v>
      </c>
      <c r="N29" s="19" t="n">
        <f aca="false">IFERROR(1-D29/M29,0)</f>
        <v>0.450018353113912</v>
      </c>
      <c r="O29" s="19" t="n">
        <f aca="false">IF(Tiers!$B$18="ja",Tiers!$B$20,N29)</f>
        <v>0.450018353113912</v>
      </c>
      <c r="P29" s="15" t="n">
        <f aca="false">ROUNDUP(G29/(1-O29),0)-0.05</f>
        <v>81.95</v>
      </c>
      <c r="Q29" s="19" t="n">
        <f aca="false">IFERROR(1-G29/P29,0)</f>
        <v>0.451494813910921</v>
      </c>
      <c r="R29" s="14" t="n">
        <v>24</v>
      </c>
    </row>
    <row r="30" customFormat="false" ht="15" hidden="false" customHeight="false" outlineLevel="0" collapsed="false">
      <c r="A30" s="14" t="s">
        <v>110</v>
      </c>
      <c r="B30" s="14" t="s">
        <v>111</v>
      </c>
      <c r="C30" s="14" t="s">
        <v>6</v>
      </c>
      <c r="D30" s="15" t="n">
        <v>44.95</v>
      </c>
      <c r="E30" s="15" t="n">
        <f aca="false">IFERROR(INDEX(Tiers!$B$4:$B$15,MATCH(C30,Tiers!$A$4:$A$15,0)),D30)</f>
        <v>44.95</v>
      </c>
      <c r="F30" s="16"/>
      <c r="G30" s="17" t="n">
        <f aca="false">IF(F30="",E30,F30)</f>
        <v>44.95</v>
      </c>
      <c r="H30" s="18" t="n">
        <f aca="false">G30-D30</f>
        <v>0</v>
      </c>
      <c r="I30" s="19" t="n">
        <f aca="false">IFERROR((G30-D30)/D30,0)</f>
        <v>0</v>
      </c>
      <c r="J30" s="14" t="str">
        <f aca="false">IF(G30&gt;D30,"Omhoog",IF(G30&lt;D30,"Omlaag","Gelijk"))</f>
        <v>Gelijk</v>
      </c>
      <c r="K30" s="20" t="str">
        <f aca="false">IF(ABS(I30)&gt;=0.2,"controleren","")</f>
        <v/>
      </c>
      <c r="L30" s="21" t="n">
        <f aca="false">G30*Tiers!$B$19</f>
        <v>27.909455</v>
      </c>
      <c r="M30" s="15" t="n">
        <v>89.9</v>
      </c>
      <c r="N30" s="19" t="n">
        <f aca="false">IFERROR(1-D30/M30,0)</f>
        <v>0.5</v>
      </c>
      <c r="O30" s="19" t="n">
        <f aca="false">IF(Tiers!$B$18="ja",Tiers!$B$20,N30)</f>
        <v>0.5</v>
      </c>
      <c r="P30" s="15" t="n">
        <f aca="false">ROUNDUP(G30/(1-O30),0)-0.05</f>
        <v>89.95</v>
      </c>
      <c r="Q30" s="19" t="n">
        <f aca="false">IFERROR(1-G30/P30,0)</f>
        <v>0.500277932184547</v>
      </c>
      <c r="R30" s="14" t="n">
        <v>5</v>
      </c>
    </row>
    <row r="31" customFormat="false" ht="15" hidden="false" customHeight="false" outlineLevel="0" collapsed="false">
      <c r="A31" s="14" t="s">
        <v>112</v>
      </c>
      <c r="B31" s="14" t="s">
        <v>113</v>
      </c>
      <c r="C31" s="14" t="s">
        <v>6</v>
      </c>
      <c r="D31" s="15" t="n">
        <v>44.95</v>
      </c>
      <c r="E31" s="15" t="n">
        <f aca="false">IFERROR(INDEX(Tiers!$B$4:$B$15,MATCH(C31,Tiers!$A$4:$A$15,0)),D31)</f>
        <v>44.95</v>
      </c>
      <c r="F31" s="16"/>
      <c r="G31" s="17" t="n">
        <f aca="false">IF(F31="",E31,F31)</f>
        <v>44.95</v>
      </c>
      <c r="H31" s="18" t="n">
        <f aca="false">G31-D31</f>
        <v>0</v>
      </c>
      <c r="I31" s="19" t="n">
        <f aca="false">IFERROR((G31-D31)/D31,0)</f>
        <v>0</v>
      </c>
      <c r="J31" s="14" t="str">
        <f aca="false">IF(G31&gt;D31,"Omhoog",IF(G31&lt;D31,"Omlaag","Gelijk"))</f>
        <v>Gelijk</v>
      </c>
      <c r="K31" s="20" t="str">
        <f aca="false">IF(ABS(I31)&gt;=0.2,"controleren","")</f>
        <v/>
      </c>
      <c r="L31" s="21" t="n">
        <f aca="false">G31*Tiers!$B$19</f>
        <v>27.909455</v>
      </c>
      <c r="M31" s="15" t="n">
        <v>81.73</v>
      </c>
      <c r="N31" s="19" t="n">
        <f aca="false">IFERROR(1-D31/M31,0)</f>
        <v>0.450018353113912</v>
      </c>
      <c r="O31" s="19" t="n">
        <f aca="false">IF(Tiers!$B$18="ja",Tiers!$B$20,N31)</f>
        <v>0.450018353113912</v>
      </c>
      <c r="P31" s="15" t="n">
        <f aca="false">ROUNDUP(G31/(1-O31),0)-0.05</f>
        <v>81.95</v>
      </c>
      <c r="Q31" s="19" t="n">
        <f aca="false">IFERROR(1-G31/P31,0)</f>
        <v>0.451494813910921</v>
      </c>
      <c r="R31" s="14" t="n">
        <v>28</v>
      </c>
    </row>
    <row r="32" customFormat="false" ht="15" hidden="false" customHeight="false" outlineLevel="0" collapsed="false">
      <c r="A32" s="14" t="s">
        <v>114</v>
      </c>
      <c r="B32" s="14" t="s">
        <v>115</v>
      </c>
      <c r="C32" s="14" t="s">
        <v>6</v>
      </c>
      <c r="D32" s="15" t="n">
        <v>54.95</v>
      </c>
      <c r="E32" s="15" t="n">
        <f aca="false">IFERROR(INDEX(Tiers!$B$4:$B$15,MATCH(C32,Tiers!$A$4:$A$15,0)),D32)</f>
        <v>44.95</v>
      </c>
      <c r="F32" s="16"/>
      <c r="G32" s="17" t="n">
        <f aca="false">IF(F32="",E32,F32)</f>
        <v>44.95</v>
      </c>
      <c r="H32" s="18" t="n">
        <f aca="false">G32-D32</f>
        <v>-10</v>
      </c>
      <c r="I32" s="19" t="n">
        <f aca="false">IFERROR((G32-D32)/D32,0)</f>
        <v>-0.181983621474067</v>
      </c>
      <c r="J32" s="14" t="str">
        <f aca="false">IF(G32&gt;D32,"Omhoog",IF(G32&lt;D32,"Omlaag","Gelijk"))</f>
        <v>Omlaag</v>
      </c>
      <c r="K32" s="20" t="str">
        <f aca="false">IF(ABS(I32)&gt;=0.2,"controleren","")</f>
        <v/>
      </c>
      <c r="L32" s="21" t="n">
        <f aca="false">G32*Tiers!$B$19</f>
        <v>27.909455</v>
      </c>
      <c r="M32" s="15" t="n">
        <v>109.9</v>
      </c>
      <c r="N32" s="19" t="n">
        <f aca="false">IFERROR(1-D32/M32,0)</f>
        <v>0.5</v>
      </c>
      <c r="O32" s="19" t="n">
        <f aca="false">IF(Tiers!$B$18="ja",Tiers!$B$20,N32)</f>
        <v>0.5</v>
      </c>
      <c r="P32" s="15" t="n">
        <f aca="false">ROUNDUP(G32/(1-O32),0)-0.05</f>
        <v>89.95</v>
      </c>
      <c r="Q32" s="19" t="n">
        <f aca="false">IFERROR(1-G32/P32,0)</f>
        <v>0.500277932184547</v>
      </c>
      <c r="R32" s="14" t="n">
        <v>35</v>
      </c>
    </row>
    <row r="33" customFormat="false" ht="15" hidden="false" customHeight="false" outlineLevel="0" collapsed="false">
      <c r="A33" s="14" t="s">
        <v>116</v>
      </c>
      <c r="B33" s="14" t="s">
        <v>117</v>
      </c>
      <c r="C33" s="14" t="s">
        <v>6</v>
      </c>
      <c r="D33" s="15" t="n">
        <v>64.95</v>
      </c>
      <c r="E33" s="15" t="n">
        <f aca="false">IFERROR(INDEX(Tiers!$B$4:$B$15,MATCH(C33,Tiers!$A$4:$A$15,0)),D33)</f>
        <v>44.95</v>
      </c>
      <c r="F33" s="16"/>
      <c r="G33" s="17" t="n">
        <f aca="false">IF(F33="",E33,F33)</f>
        <v>44.95</v>
      </c>
      <c r="H33" s="18" t="n">
        <f aca="false">G33-D33</f>
        <v>-20</v>
      </c>
      <c r="I33" s="19" t="n">
        <f aca="false">IFERROR((G33-D33)/D33,0)</f>
        <v>-0.307929176289453</v>
      </c>
      <c r="J33" s="14" t="str">
        <f aca="false">IF(G33&gt;D33,"Omhoog",IF(G33&lt;D33,"Omlaag","Gelijk"))</f>
        <v>Omlaag</v>
      </c>
      <c r="K33" s="20" t="str">
        <f aca="false">IF(ABS(I33)&gt;=0.2,"controleren","")</f>
        <v>controleren</v>
      </c>
      <c r="L33" s="21" t="n">
        <f aca="false">G33*Tiers!$B$19</f>
        <v>27.909455</v>
      </c>
      <c r="M33" s="15" t="n">
        <v>108.25</v>
      </c>
      <c r="N33" s="19" t="n">
        <f aca="false">IFERROR(1-D33/M33,0)</f>
        <v>0.4</v>
      </c>
      <c r="O33" s="19" t="n">
        <f aca="false">IF(Tiers!$B$18="ja",Tiers!$B$20,N33)</f>
        <v>0.4</v>
      </c>
      <c r="P33" s="15" t="n">
        <f aca="false">ROUNDUP(G33/(1-O33),0)-0.05</f>
        <v>74.95</v>
      </c>
      <c r="Q33" s="19" t="n">
        <f aca="false">IFERROR(1-G33/P33,0)</f>
        <v>0.400266844563042</v>
      </c>
      <c r="R33" s="14" t="n">
        <v>30</v>
      </c>
    </row>
    <row r="34" customFormat="false" ht="15" hidden="false" customHeight="false" outlineLevel="0" collapsed="false">
      <c r="A34" s="14" t="s">
        <v>118</v>
      </c>
      <c r="B34" s="14" t="s">
        <v>119</v>
      </c>
      <c r="C34" s="14" t="s">
        <v>6</v>
      </c>
      <c r="D34" s="15" t="n">
        <v>64.95</v>
      </c>
      <c r="E34" s="15" t="n">
        <f aca="false">IFERROR(INDEX(Tiers!$B$4:$B$15,MATCH(C34,Tiers!$A$4:$A$15,0)),D34)</f>
        <v>44.95</v>
      </c>
      <c r="F34" s="16"/>
      <c r="G34" s="17" t="n">
        <f aca="false">IF(F34="",E34,F34)</f>
        <v>44.95</v>
      </c>
      <c r="H34" s="18" t="n">
        <f aca="false">G34-D34</f>
        <v>-20</v>
      </c>
      <c r="I34" s="19" t="n">
        <f aca="false">IFERROR((G34-D34)/D34,0)</f>
        <v>-0.307929176289453</v>
      </c>
      <c r="J34" s="14" t="str">
        <f aca="false">IF(G34&gt;D34,"Omhoog",IF(G34&lt;D34,"Omlaag","Gelijk"))</f>
        <v>Omlaag</v>
      </c>
      <c r="K34" s="20" t="str">
        <f aca="false">IF(ABS(I34)&gt;=0.2,"controleren","")</f>
        <v>controleren</v>
      </c>
      <c r="L34" s="21" t="n">
        <f aca="false">G34*Tiers!$B$19</f>
        <v>27.909455</v>
      </c>
      <c r="M34" s="15" t="n">
        <v>108.25</v>
      </c>
      <c r="N34" s="19" t="n">
        <f aca="false">IFERROR(1-D34/M34,0)</f>
        <v>0.4</v>
      </c>
      <c r="O34" s="19" t="n">
        <f aca="false">IF(Tiers!$B$18="ja",Tiers!$B$20,N34)</f>
        <v>0.4</v>
      </c>
      <c r="P34" s="15" t="n">
        <f aca="false">ROUNDUP(G34/(1-O34),0)-0.05</f>
        <v>74.95</v>
      </c>
      <c r="Q34" s="19" t="n">
        <f aca="false">IFERROR(1-G34/P34,0)</f>
        <v>0.400266844563042</v>
      </c>
      <c r="R34" s="14" t="n">
        <v>18</v>
      </c>
    </row>
    <row r="35" customFormat="false" ht="15" hidden="false" customHeight="false" outlineLevel="0" collapsed="false">
      <c r="A35" s="14" t="s">
        <v>120</v>
      </c>
      <c r="B35" s="14" t="s">
        <v>121</v>
      </c>
      <c r="C35" s="14" t="s">
        <v>6</v>
      </c>
      <c r="D35" s="15" t="n">
        <v>44.95</v>
      </c>
      <c r="E35" s="15" t="n">
        <f aca="false">IFERROR(INDEX(Tiers!$B$4:$B$15,MATCH(C35,Tiers!$A$4:$A$15,0)),D35)</f>
        <v>44.95</v>
      </c>
      <c r="F35" s="16"/>
      <c r="G35" s="17" t="n">
        <f aca="false">IF(F35="",E35,F35)</f>
        <v>44.95</v>
      </c>
      <c r="H35" s="18" t="n">
        <f aca="false">G35-D35</f>
        <v>0</v>
      </c>
      <c r="I35" s="19" t="n">
        <f aca="false">IFERROR((G35-D35)/D35,0)</f>
        <v>0</v>
      </c>
      <c r="J35" s="14" t="str">
        <f aca="false">IF(G35&gt;D35,"Omhoog",IF(G35&lt;D35,"Omlaag","Gelijk"))</f>
        <v>Gelijk</v>
      </c>
      <c r="K35" s="20" t="str">
        <f aca="false">IF(ABS(I35)&gt;=0.2,"controleren","")</f>
        <v/>
      </c>
      <c r="L35" s="21" t="n">
        <f aca="false">G35*Tiers!$B$19</f>
        <v>27.909455</v>
      </c>
      <c r="M35" s="15" t="n">
        <v>74.92</v>
      </c>
      <c r="N35" s="19" t="n">
        <f aca="false">IFERROR(1-D35/M35,0)</f>
        <v>0.400026695141484</v>
      </c>
      <c r="O35" s="19" t="n">
        <f aca="false">IF(Tiers!$B$18="ja",Tiers!$B$20,N35)</f>
        <v>0.400026695141484</v>
      </c>
      <c r="P35" s="15" t="n">
        <f aca="false">ROUNDUP(G35/(1-O35),0)-0.05</f>
        <v>74.95</v>
      </c>
      <c r="Q35" s="19" t="n">
        <f aca="false">IFERROR(1-G35/P35,0)</f>
        <v>0.400266844563042</v>
      </c>
      <c r="R35" s="14" t="n">
        <v>25</v>
      </c>
    </row>
    <row r="36" customFormat="false" ht="15" hidden="false" customHeight="false" outlineLevel="0" collapsed="false">
      <c r="A36" s="14" t="s">
        <v>122</v>
      </c>
      <c r="B36" s="14" t="s">
        <v>123</v>
      </c>
      <c r="C36" s="14" t="s">
        <v>6</v>
      </c>
      <c r="D36" s="15" t="n">
        <v>44.95</v>
      </c>
      <c r="E36" s="15" t="n">
        <f aca="false">IFERROR(INDEX(Tiers!$B$4:$B$15,MATCH(C36,Tiers!$A$4:$A$15,0)),D36)</f>
        <v>44.95</v>
      </c>
      <c r="F36" s="16"/>
      <c r="G36" s="17" t="n">
        <f aca="false">IF(F36="",E36,F36)</f>
        <v>44.95</v>
      </c>
      <c r="H36" s="18" t="n">
        <f aca="false">G36-D36</f>
        <v>0</v>
      </c>
      <c r="I36" s="19" t="n">
        <f aca="false">IFERROR((G36-D36)/D36,0)</f>
        <v>0</v>
      </c>
      <c r="J36" s="14" t="str">
        <f aca="false">IF(G36&gt;D36,"Omhoog",IF(G36&lt;D36,"Omlaag","Gelijk"))</f>
        <v>Gelijk</v>
      </c>
      <c r="K36" s="20" t="str">
        <f aca="false">IF(ABS(I36)&gt;=0.2,"controleren","")</f>
        <v/>
      </c>
      <c r="L36" s="21" t="n">
        <f aca="false">G36*Tiers!$B$19</f>
        <v>27.909455</v>
      </c>
      <c r="M36" s="15" t="n">
        <v>81.73</v>
      </c>
      <c r="N36" s="19" t="n">
        <f aca="false">IFERROR(1-D36/M36,0)</f>
        <v>0.450018353113912</v>
      </c>
      <c r="O36" s="19" t="n">
        <f aca="false">IF(Tiers!$B$18="ja",Tiers!$B$20,N36)</f>
        <v>0.450018353113912</v>
      </c>
      <c r="P36" s="15" t="n">
        <f aca="false">ROUNDUP(G36/(1-O36),0)-0.05</f>
        <v>81.95</v>
      </c>
      <c r="Q36" s="19" t="n">
        <f aca="false">IFERROR(1-G36/P36,0)</f>
        <v>0.451494813910921</v>
      </c>
      <c r="R36" s="14" t="n">
        <v>36</v>
      </c>
    </row>
    <row r="37" customFormat="false" ht="15" hidden="false" customHeight="false" outlineLevel="0" collapsed="false">
      <c r="A37" s="14" t="s">
        <v>124</v>
      </c>
      <c r="B37" s="14" t="s">
        <v>125</v>
      </c>
      <c r="C37" s="14" t="s">
        <v>6</v>
      </c>
      <c r="D37" s="15" t="n">
        <v>44.95</v>
      </c>
      <c r="E37" s="15" t="n">
        <f aca="false">IFERROR(INDEX(Tiers!$B$4:$B$15,MATCH(C37,Tiers!$A$4:$A$15,0)),D37)</f>
        <v>44.95</v>
      </c>
      <c r="F37" s="16"/>
      <c r="G37" s="17" t="n">
        <f aca="false">IF(F37="",E37,F37)</f>
        <v>44.95</v>
      </c>
      <c r="H37" s="18" t="n">
        <f aca="false">G37-D37</f>
        <v>0</v>
      </c>
      <c r="I37" s="19" t="n">
        <f aca="false">IFERROR((G37-D37)/D37,0)</f>
        <v>0</v>
      </c>
      <c r="J37" s="14" t="str">
        <f aca="false">IF(G37&gt;D37,"Omhoog",IF(G37&lt;D37,"Omlaag","Gelijk"))</f>
        <v>Gelijk</v>
      </c>
      <c r="K37" s="20" t="str">
        <f aca="false">IF(ABS(I37)&gt;=0.2,"controleren","")</f>
        <v/>
      </c>
      <c r="L37" s="21" t="n">
        <f aca="false">G37*Tiers!$B$19</f>
        <v>27.909455</v>
      </c>
      <c r="M37" s="15" t="n">
        <v>89.9</v>
      </c>
      <c r="N37" s="19" t="n">
        <f aca="false">IFERROR(1-D37/M37,0)</f>
        <v>0.5</v>
      </c>
      <c r="O37" s="19" t="n">
        <f aca="false">IF(Tiers!$B$18="ja",Tiers!$B$20,N37)</f>
        <v>0.5</v>
      </c>
      <c r="P37" s="15" t="n">
        <f aca="false">ROUNDUP(G37/(1-O37),0)-0.05</f>
        <v>89.95</v>
      </c>
      <c r="Q37" s="19" t="n">
        <f aca="false">IFERROR(1-G37/P37,0)</f>
        <v>0.500277932184547</v>
      </c>
      <c r="R37" s="14" t="n">
        <v>30</v>
      </c>
    </row>
    <row r="38" customFormat="false" ht="15" hidden="false" customHeight="false" outlineLevel="0" collapsed="false">
      <c r="A38" s="14" t="s">
        <v>126</v>
      </c>
      <c r="B38" s="14" t="s">
        <v>127</v>
      </c>
      <c r="C38" s="14" t="s">
        <v>6</v>
      </c>
      <c r="D38" s="15" t="n">
        <v>44.95</v>
      </c>
      <c r="E38" s="15" t="n">
        <f aca="false">IFERROR(INDEX(Tiers!$B$4:$B$15,MATCH(C38,Tiers!$A$4:$A$15,0)),D38)</f>
        <v>44.95</v>
      </c>
      <c r="F38" s="16"/>
      <c r="G38" s="17" t="n">
        <f aca="false">IF(F38="",E38,F38)</f>
        <v>44.95</v>
      </c>
      <c r="H38" s="18" t="n">
        <f aca="false">G38-D38</f>
        <v>0</v>
      </c>
      <c r="I38" s="19" t="n">
        <f aca="false">IFERROR((G38-D38)/D38,0)</f>
        <v>0</v>
      </c>
      <c r="J38" s="14" t="str">
        <f aca="false">IF(G38&gt;D38,"Omhoog",IF(G38&lt;D38,"Omlaag","Gelijk"))</f>
        <v>Gelijk</v>
      </c>
      <c r="K38" s="20" t="str">
        <f aca="false">IF(ABS(I38)&gt;=0.2,"controleren","")</f>
        <v/>
      </c>
      <c r="L38" s="21" t="n">
        <f aca="false">G38*Tiers!$B$19</f>
        <v>27.909455</v>
      </c>
      <c r="M38" s="15" t="n">
        <v>81.73</v>
      </c>
      <c r="N38" s="19" t="n">
        <f aca="false">IFERROR(1-D38/M38,0)</f>
        <v>0.450018353113912</v>
      </c>
      <c r="O38" s="19" t="n">
        <f aca="false">IF(Tiers!$B$18="ja",Tiers!$B$20,N38)</f>
        <v>0.450018353113912</v>
      </c>
      <c r="P38" s="15" t="n">
        <f aca="false">ROUNDUP(G38/(1-O38),0)-0.05</f>
        <v>81.95</v>
      </c>
      <c r="Q38" s="19" t="n">
        <f aca="false">IFERROR(1-G38/P38,0)</f>
        <v>0.451494813910921</v>
      </c>
      <c r="R38" s="14" t="n">
        <v>24</v>
      </c>
    </row>
    <row r="39" customFormat="false" ht="15" hidden="false" customHeight="false" outlineLevel="0" collapsed="false">
      <c r="A39" s="14" t="s">
        <v>128</v>
      </c>
      <c r="B39" s="14" t="s">
        <v>129</v>
      </c>
      <c r="C39" s="14" t="s">
        <v>6</v>
      </c>
      <c r="D39" s="15" t="n">
        <v>44.95</v>
      </c>
      <c r="E39" s="15" t="n">
        <f aca="false">IFERROR(INDEX(Tiers!$B$4:$B$15,MATCH(C39,Tiers!$A$4:$A$15,0)),D39)</f>
        <v>44.95</v>
      </c>
      <c r="F39" s="16"/>
      <c r="G39" s="17" t="n">
        <f aca="false">IF(F39="",E39,F39)</f>
        <v>44.95</v>
      </c>
      <c r="H39" s="18" t="n">
        <f aca="false">G39-D39</f>
        <v>0</v>
      </c>
      <c r="I39" s="19" t="n">
        <f aca="false">IFERROR((G39-D39)/D39,0)</f>
        <v>0</v>
      </c>
      <c r="J39" s="14" t="str">
        <f aca="false">IF(G39&gt;D39,"Omhoog",IF(G39&lt;D39,"Omlaag","Gelijk"))</f>
        <v>Gelijk</v>
      </c>
      <c r="K39" s="20" t="str">
        <f aca="false">IF(ABS(I39)&gt;=0.2,"controleren","")</f>
        <v/>
      </c>
      <c r="L39" s="21" t="n">
        <f aca="false">G39*Tiers!$B$19</f>
        <v>27.909455</v>
      </c>
      <c r="M39" s="15" t="n">
        <v>74.92</v>
      </c>
      <c r="N39" s="19" t="n">
        <f aca="false">IFERROR(1-D39/M39,0)</f>
        <v>0.400026695141484</v>
      </c>
      <c r="O39" s="19" t="n">
        <f aca="false">IF(Tiers!$B$18="ja",Tiers!$B$20,N39)</f>
        <v>0.400026695141484</v>
      </c>
      <c r="P39" s="15" t="n">
        <f aca="false">ROUNDUP(G39/(1-O39),0)-0.05</f>
        <v>74.95</v>
      </c>
      <c r="Q39" s="19" t="n">
        <f aca="false">IFERROR(1-G39/P39,0)</f>
        <v>0.400266844563042</v>
      </c>
      <c r="R39" s="14" t="n">
        <v>18</v>
      </c>
    </row>
    <row r="40" customFormat="false" ht="15" hidden="false" customHeight="false" outlineLevel="0" collapsed="false">
      <c r="A40" s="14" t="s">
        <v>130</v>
      </c>
      <c r="B40" s="14" t="s">
        <v>131</v>
      </c>
      <c r="C40" s="14" t="s">
        <v>6</v>
      </c>
      <c r="D40" s="15" t="n">
        <v>44.95</v>
      </c>
      <c r="E40" s="15" t="n">
        <f aca="false">IFERROR(INDEX(Tiers!$B$4:$B$15,MATCH(C40,Tiers!$A$4:$A$15,0)),D40)</f>
        <v>44.95</v>
      </c>
      <c r="F40" s="16"/>
      <c r="G40" s="17" t="n">
        <f aca="false">IF(F40="",E40,F40)</f>
        <v>44.95</v>
      </c>
      <c r="H40" s="18" t="n">
        <f aca="false">G40-D40</f>
        <v>0</v>
      </c>
      <c r="I40" s="19" t="n">
        <f aca="false">IFERROR((G40-D40)/D40,0)</f>
        <v>0</v>
      </c>
      <c r="J40" s="14" t="str">
        <f aca="false">IF(G40&gt;D40,"Omhoog",IF(G40&lt;D40,"Omlaag","Gelijk"))</f>
        <v>Gelijk</v>
      </c>
      <c r="K40" s="20" t="str">
        <f aca="false">IF(ABS(I40)&gt;=0.2,"controleren","")</f>
        <v/>
      </c>
      <c r="L40" s="21" t="n">
        <f aca="false">G40*Tiers!$B$19</f>
        <v>27.909455</v>
      </c>
      <c r="M40" s="15" t="n">
        <v>74.92</v>
      </c>
      <c r="N40" s="19" t="n">
        <f aca="false">IFERROR(1-D40/M40,0)</f>
        <v>0.400026695141484</v>
      </c>
      <c r="O40" s="19" t="n">
        <f aca="false">IF(Tiers!$B$18="ja",Tiers!$B$20,N40)</f>
        <v>0.400026695141484</v>
      </c>
      <c r="P40" s="15" t="n">
        <f aca="false">ROUNDUP(G40/(1-O40),0)-0.05</f>
        <v>74.95</v>
      </c>
      <c r="Q40" s="19" t="n">
        <f aca="false">IFERROR(1-G40/P40,0)</f>
        <v>0.400266844563042</v>
      </c>
      <c r="R40" s="14" t="n">
        <v>36</v>
      </c>
    </row>
    <row r="41" customFormat="false" ht="15" hidden="false" customHeight="false" outlineLevel="0" collapsed="false">
      <c r="A41" s="14" t="s">
        <v>132</v>
      </c>
      <c r="B41" s="14" t="s">
        <v>133</v>
      </c>
      <c r="C41" s="14" t="s">
        <v>6</v>
      </c>
      <c r="D41" s="15" t="n">
        <v>44.95</v>
      </c>
      <c r="E41" s="15" t="n">
        <f aca="false">IFERROR(INDEX(Tiers!$B$4:$B$15,MATCH(C41,Tiers!$A$4:$A$15,0)),D41)</f>
        <v>44.95</v>
      </c>
      <c r="F41" s="16"/>
      <c r="G41" s="17" t="n">
        <f aca="false">IF(F41="",E41,F41)</f>
        <v>44.95</v>
      </c>
      <c r="H41" s="18" t="n">
        <f aca="false">G41-D41</f>
        <v>0</v>
      </c>
      <c r="I41" s="19" t="n">
        <f aca="false">IFERROR((G41-D41)/D41,0)</f>
        <v>0</v>
      </c>
      <c r="J41" s="14" t="str">
        <f aca="false">IF(G41&gt;D41,"Omhoog",IF(G41&lt;D41,"Omlaag","Gelijk"))</f>
        <v>Gelijk</v>
      </c>
      <c r="K41" s="20" t="str">
        <f aca="false">IF(ABS(I41)&gt;=0.2,"controleren","")</f>
        <v/>
      </c>
      <c r="L41" s="21" t="n">
        <f aca="false">G41*Tiers!$B$19</f>
        <v>27.909455</v>
      </c>
      <c r="M41" s="15" t="n">
        <v>89.9</v>
      </c>
      <c r="N41" s="19" t="n">
        <f aca="false">IFERROR(1-D41/M41,0)</f>
        <v>0.5</v>
      </c>
      <c r="O41" s="19" t="n">
        <f aca="false">IF(Tiers!$B$18="ja",Tiers!$B$20,N41)</f>
        <v>0.5</v>
      </c>
      <c r="P41" s="15" t="n">
        <f aca="false">ROUNDUP(G41/(1-O41),0)-0.05</f>
        <v>89.95</v>
      </c>
      <c r="Q41" s="19" t="n">
        <f aca="false">IFERROR(1-G41/P41,0)</f>
        <v>0.500277932184547</v>
      </c>
      <c r="R41" s="14" t="n">
        <v>15</v>
      </c>
    </row>
    <row r="42" customFormat="false" ht="15" hidden="false" customHeight="false" outlineLevel="0" collapsed="false">
      <c r="A42" s="14" t="s">
        <v>134</v>
      </c>
      <c r="B42" s="14" t="s">
        <v>135</v>
      </c>
      <c r="C42" s="14" t="s">
        <v>6</v>
      </c>
      <c r="D42" s="15" t="n">
        <v>44.95</v>
      </c>
      <c r="E42" s="15" t="n">
        <f aca="false">IFERROR(INDEX(Tiers!$B$4:$B$15,MATCH(C42,Tiers!$A$4:$A$15,0)),D42)</f>
        <v>44.95</v>
      </c>
      <c r="F42" s="16"/>
      <c r="G42" s="17" t="n">
        <f aca="false">IF(F42="",E42,F42)</f>
        <v>44.95</v>
      </c>
      <c r="H42" s="18" t="n">
        <f aca="false">G42-D42</f>
        <v>0</v>
      </c>
      <c r="I42" s="19" t="n">
        <f aca="false">IFERROR((G42-D42)/D42,0)</f>
        <v>0</v>
      </c>
      <c r="J42" s="14" t="str">
        <f aca="false">IF(G42&gt;D42,"Omhoog",IF(G42&lt;D42,"Omlaag","Gelijk"))</f>
        <v>Gelijk</v>
      </c>
      <c r="K42" s="20" t="str">
        <f aca="false">IF(ABS(I42)&gt;=0.2,"controleren","")</f>
        <v/>
      </c>
      <c r="L42" s="21" t="n">
        <f aca="false">G42*Tiers!$B$19</f>
        <v>27.909455</v>
      </c>
      <c r="M42" s="15" t="n">
        <v>74.92</v>
      </c>
      <c r="N42" s="19" t="n">
        <f aca="false">IFERROR(1-D42/M42,0)</f>
        <v>0.400026695141484</v>
      </c>
      <c r="O42" s="19" t="n">
        <f aca="false">IF(Tiers!$B$18="ja",Tiers!$B$20,N42)</f>
        <v>0.400026695141484</v>
      </c>
      <c r="P42" s="15" t="n">
        <f aca="false">ROUNDUP(G42/(1-O42),0)-0.05</f>
        <v>74.95</v>
      </c>
      <c r="Q42" s="19" t="n">
        <f aca="false">IFERROR(1-G42/P42,0)</f>
        <v>0.400266844563042</v>
      </c>
      <c r="R42" s="14" t="n">
        <v>36</v>
      </c>
    </row>
    <row r="43" customFormat="false" ht="15" hidden="false" customHeight="false" outlineLevel="0" collapsed="false">
      <c r="A43" s="14" t="s">
        <v>136</v>
      </c>
      <c r="B43" s="14" t="s">
        <v>137</v>
      </c>
      <c r="C43" s="14" t="s">
        <v>6</v>
      </c>
      <c r="D43" s="15" t="n">
        <v>44.95</v>
      </c>
      <c r="E43" s="15" t="n">
        <f aca="false">IFERROR(INDEX(Tiers!$B$4:$B$15,MATCH(C43,Tiers!$A$4:$A$15,0)),D43)</f>
        <v>44.95</v>
      </c>
      <c r="F43" s="16"/>
      <c r="G43" s="17" t="n">
        <f aca="false">IF(F43="",E43,F43)</f>
        <v>44.95</v>
      </c>
      <c r="H43" s="18" t="n">
        <f aca="false">G43-D43</f>
        <v>0</v>
      </c>
      <c r="I43" s="19" t="n">
        <f aca="false">IFERROR((G43-D43)/D43,0)</f>
        <v>0</v>
      </c>
      <c r="J43" s="14" t="str">
        <f aca="false">IF(G43&gt;D43,"Omhoog",IF(G43&lt;D43,"Omlaag","Gelijk"))</f>
        <v>Gelijk</v>
      </c>
      <c r="K43" s="20" t="str">
        <f aca="false">IF(ABS(I43)&gt;=0.2,"controleren","")</f>
        <v/>
      </c>
      <c r="L43" s="21" t="n">
        <f aca="false">G43*Tiers!$B$19</f>
        <v>27.909455</v>
      </c>
      <c r="M43" s="15" t="n">
        <v>74.92</v>
      </c>
      <c r="N43" s="19" t="n">
        <f aca="false">IFERROR(1-D43/M43,0)</f>
        <v>0.400026695141484</v>
      </c>
      <c r="O43" s="19" t="n">
        <f aca="false">IF(Tiers!$B$18="ja",Tiers!$B$20,N43)</f>
        <v>0.400026695141484</v>
      </c>
      <c r="P43" s="15" t="n">
        <f aca="false">ROUNDUP(G43/(1-O43),0)-0.05</f>
        <v>74.95</v>
      </c>
      <c r="Q43" s="19" t="n">
        <f aca="false">IFERROR(1-G43/P43,0)</f>
        <v>0.400266844563042</v>
      </c>
      <c r="R43" s="14" t="n">
        <v>30</v>
      </c>
    </row>
    <row r="44" customFormat="false" ht="15" hidden="false" customHeight="false" outlineLevel="0" collapsed="false">
      <c r="A44" s="14" t="s">
        <v>138</v>
      </c>
      <c r="B44" s="14" t="s">
        <v>139</v>
      </c>
      <c r="C44" s="14" t="s">
        <v>6</v>
      </c>
      <c r="D44" s="15" t="n">
        <v>44.95</v>
      </c>
      <c r="E44" s="15" t="n">
        <f aca="false">IFERROR(INDEX(Tiers!$B$4:$B$15,MATCH(C44,Tiers!$A$4:$A$15,0)),D44)</f>
        <v>44.95</v>
      </c>
      <c r="F44" s="16"/>
      <c r="G44" s="17" t="n">
        <f aca="false">IF(F44="",E44,F44)</f>
        <v>44.95</v>
      </c>
      <c r="H44" s="18" t="n">
        <f aca="false">G44-D44</f>
        <v>0</v>
      </c>
      <c r="I44" s="19" t="n">
        <f aca="false">IFERROR((G44-D44)/D44,0)</f>
        <v>0</v>
      </c>
      <c r="J44" s="14" t="str">
        <f aca="false">IF(G44&gt;D44,"Omhoog",IF(G44&lt;D44,"Omlaag","Gelijk"))</f>
        <v>Gelijk</v>
      </c>
      <c r="K44" s="20" t="str">
        <f aca="false">IF(ABS(I44)&gt;=0.2,"controleren","")</f>
        <v/>
      </c>
      <c r="L44" s="21" t="n">
        <f aca="false">G44*Tiers!$B$19</f>
        <v>27.909455</v>
      </c>
      <c r="M44" s="15" t="n">
        <v>74.92</v>
      </c>
      <c r="N44" s="19" t="n">
        <f aca="false">IFERROR(1-D44/M44,0)</f>
        <v>0.400026695141484</v>
      </c>
      <c r="O44" s="19" t="n">
        <f aca="false">IF(Tiers!$B$18="ja",Tiers!$B$20,N44)</f>
        <v>0.400026695141484</v>
      </c>
      <c r="P44" s="15" t="n">
        <f aca="false">ROUNDUP(G44/(1-O44),0)-0.05</f>
        <v>74.95</v>
      </c>
      <c r="Q44" s="19" t="n">
        <f aca="false">IFERROR(1-G44/P44,0)</f>
        <v>0.400266844563042</v>
      </c>
      <c r="R44" s="14" t="n">
        <v>42</v>
      </c>
    </row>
    <row r="45" customFormat="false" ht="15" hidden="false" customHeight="false" outlineLevel="0" collapsed="false">
      <c r="A45" s="14" t="s">
        <v>140</v>
      </c>
      <c r="B45" s="14" t="s">
        <v>141</v>
      </c>
      <c r="C45" s="14" t="s">
        <v>6</v>
      </c>
      <c r="D45" s="15" t="n">
        <v>39.95</v>
      </c>
      <c r="E45" s="15" t="n">
        <f aca="false">IFERROR(INDEX(Tiers!$B$4:$B$15,MATCH(C45,Tiers!$A$4:$A$15,0)),D45)</f>
        <v>44.95</v>
      </c>
      <c r="F45" s="16"/>
      <c r="G45" s="17" t="n">
        <f aca="false">IF(F45="",E45,F45)</f>
        <v>44.95</v>
      </c>
      <c r="H45" s="18" t="n">
        <f aca="false">G45-D45</f>
        <v>5</v>
      </c>
      <c r="I45" s="19" t="n">
        <f aca="false">IFERROR((G45-D45)/D45,0)</f>
        <v>0.125156445556946</v>
      </c>
      <c r="J45" s="14" t="str">
        <f aca="false">IF(G45&gt;D45,"Omhoog",IF(G45&lt;D45,"Omlaag","Gelijk"))</f>
        <v>Omhoog</v>
      </c>
      <c r="K45" s="20" t="str">
        <f aca="false">IF(ABS(I45)&gt;=0.2,"controleren","")</f>
        <v/>
      </c>
      <c r="L45" s="21" t="n">
        <f aca="false">G45*Tiers!$B$19</f>
        <v>27.909455</v>
      </c>
      <c r="M45" s="15" t="n">
        <v>72.64</v>
      </c>
      <c r="N45" s="19" t="n">
        <f aca="false">IFERROR(1-D45/M45,0)</f>
        <v>0.450027533039648</v>
      </c>
      <c r="O45" s="19" t="n">
        <f aca="false">IF(Tiers!$B$18="ja",Tiers!$B$20,N45)</f>
        <v>0.450027533039648</v>
      </c>
      <c r="P45" s="15" t="n">
        <f aca="false">ROUNDUP(G45/(1-O45),0)-0.05</f>
        <v>81.95</v>
      </c>
      <c r="Q45" s="19" t="n">
        <f aca="false">IFERROR(1-G45/P45,0)</f>
        <v>0.451494813910921</v>
      </c>
      <c r="R45" s="14" t="n">
        <v>6</v>
      </c>
    </row>
    <row r="46" customFormat="false" ht="15" hidden="false" customHeight="false" outlineLevel="0" collapsed="false">
      <c r="A46" s="14" t="s">
        <v>142</v>
      </c>
      <c r="B46" s="14" t="s">
        <v>143</v>
      </c>
      <c r="C46" s="14" t="s">
        <v>6</v>
      </c>
      <c r="D46" s="15" t="n">
        <v>44.95</v>
      </c>
      <c r="E46" s="15" t="n">
        <f aca="false">IFERROR(INDEX(Tiers!$B$4:$B$15,MATCH(C46,Tiers!$A$4:$A$15,0)),D46)</f>
        <v>44.95</v>
      </c>
      <c r="F46" s="16"/>
      <c r="G46" s="17" t="n">
        <f aca="false">IF(F46="",E46,F46)</f>
        <v>44.95</v>
      </c>
      <c r="H46" s="18" t="n">
        <f aca="false">G46-D46</f>
        <v>0</v>
      </c>
      <c r="I46" s="19" t="n">
        <f aca="false">IFERROR((G46-D46)/D46,0)</f>
        <v>0</v>
      </c>
      <c r="J46" s="14" t="str">
        <f aca="false">IF(G46&gt;D46,"Omhoog",IF(G46&lt;D46,"Omlaag","Gelijk"))</f>
        <v>Gelijk</v>
      </c>
      <c r="K46" s="20" t="str">
        <f aca="false">IF(ABS(I46)&gt;=0.2,"controleren","")</f>
        <v/>
      </c>
      <c r="L46" s="21" t="n">
        <f aca="false">G46*Tiers!$B$19</f>
        <v>27.909455</v>
      </c>
      <c r="M46" s="15" t="n">
        <v>74.92</v>
      </c>
      <c r="N46" s="19" t="n">
        <f aca="false">IFERROR(1-D46/M46,0)</f>
        <v>0.400026695141484</v>
      </c>
      <c r="O46" s="19" t="n">
        <f aca="false">IF(Tiers!$B$18="ja",Tiers!$B$20,N46)</f>
        <v>0.400026695141484</v>
      </c>
      <c r="P46" s="15" t="n">
        <f aca="false">ROUNDUP(G46/(1-O46),0)-0.05</f>
        <v>74.95</v>
      </c>
      <c r="Q46" s="19" t="n">
        <f aca="false">IFERROR(1-G46/P46,0)</f>
        <v>0.400266844563042</v>
      </c>
      <c r="R46" s="14" t="n">
        <v>24</v>
      </c>
    </row>
    <row r="47" customFormat="false" ht="15" hidden="false" customHeight="false" outlineLevel="0" collapsed="false">
      <c r="A47" s="14" t="s">
        <v>144</v>
      </c>
      <c r="B47" s="14" t="s">
        <v>145</v>
      </c>
      <c r="C47" s="14" t="s">
        <v>6</v>
      </c>
      <c r="D47" s="15" t="n">
        <v>44.95</v>
      </c>
      <c r="E47" s="15" t="n">
        <f aca="false">IFERROR(INDEX(Tiers!$B$4:$B$15,MATCH(C47,Tiers!$A$4:$A$15,0)),D47)</f>
        <v>44.95</v>
      </c>
      <c r="F47" s="16"/>
      <c r="G47" s="17" t="n">
        <f aca="false">IF(F47="",E47,F47)</f>
        <v>44.95</v>
      </c>
      <c r="H47" s="18" t="n">
        <f aca="false">G47-D47</f>
        <v>0</v>
      </c>
      <c r="I47" s="19" t="n">
        <f aca="false">IFERROR((G47-D47)/D47,0)</f>
        <v>0</v>
      </c>
      <c r="J47" s="14" t="str">
        <f aca="false">IF(G47&gt;D47,"Omhoog",IF(G47&lt;D47,"Omlaag","Gelijk"))</f>
        <v>Gelijk</v>
      </c>
      <c r="K47" s="20" t="str">
        <f aca="false">IF(ABS(I47)&gt;=0.2,"controleren","")</f>
        <v/>
      </c>
      <c r="L47" s="21" t="n">
        <f aca="false">G47*Tiers!$B$19</f>
        <v>27.909455</v>
      </c>
      <c r="M47" s="15" t="n">
        <v>81.73</v>
      </c>
      <c r="N47" s="19" t="n">
        <f aca="false">IFERROR(1-D47/M47,0)</f>
        <v>0.450018353113912</v>
      </c>
      <c r="O47" s="19" t="n">
        <f aca="false">IF(Tiers!$B$18="ja",Tiers!$B$20,N47)</f>
        <v>0.450018353113912</v>
      </c>
      <c r="P47" s="15" t="n">
        <f aca="false">ROUNDUP(G47/(1-O47),0)-0.05</f>
        <v>81.95</v>
      </c>
      <c r="Q47" s="19" t="n">
        <f aca="false">IFERROR(1-G47/P47,0)</f>
        <v>0.451494813910921</v>
      </c>
      <c r="R47" s="14" t="n">
        <v>24</v>
      </c>
    </row>
    <row r="48" customFormat="false" ht="15" hidden="false" customHeight="false" outlineLevel="0" collapsed="false">
      <c r="A48" s="14" t="s">
        <v>146</v>
      </c>
      <c r="B48" s="14" t="s">
        <v>147</v>
      </c>
      <c r="C48" s="14" t="s">
        <v>6</v>
      </c>
      <c r="D48" s="15" t="n">
        <v>44.95</v>
      </c>
      <c r="E48" s="15" t="n">
        <f aca="false">IFERROR(INDEX(Tiers!$B$4:$B$15,MATCH(C48,Tiers!$A$4:$A$15,0)),D48)</f>
        <v>44.95</v>
      </c>
      <c r="F48" s="16"/>
      <c r="G48" s="17" t="n">
        <f aca="false">IF(F48="",E48,F48)</f>
        <v>44.95</v>
      </c>
      <c r="H48" s="18" t="n">
        <f aca="false">G48-D48</f>
        <v>0</v>
      </c>
      <c r="I48" s="19" t="n">
        <f aca="false">IFERROR((G48-D48)/D48,0)</f>
        <v>0</v>
      </c>
      <c r="J48" s="14" t="str">
        <f aca="false">IF(G48&gt;D48,"Omhoog",IF(G48&lt;D48,"Omlaag","Gelijk"))</f>
        <v>Gelijk</v>
      </c>
      <c r="K48" s="20" t="str">
        <f aca="false">IF(ABS(I48)&gt;=0.2,"controleren","")</f>
        <v/>
      </c>
      <c r="L48" s="21" t="n">
        <f aca="false">G48*Tiers!$B$19</f>
        <v>27.909455</v>
      </c>
      <c r="M48" s="15" t="n">
        <v>74.92</v>
      </c>
      <c r="N48" s="19" t="n">
        <f aca="false">IFERROR(1-D48/M48,0)</f>
        <v>0.400026695141484</v>
      </c>
      <c r="O48" s="19" t="n">
        <f aca="false">IF(Tiers!$B$18="ja",Tiers!$B$20,N48)</f>
        <v>0.400026695141484</v>
      </c>
      <c r="P48" s="15" t="n">
        <f aca="false">ROUNDUP(G48/(1-O48),0)-0.05</f>
        <v>74.95</v>
      </c>
      <c r="Q48" s="19" t="n">
        <f aca="false">IFERROR(1-G48/P48,0)</f>
        <v>0.400266844563042</v>
      </c>
      <c r="R48" s="14" t="n">
        <v>6</v>
      </c>
    </row>
    <row r="49" customFormat="false" ht="15" hidden="false" customHeight="false" outlineLevel="0" collapsed="false">
      <c r="A49" s="14" t="s">
        <v>148</v>
      </c>
      <c r="B49" s="14" t="s">
        <v>149</v>
      </c>
      <c r="C49" s="14" t="s">
        <v>6</v>
      </c>
      <c r="D49" s="15" t="n">
        <v>44.95</v>
      </c>
      <c r="E49" s="15" t="n">
        <f aca="false">IFERROR(INDEX(Tiers!$B$4:$B$15,MATCH(C49,Tiers!$A$4:$A$15,0)),D49)</f>
        <v>44.95</v>
      </c>
      <c r="F49" s="16"/>
      <c r="G49" s="17" t="n">
        <f aca="false">IF(F49="",E49,F49)</f>
        <v>44.95</v>
      </c>
      <c r="H49" s="18" t="n">
        <f aca="false">G49-D49</f>
        <v>0</v>
      </c>
      <c r="I49" s="19" t="n">
        <f aca="false">IFERROR((G49-D49)/D49,0)</f>
        <v>0</v>
      </c>
      <c r="J49" s="14" t="str">
        <f aca="false">IF(G49&gt;D49,"Omhoog",IF(G49&lt;D49,"Omlaag","Gelijk"))</f>
        <v>Gelijk</v>
      </c>
      <c r="K49" s="20" t="str">
        <f aca="false">IF(ABS(I49)&gt;=0.2,"controleren","")</f>
        <v/>
      </c>
      <c r="L49" s="21" t="n">
        <f aca="false">G49*Tiers!$B$19</f>
        <v>27.909455</v>
      </c>
      <c r="M49" s="15" t="n">
        <v>89.9</v>
      </c>
      <c r="N49" s="19" t="n">
        <f aca="false">IFERROR(1-D49/M49,0)</f>
        <v>0.5</v>
      </c>
      <c r="O49" s="19" t="n">
        <f aca="false">IF(Tiers!$B$18="ja",Tiers!$B$20,N49)</f>
        <v>0.5</v>
      </c>
      <c r="P49" s="15" t="n">
        <f aca="false">ROUNDUP(G49/(1-O49),0)-0.05</f>
        <v>89.95</v>
      </c>
      <c r="Q49" s="19" t="n">
        <f aca="false">IFERROR(1-G49/P49,0)</f>
        <v>0.500277932184547</v>
      </c>
      <c r="R49" s="14" t="n">
        <v>36</v>
      </c>
    </row>
    <row r="50" customFormat="false" ht="15" hidden="false" customHeight="false" outlineLevel="0" collapsed="false">
      <c r="A50" s="14" t="s">
        <v>150</v>
      </c>
      <c r="B50" s="14" t="s">
        <v>151</v>
      </c>
      <c r="C50" s="14" t="s">
        <v>6</v>
      </c>
      <c r="D50" s="15" t="n">
        <v>44.95</v>
      </c>
      <c r="E50" s="15" t="n">
        <f aca="false">IFERROR(INDEX(Tiers!$B$4:$B$15,MATCH(C50,Tiers!$A$4:$A$15,0)),D50)</f>
        <v>44.95</v>
      </c>
      <c r="F50" s="16"/>
      <c r="G50" s="17" t="n">
        <f aca="false">IF(F50="",E50,F50)</f>
        <v>44.95</v>
      </c>
      <c r="H50" s="18" t="n">
        <f aca="false">G50-D50</f>
        <v>0</v>
      </c>
      <c r="I50" s="19" t="n">
        <f aca="false">IFERROR((G50-D50)/D50,0)</f>
        <v>0</v>
      </c>
      <c r="J50" s="14" t="str">
        <f aca="false">IF(G50&gt;D50,"Omhoog",IF(G50&lt;D50,"Omlaag","Gelijk"))</f>
        <v>Gelijk</v>
      </c>
      <c r="K50" s="20" t="str">
        <f aca="false">IF(ABS(I50)&gt;=0.2,"controleren","")</f>
        <v/>
      </c>
      <c r="L50" s="21" t="n">
        <f aca="false">G50*Tiers!$B$19</f>
        <v>27.909455</v>
      </c>
      <c r="M50" s="15" t="n">
        <v>81.73</v>
      </c>
      <c r="N50" s="19" t="n">
        <f aca="false">IFERROR(1-D50/M50,0)</f>
        <v>0.450018353113912</v>
      </c>
      <c r="O50" s="19" t="n">
        <f aca="false">IF(Tiers!$B$18="ja",Tiers!$B$20,N50)</f>
        <v>0.450018353113912</v>
      </c>
      <c r="P50" s="15" t="n">
        <f aca="false">ROUNDUP(G50/(1-O50),0)-0.05</f>
        <v>81.95</v>
      </c>
      <c r="Q50" s="19" t="n">
        <f aca="false">IFERROR(1-G50/P50,0)</f>
        <v>0.451494813910921</v>
      </c>
      <c r="R50" s="14" t="n">
        <v>15</v>
      </c>
    </row>
    <row r="51" customFormat="false" ht="15" hidden="false" customHeight="false" outlineLevel="0" collapsed="false">
      <c r="A51" s="14" t="s">
        <v>152</v>
      </c>
      <c r="B51" s="14" t="s">
        <v>151</v>
      </c>
      <c r="C51" s="14" t="s">
        <v>6</v>
      </c>
      <c r="D51" s="15" t="n">
        <v>44.95</v>
      </c>
      <c r="E51" s="15" t="n">
        <f aca="false">IFERROR(INDEX(Tiers!$B$4:$B$15,MATCH(C51,Tiers!$A$4:$A$15,0)),D51)</f>
        <v>44.95</v>
      </c>
      <c r="F51" s="16"/>
      <c r="G51" s="17" t="n">
        <f aca="false">IF(F51="",E51,F51)</f>
        <v>44.95</v>
      </c>
      <c r="H51" s="18" t="n">
        <f aca="false">G51-D51</f>
        <v>0</v>
      </c>
      <c r="I51" s="19" t="n">
        <f aca="false">IFERROR((G51-D51)/D51,0)</f>
        <v>0</v>
      </c>
      <c r="J51" s="14" t="str">
        <f aca="false">IF(G51&gt;D51,"Omhoog",IF(G51&lt;D51,"Omlaag","Gelijk"))</f>
        <v>Gelijk</v>
      </c>
      <c r="K51" s="20" t="str">
        <f aca="false">IF(ABS(I51)&gt;=0.2,"controleren","")</f>
        <v/>
      </c>
      <c r="L51" s="21" t="n">
        <f aca="false">G51*Tiers!$B$19</f>
        <v>27.909455</v>
      </c>
      <c r="M51" s="15" t="n">
        <v>74.92</v>
      </c>
      <c r="N51" s="19" t="n">
        <f aca="false">IFERROR(1-D51/M51,0)</f>
        <v>0.400026695141484</v>
      </c>
      <c r="O51" s="19" t="n">
        <f aca="false">IF(Tiers!$B$18="ja",Tiers!$B$20,N51)</f>
        <v>0.400026695141484</v>
      </c>
      <c r="P51" s="15" t="n">
        <f aca="false">ROUNDUP(G51/(1-O51),0)-0.05</f>
        <v>74.95</v>
      </c>
      <c r="Q51" s="19" t="n">
        <f aca="false">IFERROR(1-G51/P51,0)</f>
        <v>0.400266844563042</v>
      </c>
      <c r="R51" s="14" t="n">
        <v>15</v>
      </c>
    </row>
    <row r="52" customFormat="false" ht="15" hidden="false" customHeight="false" outlineLevel="0" collapsed="false">
      <c r="A52" s="14" t="s">
        <v>153</v>
      </c>
      <c r="B52" s="14" t="s">
        <v>154</v>
      </c>
      <c r="C52" s="14" t="s">
        <v>6</v>
      </c>
      <c r="D52" s="15" t="n">
        <v>44.95</v>
      </c>
      <c r="E52" s="15" t="n">
        <f aca="false">IFERROR(INDEX(Tiers!$B$4:$B$15,MATCH(C52,Tiers!$A$4:$A$15,0)),D52)</f>
        <v>44.95</v>
      </c>
      <c r="F52" s="16"/>
      <c r="G52" s="17" t="n">
        <f aca="false">IF(F52="",E52,F52)</f>
        <v>44.95</v>
      </c>
      <c r="H52" s="18" t="n">
        <f aca="false">G52-D52</f>
        <v>0</v>
      </c>
      <c r="I52" s="19" t="n">
        <f aca="false">IFERROR((G52-D52)/D52,0)</f>
        <v>0</v>
      </c>
      <c r="J52" s="14" t="str">
        <f aca="false">IF(G52&gt;D52,"Omhoog",IF(G52&lt;D52,"Omlaag","Gelijk"))</f>
        <v>Gelijk</v>
      </c>
      <c r="K52" s="20" t="str">
        <f aca="false">IF(ABS(I52)&gt;=0.2,"controleren","")</f>
        <v/>
      </c>
      <c r="L52" s="21" t="n">
        <f aca="false">G52*Tiers!$B$19</f>
        <v>27.909455</v>
      </c>
      <c r="M52" s="15" t="n">
        <v>81.73</v>
      </c>
      <c r="N52" s="19" t="n">
        <f aca="false">IFERROR(1-D52/M52,0)</f>
        <v>0.450018353113912</v>
      </c>
      <c r="O52" s="19" t="n">
        <f aca="false">IF(Tiers!$B$18="ja",Tiers!$B$20,N52)</f>
        <v>0.450018353113912</v>
      </c>
      <c r="P52" s="15" t="n">
        <f aca="false">ROUNDUP(G52/(1-O52),0)-0.05</f>
        <v>81.95</v>
      </c>
      <c r="Q52" s="19" t="n">
        <f aca="false">IFERROR(1-G52/P52,0)</f>
        <v>0.451494813910921</v>
      </c>
      <c r="R52" s="14" t="n">
        <v>15</v>
      </c>
    </row>
    <row r="53" customFormat="false" ht="15" hidden="false" customHeight="false" outlineLevel="0" collapsed="false">
      <c r="A53" s="14" t="s">
        <v>155</v>
      </c>
      <c r="B53" s="14" t="s">
        <v>156</v>
      </c>
      <c r="C53" s="14" t="s">
        <v>6</v>
      </c>
      <c r="D53" s="15" t="n">
        <v>49.95</v>
      </c>
      <c r="E53" s="15" t="n">
        <f aca="false">IFERROR(INDEX(Tiers!$B$4:$B$15,MATCH(C53,Tiers!$A$4:$A$15,0)),D53)</f>
        <v>44.95</v>
      </c>
      <c r="F53" s="16"/>
      <c r="G53" s="17" t="n">
        <f aca="false">IF(F53="",E53,F53)</f>
        <v>44.95</v>
      </c>
      <c r="H53" s="18" t="n">
        <f aca="false">G53-D53</f>
        <v>-5</v>
      </c>
      <c r="I53" s="19" t="n">
        <f aca="false">IFERROR((G53-D53)/D53,0)</f>
        <v>-0.1001001001001</v>
      </c>
      <c r="J53" s="14" t="str">
        <f aca="false">IF(G53&gt;D53,"Omhoog",IF(G53&lt;D53,"Omlaag","Gelijk"))</f>
        <v>Omlaag</v>
      </c>
      <c r="K53" s="20" t="str">
        <f aca="false">IF(ABS(I53)&gt;=0.2,"controleren","")</f>
        <v/>
      </c>
      <c r="L53" s="21" t="n">
        <f aca="false">G53*Tiers!$B$19</f>
        <v>27.909455</v>
      </c>
      <c r="M53" s="15" t="n">
        <v>90.82</v>
      </c>
      <c r="N53" s="19" t="n">
        <f aca="false">IFERROR(1-D53/M53,0)</f>
        <v>0.450011010790575</v>
      </c>
      <c r="O53" s="19" t="n">
        <f aca="false">IF(Tiers!$B$18="ja",Tiers!$B$20,N53)</f>
        <v>0.450011010790575</v>
      </c>
      <c r="P53" s="15" t="n">
        <f aca="false">ROUNDUP(G53/(1-O53),0)-0.05</f>
        <v>81.95</v>
      </c>
      <c r="Q53" s="19" t="n">
        <f aca="false">IFERROR(1-G53/P53,0)</f>
        <v>0.451494813910921</v>
      </c>
      <c r="R53" s="14" t="n">
        <v>15</v>
      </c>
    </row>
    <row r="54" customFormat="false" ht="15" hidden="false" customHeight="false" outlineLevel="0" collapsed="false">
      <c r="A54" s="14" t="s">
        <v>157</v>
      </c>
      <c r="B54" s="14" t="s">
        <v>158</v>
      </c>
      <c r="C54" s="14" t="s">
        <v>6</v>
      </c>
      <c r="D54" s="15" t="n">
        <v>34.95</v>
      </c>
      <c r="E54" s="15" t="n">
        <f aca="false">IFERROR(INDEX(Tiers!$B$4:$B$15,MATCH(C54,Tiers!$A$4:$A$15,0)),D54)</f>
        <v>44.95</v>
      </c>
      <c r="F54" s="16"/>
      <c r="G54" s="17" t="n">
        <f aca="false">IF(F54="",E54,F54)</f>
        <v>44.95</v>
      </c>
      <c r="H54" s="18" t="n">
        <f aca="false">G54-D54</f>
        <v>10</v>
      </c>
      <c r="I54" s="19" t="n">
        <f aca="false">IFERROR((G54-D54)/D54,0)</f>
        <v>0.286123032904149</v>
      </c>
      <c r="J54" s="14" t="str">
        <f aca="false">IF(G54&gt;D54,"Omhoog",IF(G54&lt;D54,"Omlaag","Gelijk"))</f>
        <v>Omhoog</v>
      </c>
      <c r="K54" s="20" t="str">
        <f aca="false">IF(ABS(I54)&gt;=0.2,"controleren","")</f>
        <v>controleren</v>
      </c>
      <c r="L54" s="21" t="n">
        <f aca="false">G54*Tiers!$B$19</f>
        <v>27.909455</v>
      </c>
      <c r="M54" s="15" t="n">
        <v>69.9</v>
      </c>
      <c r="N54" s="19" t="n">
        <f aca="false">IFERROR(1-D54/M54,0)</f>
        <v>0.5</v>
      </c>
      <c r="O54" s="19" t="n">
        <f aca="false">IF(Tiers!$B$18="ja",Tiers!$B$20,N54)</f>
        <v>0.5</v>
      </c>
      <c r="P54" s="15" t="n">
        <f aca="false">ROUNDUP(G54/(1-O54),0)-0.05</f>
        <v>89.95</v>
      </c>
      <c r="Q54" s="19" t="n">
        <f aca="false">IFERROR(1-G54/P54,0)</f>
        <v>0.500277932184547</v>
      </c>
      <c r="R54" s="14" t="n">
        <v>24</v>
      </c>
    </row>
    <row r="55" customFormat="false" ht="15" hidden="false" customHeight="false" outlineLevel="0" collapsed="false">
      <c r="A55" s="14" t="s">
        <v>159</v>
      </c>
      <c r="B55" s="14" t="s">
        <v>160</v>
      </c>
      <c r="C55" s="14" t="s">
        <v>6</v>
      </c>
      <c r="D55" s="15" t="n">
        <v>34.95</v>
      </c>
      <c r="E55" s="15" t="n">
        <f aca="false">IFERROR(INDEX(Tiers!$B$4:$B$15,MATCH(C55,Tiers!$A$4:$A$15,0)),D55)</f>
        <v>44.95</v>
      </c>
      <c r="F55" s="16"/>
      <c r="G55" s="17" t="n">
        <f aca="false">IF(F55="",E55,F55)</f>
        <v>44.95</v>
      </c>
      <c r="H55" s="18" t="n">
        <f aca="false">G55-D55</f>
        <v>10</v>
      </c>
      <c r="I55" s="19" t="n">
        <f aca="false">IFERROR((G55-D55)/D55,0)</f>
        <v>0.286123032904149</v>
      </c>
      <c r="J55" s="14" t="str">
        <f aca="false">IF(G55&gt;D55,"Omhoog",IF(G55&lt;D55,"Omlaag","Gelijk"))</f>
        <v>Omhoog</v>
      </c>
      <c r="K55" s="20" t="str">
        <f aca="false">IF(ABS(I55)&gt;=0.2,"controleren","")</f>
        <v>controleren</v>
      </c>
      <c r="L55" s="21" t="n">
        <f aca="false">G55*Tiers!$B$19</f>
        <v>27.909455</v>
      </c>
      <c r="M55" s="15" t="n">
        <v>69.9</v>
      </c>
      <c r="N55" s="19" t="n">
        <f aca="false">IFERROR(1-D55/M55,0)</f>
        <v>0.5</v>
      </c>
      <c r="O55" s="19" t="n">
        <f aca="false">IF(Tiers!$B$18="ja",Tiers!$B$20,N55)</f>
        <v>0.5</v>
      </c>
      <c r="P55" s="15" t="n">
        <f aca="false">ROUNDUP(G55/(1-O55),0)-0.05</f>
        <v>89.95</v>
      </c>
      <c r="Q55" s="19" t="n">
        <f aca="false">IFERROR(1-G55/P55,0)</f>
        <v>0.500277932184547</v>
      </c>
      <c r="R55" s="14" t="n">
        <v>54</v>
      </c>
    </row>
    <row r="56" customFormat="false" ht="15" hidden="false" customHeight="false" outlineLevel="0" collapsed="false">
      <c r="A56" s="14" t="s">
        <v>161</v>
      </c>
      <c r="B56" s="14" t="s">
        <v>162</v>
      </c>
      <c r="C56" s="14" t="s">
        <v>6</v>
      </c>
      <c r="D56" s="15" t="n">
        <v>34.95</v>
      </c>
      <c r="E56" s="15" t="n">
        <f aca="false">IFERROR(INDEX(Tiers!$B$4:$B$15,MATCH(C56,Tiers!$A$4:$A$15,0)),D56)</f>
        <v>44.95</v>
      </c>
      <c r="F56" s="16"/>
      <c r="G56" s="17" t="n">
        <f aca="false">IF(F56="",E56,F56)</f>
        <v>44.95</v>
      </c>
      <c r="H56" s="18" t="n">
        <f aca="false">G56-D56</f>
        <v>10</v>
      </c>
      <c r="I56" s="19" t="n">
        <f aca="false">IFERROR((G56-D56)/D56,0)</f>
        <v>0.286123032904149</v>
      </c>
      <c r="J56" s="14" t="str">
        <f aca="false">IF(G56&gt;D56,"Omhoog",IF(G56&lt;D56,"Omlaag","Gelijk"))</f>
        <v>Omhoog</v>
      </c>
      <c r="K56" s="20" t="str">
        <f aca="false">IF(ABS(I56)&gt;=0.2,"controleren","")</f>
        <v>controleren</v>
      </c>
      <c r="L56" s="21" t="n">
        <f aca="false">G56*Tiers!$B$19</f>
        <v>27.909455</v>
      </c>
      <c r="M56" s="15" t="n">
        <v>69.9</v>
      </c>
      <c r="N56" s="19" t="n">
        <f aca="false">IFERROR(1-D56/M56,0)</f>
        <v>0.5</v>
      </c>
      <c r="O56" s="19" t="n">
        <f aca="false">IF(Tiers!$B$18="ja",Tiers!$B$20,N56)</f>
        <v>0.5</v>
      </c>
      <c r="P56" s="15" t="n">
        <f aca="false">ROUNDUP(G56/(1-O56),0)-0.05</f>
        <v>89.95</v>
      </c>
      <c r="Q56" s="19" t="n">
        <f aca="false">IFERROR(1-G56/P56,0)</f>
        <v>0.500277932184547</v>
      </c>
      <c r="R56" s="14" t="n">
        <v>36</v>
      </c>
    </row>
    <row r="57" customFormat="false" ht="15" hidden="false" customHeight="false" outlineLevel="0" collapsed="false">
      <c r="A57" s="14" t="s">
        <v>163</v>
      </c>
      <c r="B57" s="14" t="s">
        <v>164</v>
      </c>
      <c r="C57" s="14" t="s">
        <v>6</v>
      </c>
      <c r="D57" s="15" t="n">
        <v>34.95</v>
      </c>
      <c r="E57" s="15" t="n">
        <f aca="false">IFERROR(INDEX(Tiers!$B$4:$B$15,MATCH(C57,Tiers!$A$4:$A$15,0)),D57)</f>
        <v>44.95</v>
      </c>
      <c r="F57" s="16"/>
      <c r="G57" s="17" t="n">
        <f aca="false">IF(F57="",E57,F57)</f>
        <v>44.95</v>
      </c>
      <c r="H57" s="18" t="n">
        <f aca="false">G57-D57</f>
        <v>10</v>
      </c>
      <c r="I57" s="19" t="n">
        <f aca="false">IFERROR((G57-D57)/D57,0)</f>
        <v>0.286123032904149</v>
      </c>
      <c r="J57" s="14" t="str">
        <f aca="false">IF(G57&gt;D57,"Omhoog",IF(G57&lt;D57,"Omlaag","Gelijk"))</f>
        <v>Omhoog</v>
      </c>
      <c r="K57" s="20" t="str">
        <f aca="false">IF(ABS(I57)&gt;=0.2,"controleren","")</f>
        <v>controleren</v>
      </c>
      <c r="L57" s="21" t="n">
        <f aca="false">G57*Tiers!$B$19</f>
        <v>27.909455</v>
      </c>
      <c r="M57" s="15" t="n">
        <v>69.9</v>
      </c>
      <c r="N57" s="19" t="n">
        <f aca="false">IFERROR(1-D57/M57,0)</f>
        <v>0.5</v>
      </c>
      <c r="O57" s="19" t="n">
        <f aca="false">IF(Tiers!$B$18="ja",Tiers!$B$20,N57)</f>
        <v>0.5</v>
      </c>
      <c r="P57" s="15" t="n">
        <f aca="false">ROUNDUP(G57/(1-O57),0)-0.05</f>
        <v>89.95</v>
      </c>
      <c r="Q57" s="19" t="n">
        <f aca="false">IFERROR(1-G57/P57,0)</f>
        <v>0.500277932184547</v>
      </c>
      <c r="R57" s="14" t="n">
        <v>28</v>
      </c>
    </row>
    <row r="58" customFormat="false" ht="15" hidden="false" customHeight="false" outlineLevel="0" collapsed="false">
      <c r="A58" s="14" t="s">
        <v>165</v>
      </c>
      <c r="B58" s="14" t="s">
        <v>166</v>
      </c>
      <c r="C58" s="14" t="s">
        <v>6</v>
      </c>
      <c r="D58" s="15" t="n">
        <v>44.95</v>
      </c>
      <c r="E58" s="15" t="n">
        <f aca="false">IFERROR(INDEX(Tiers!$B$4:$B$15,MATCH(C58,Tiers!$A$4:$A$15,0)),D58)</f>
        <v>44.95</v>
      </c>
      <c r="F58" s="16"/>
      <c r="G58" s="17" t="n">
        <f aca="false">IF(F58="",E58,F58)</f>
        <v>44.95</v>
      </c>
      <c r="H58" s="18" t="n">
        <f aca="false">G58-D58</f>
        <v>0</v>
      </c>
      <c r="I58" s="19" t="n">
        <f aca="false">IFERROR((G58-D58)/D58,0)</f>
        <v>0</v>
      </c>
      <c r="J58" s="14" t="str">
        <f aca="false">IF(G58&gt;D58,"Omhoog",IF(G58&lt;D58,"Omlaag","Gelijk"))</f>
        <v>Gelijk</v>
      </c>
      <c r="K58" s="20" t="str">
        <f aca="false">IF(ABS(I58)&gt;=0.2,"controleren","")</f>
        <v/>
      </c>
      <c r="L58" s="21" t="n">
        <f aca="false">G58*Tiers!$B$19</f>
        <v>27.909455</v>
      </c>
      <c r="M58" s="15" t="n">
        <v>89.9</v>
      </c>
      <c r="N58" s="19" t="n">
        <f aca="false">IFERROR(1-D58/M58,0)</f>
        <v>0.5</v>
      </c>
      <c r="O58" s="19" t="n">
        <f aca="false">IF(Tiers!$B$18="ja",Tiers!$B$20,N58)</f>
        <v>0.5</v>
      </c>
      <c r="P58" s="15" t="n">
        <f aca="false">ROUNDUP(G58/(1-O58),0)-0.05</f>
        <v>89.95</v>
      </c>
      <c r="Q58" s="19" t="n">
        <f aca="false">IFERROR(1-G58/P58,0)</f>
        <v>0.500277932184547</v>
      </c>
      <c r="R58" s="14" t="n">
        <v>14</v>
      </c>
    </row>
    <row r="59" customFormat="false" ht="15" hidden="false" customHeight="false" outlineLevel="0" collapsed="false">
      <c r="A59" s="14" t="s">
        <v>167</v>
      </c>
      <c r="B59" s="14" t="s">
        <v>168</v>
      </c>
      <c r="C59" s="14" t="s">
        <v>6</v>
      </c>
      <c r="D59" s="15" t="n">
        <v>44.95</v>
      </c>
      <c r="E59" s="15" t="n">
        <f aca="false">IFERROR(INDEX(Tiers!$B$4:$B$15,MATCH(C59,Tiers!$A$4:$A$15,0)),D59)</f>
        <v>44.95</v>
      </c>
      <c r="F59" s="16"/>
      <c r="G59" s="17" t="n">
        <f aca="false">IF(F59="",E59,F59)</f>
        <v>44.95</v>
      </c>
      <c r="H59" s="18" t="n">
        <f aca="false">G59-D59</f>
        <v>0</v>
      </c>
      <c r="I59" s="19" t="n">
        <f aca="false">IFERROR((G59-D59)/D59,0)</f>
        <v>0</v>
      </c>
      <c r="J59" s="14" t="str">
        <f aca="false">IF(G59&gt;D59,"Omhoog",IF(G59&lt;D59,"Omlaag","Gelijk"))</f>
        <v>Gelijk</v>
      </c>
      <c r="K59" s="20" t="str">
        <f aca="false">IF(ABS(I59)&gt;=0.2,"controleren","")</f>
        <v/>
      </c>
      <c r="L59" s="21" t="n">
        <f aca="false">G59*Tiers!$B$19</f>
        <v>27.909455</v>
      </c>
      <c r="M59" s="15" t="n">
        <v>74.92</v>
      </c>
      <c r="N59" s="19" t="n">
        <f aca="false">IFERROR(1-D59/M59,0)</f>
        <v>0.400026695141484</v>
      </c>
      <c r="O59" s="19" t="n">
        <f aca="false">IF(Tiers!$B$18="ja",Tiers!$B$20,N59)</f>
        <v>0.400026695141484</v>
      </c>
      <c r="P59" s="15" t="n">
        <f aca="false">ROUNDUP(G59/(1-O59),0)-0.05</f>
        <v>74.95</v>
      </c>
      <c r="Q59" s="19" t="n">
        <f aca="false">IFERROR(1-G59/P59,0)</f>
        <v>0.400266844563042</v>
      </c>
      <c r="R59" s="14" t="n">
        <v>18</v>
      </c>
    </row>
    <row r="60" customFormat="false" ht="15" hidden="false" customHeight="false" outlineLevel="0" collapsed="false">
      <c r="A60" s="14" t="s">
        <v>169</v>
      </c>
      <c r="B60" s="14" t="s">
        <v>170</v>
      </c>
      <c r="C60" s="14" t="s">
        <v>6</v>
      </c>
      <c r="D60" s="15" t="n">
        <v>44.95</v>
      </c>
      <c r="E60" s="15" t="n">
        <f aca="false">IFERROR(INDEX(Tiers!$B$4:$B$15,MATCH(C60,Tiers!$A$4:$A$15,0)),D60)</f>
        <v>44.95</v>
      </c>
      <c r="F60" s="16"/>
      <c r="G60" s="17" t="n">
        <f aca="false">IF(F60="",E60,F60)</f>
        <v>44.95</v>
      </c>
      <c r="H60" s="18" t="n">
        <f aca="false">G60-D60</f>
        <v>0</v>
      </c>
      <c r="I60" s="19" t="n">
        <f aca="false">IFERROR((G60-D60)/D60,0)</f>
        <v>0</v>
      </c>
      <c r="J60" s="14" t="str">
        <f aca="false">IF(G60&gt;D60,"Omhoog",IF(G60&lt;D60,"Omlaag","Gelijk"))</f>
        <v>Gelijk</v>
      </c>
      <c r="K60" s="20" t="str">
        <f aca="false">IF(ABS(I60)&gt;=0.2,"controleren","")</f>
        <v/>
      </c>
      <c r="L60" s="21" t="n">
        <f aca="false">G60*Tiers!$B$19</f>
        <v>27.909455</v>
      </c>
      <c r="M60" s="15" t="n">
        <v>89.9</v>
      </c>
      <c r="N60" s="19" t="n">
        <f aca="false">IFERROR(1-D60/M60,0)</f>
        <v>0.5</v>
      </c>
      <c r="O60" s="19" t="n">
        <f aca="false">IF(Tiers!$B$18="ja",Tiers!$B$20,N60)</f>
        <v>0.5</v>
      </c>
      <c r="P60" s="15" t="n">
        <f aca="false">ROUNDUP(G60/(1-O60),0)-0.05</f>
        <v>89.95</v>
      </c>
      <c r="Q60" s="19" t="n">
        <f aca="false">IFERROR(1-G60/P60,0)</f>
        <v>0.500277932184547</v>
      </c>
      <c r="R60" s="14" t="n">
        <v>42</v>
      </c>
    </row>
    <row r="61" customFormat="false" ht="15" hidden="false" customHeight="false" outlineLevel="0" collapsed="false">
      <c r="A61" s="14" t="s">
        <v>171</v>
      </c>
      <c r="B61" s="14" t="s">
        <v>172</v>
      </c>
      <c r="C61" s="14" t="s">
        <v>6</v>
      </c>
      <c r="D61" s="15" t="n">
        <v>44.95</v>
      </c>
      <c r="E61" s="15" t="n">
        <f aca="false">IFERROR(INDEX(Tiers!$B$4:$B$15,MATCH(C61,Tiers!$A$4:$A$15,0)),D61)</f>
        <v>44.95</v>
      </c>
      <c r="F61" s="16"/>
      <c r="G61" s="17" t="n">
        <f aca="false">IF(F61="",E61,F61)</f>
        <v>44.95</v>
      </c>
      <c r="H61" s="18" t="n">
        <f aca="false">G61-D61</f>
        <v>0</v>
      </c>
      <c r="I61" s="19" t="n">
        <f aca="false">IFERROR((G61-D61)/D61,0)</f>
        <v>0</v>
      </c>
      <c r="J61" s="14" t="str">
        <f aca="false">IF(G61&gt;D61,"Omhoog",IF(G61&lt;D61,"Omlaag","Gelijk"))</f>
        <v>Gelijk</v>
      </c>
      <c r="K61" s="20" t="str">
        <f aca="false">IF(ABS(I61)&gt;=0.2,"controleren","")</f>
        <v/>
      </c>
      <c r="L61" s="21" t="n">
        <f aca="false">G61*Tiers!$B$19</f>
        <v>27.909455</v>
      </c>
      <c r="M61" s="15" t="n">
        <v>74.92</v>
      </c>
      <c r="N61" s="19" t="n">
        <f aca="false">IFERROR(1-D61/M61,0)</f>
        <v>0.400026695141484</v>
      </c>
      <c r="O61" s="19" t="n">
        <f aca="false">IF(Tiers!$B$18="ja",Tiers!$B$20,N61)</f>
        <v>0.400026695141484</v>
      </c>
      <c r="P61" s="15" t="n">
        <f aca="false">ROUNDUP(G61/(1-O61),0)-0.05</f>
        <v>74.95</v>
      </c>
      <c r="Q61" s="19" t="n">
        <f aca="false">IFERROR(1-G61/P61,0)</f>
        <v>0.400266844563042</v>
      </c>
      <c r="R61" s="14" t="n">
        <v>18</v>
      </c>
    </row>
    <row r="62" customFormat="false" ht="15" hidden="false" customHeight="false" outlineLevel="0" collapsed="false">
      <c r="A62" s="14" t="s">
        <v>173</v>
      </c>
      <c r="B62" s="14" t="s">
        <v>174</v>
      </c>
      <c r="C62" s="14" t="s">
        <v>6</v>
      </c>
      <c r="D62" s="15" t="n">
        <v>44.95</v>
      </c>
      <c r="E62" s="15" t="n">
        <f aca="false">IFERROR(INDEX(Tiers!$B$4:$B$15,MATCH(C62,Tiers!$A$4:$A$15,0)),D62)</f>
        <v>44.95</v>
      </c>
      <c r="F62" s="16"/>
      <c r="G62" s="17" t="n">
        <f aca="false">IF(F62="",E62,F62)</f>
        <v>44.95</v>
      </c>
      <c r="H62" s="18" t="n">
        <f aca="false">G62-D62</f>
        <v>0</v>
      </c>
      <c r="I62" s="19" t="n">
        <f aca="false">IFERROR((G62-D62)/D62,0)</f>
        <v>0</v>
      </c>
      <c r="J62" s="14" t="str">
        <f aca="false">IF(G62&gt;D62,"Omhoog",IF(G62&lt;D62,"Omlaag","Gelijk"))</f>
        <v>Gelijk</v>
      </c>
      <c r="K62" s="20" t="str">
        <f aca="false">IF(ABS(I62)&gt;=0.2,"controleren","")</f>
        <v/>
      </c>
      <c r="L62" s="21" t="n">
        <f aca="false">G62*Tiers!$B$19</f>
        <v>27.909455</v>
      </c>
      <c r="M62" s="15" t="n">
        <v>81.73</v>
      </c>
      <c r="N62" s="19" t="n">
        <f aca="false">IFERROR(1-D62/M62,0)</f>
        <v>0.450018353113912</v>
      </c>
      <c r="O62" s="19" t="n">
        <f aca="false">IF(Tiers!$B$18="ja",Tiers!$B$20,N62)</f>
        <v>0.450018353113912</v>
      </c>
      <c r="P62" s="15" t="n">
        <f aca="false">ROUNDUP(G62/(1-O62),0)-0.05</f>
        <v>81.95</v>
      </c>
      <c r="Q62" s="19" t="n">
        <f aca="false">IFERROR(1-G62/P62,0)</f>
        <v>0.451494813910921</v>
      </c>
      <c r="R62" s="14" t="n">
        <v>24</v>
      </c>
    </row>
    <row r="63" customFormat="false" ht="15" hidden="false" customHeight="false" outlineLevel="0" collapsed="false">
      <c r="A63" s="14" t="s">
        <v>175</v>
      </c>
      <c r="B63" s="14" t="s">
        <v>176</v>
      </c>
      <c r="C63" s="14" t="s">
        <v>6</v>
      </c>
      <c r="D63" s="15" t="n">
        <v>44.95</v>
      </c>
      <c r="E63" s="15" t="n">
        <f aca="false">IFERROR(INDEX(Tiers!$B$4:$B$15,MATCH(C63,Tiers!$A$4:$A$15,0)),D63)</f>
        <v>44.95</v>
      </c>
      <c r="F63" s="16"/>
      <c r="G63" s="17" t="n">
        <f aca="false">IF(F63="",E63,F63)</f>
        <v>44.95</v>
      </c>
      <c r="H63" s="18" t="n">
        <f aca="false">G63-D63</f>
        <v>0</v>
      </c>
      <c r="I63" s="19" t="n">
        <f aca="false">IFERROR((G63-D63)/D63,0)</f>
        <v>0</v>
      </c>
      <c r="J63" s="14" t="str">
        <f aca="false">IF(G63&gt;D63,"Omhoog",IF(G63&lt;D63,"Omlaag","Gelijk"))</f>
        <v>Gelijk</v>
      </c>
      <c r="K63" s="20" t="str">
        <f aca="false">IF(ABS(I63)&gt;=0.2,"controleren","")</f>
        <v/>
      </c>
      <c r="L63" s="21" t="n">
        <f aca="false">G63*Tiers!$B$19</f>
        <v>27.909455</v>
      </c>
      <c r="M63" s="15" t="n">
        <v>74.92</v>
      </c>
      <c r="N63" s="19" t="n">
        <f aca="false">IFERROR(1-D63/M63,0)</f>
        <v>0.400026695141484</v>
      </c>
      <c r="O63" s="19" t="n">
        <f aca="false">IF(Tiers!$B$18="ja",Tiers!$B$20,N63)</f>
        <v>0.400026695141484</v>
      </c>
      <c r="P63" s="15" t="n">
        <f aca="false">ROUNDUP(G63/(1-O63),0)-0.05</f>
        <v>74.95</v>
      </c>
      <c r="Q63" s="19" t="n">
        <f aca="false">IFERROR(1-G63/P63,0)</f>
        <v>0.400266844563042</v>
      </c>
      <c r="R63" s="14" t="n">
        <v>25</v>
      </c>
    </row>
    <row r="64" customFormat="false" ht="15" hidden="false" customHeight="false" outlineLevel="0" collapsed="false">
      <c r="A64" s="14" t="s">
        <v>177</v>
      </c>
      <c r="B64" s="14" t="s">
        <v>178</v>
      </c>
      <c r="C64" s="14" t="s">
        <v>6</v>
      </c>
      <c r="D64" s="15" t="n">
        <v>44.95</v>
      </c>
      <c r="E64" s="15" t="n">
        <f aca="false">IFERROR(INDEX(Tiers!$B$4:$B$15,MATCH(C64,Tiers!$A$4:$A$15,0)),D64)</f>
        <v>44.95</v>
      </c>
      <c r="F64" s="16"/>
      <c r="G64" s="17" t="n">
        <f aca="false">IF(F64="",E64,F64)</f>
        <v>44.95</v>
      </c>
      <c r="H64" s="18" t="n">
        <f aca="false">G64-D64</f>
        <v>0</v>
      </c>
      <c r="I64" s="19" t="n">
        <f aca="false">IFERROR((G64-D64)/D64,0)</f>
        <v>0</v>
      </c>
      <c r="J64" s="14" t="str">
        <f aca="false">IF(G64&gt;D64,"Omhoog",IF(G64&lt;D64,"Omlaag","Gelijk"))</f>
        <v>Gelijk</v>
      </c>
      <c r="K64" s="20" t="str">
        <f aca="false">IF(ABS(I64)&gt;=0.2,"controleren","")</f>
        <v/>
      </c>
      <c r="L64" s="21" t="n">
        <f aca="false">G64*Tiers!$B$19</f>
        <v>27.909455</v>
      </c>
      <c r="M64" s="15" t="n">
        <v>89.9</v>
      </c>
      <c r="N64" s="19" t="n">
        <f aca="false">IFERROR(1-D64/M64,0)</f>
        <v>0.5</v>
      </c>
      <c r="O64" s="19" t="n">
        <f aca="false">IF(Tiers!$B$18="ja",Tiers!$B$20,N64)</f>
        <v>0.5</v>
      </c>
      <c r="P64" s="15" t="n">
        <f aca="false">ROUNDUP(G64/(1-O64),0)-0.05</f>
        <v>89.95</v>
      </c>
      <c r="Q64" s="19" t="n">
        <f aca="false">IFERROR(1-G64/P64,0)</f>
        <v>0.500277932184547</v>
      </c>
      <c r="R64" s="14" t="n">
        <v>30</v>
      </c>
    </row>
    <row r="65" customFormat="false" ht="15" hidden="false" customHeight="false" outlineLevel="0" collapsed="false">
      <c r="A65" s="14" t="s">
        <v>179</v>
      </c>
      <c r="B65" s="14" t="s">
        <v>180</v>
      </c>
      <c r="C65" s="14" t="s">
        <v>6</v>
      </c>
      <c r="D65" s="15" t="n">
        <v>44.95</v>
      </c>
      <c r="E65" s="15" t="n">
        <f aca="false">IFERROR(INDEX(Tiers!$B$4:$B$15,MATCH(C65,Tiers!$A$4:$A$15,0)),D65)</f>
        <v>44.95</v>
      </c>
      <c r="F65" s="16"/>
      <c r="G65" s="17" t="n">
        <f aca="false">IF(F65="",E65,F65)</f>
        <v>44.95</v>
      </c>
      <c r="H65" s="18" t="n">
        <f aca="false">G65-D65</f>
        <v>0</v>
      </c>
      <c r="I65" s="19" t="n">
        <f aca="false">IFERROR((G65-D65)/D65,0)</f>
        <v>0</v>
      </c>
      <c r="J65" s="14" t="str">
        <f aca="false">IF(G65&gt;D65,"Omhoog",IF(G65&lt;D65,"Omlaag","Gelijk"))</f>
        <v>Gelijk</v>
      </c>
      <c r="K65" s="20" t="str">
        <f aca="false">IF(ABS(I65)&gt;=0.2,"controleren","")</f>
        <v/>
      </c>
      <c r="L65" s="21" t="n">
        <f aca="false">G65*Tiers!$B$19</f>
        <v>27.909455</v>
      </c>
      <c r="M65" s="15" t="n">
        <v>81.73</v>
      </c>
      <c r="N65" s="19" t="n">
        <f aca="false">IFERROR(1-D65/M65,0)</f>
        <v>0.450018353113912</v>
      </c>
      <c r="O65" s="19" t="n">
        <f aca="false">IF(Tiers!$B$18="ja",Tiers!$B$20,N65)</f>
        <v>0.450018353113912</v>
      </c>
      <c r="P65" s="15" t="n">
        <f aca="false">ROUNDUP(G65/(1-O65),0)-0.05</f>
        <v>81.95</v>
      </c>
      <c r="Q65" s="19" t="n">
        <f aca="false">IFERROR(1-G65/P65,0)</f>
        <v>0.451494813910921</v>
      </c>
      <c r="R65" s="14" t="n">
        <v>6</v>
      </c>
    </row>
    <row r="66" customFormat="false" ht="15" hidden="false" customHeight="false" outlineLevel="0" collapsed="false">
      <c r="A66" s="14" t="s">
        <v>181</v>
      </c>
      <c r="B66" s="14" t="s">
        <v>182</v>
      </c>
      <c r="C66" s="14" t="s">
        <v>6</v>
      </c>
      <c r="D66" s="15" t="n">
        <v>44.95</v>
      </c>
      <c r="E66" s="15" t="n">
        <f aca="false">IFERROR(INDEX(Tiers!$B$4:$B$15,MATCH(C66,Tiers!$A$4:$A$15,0)),D66)</f>
        <v>44.95</v>
      </c>
      <c r="F66" s="16"/>
      <c r="G66" s="17" t="n">
        <f aca="false">IF(F66="",E66,F66)</f>
        <v>44.95</v>
      </c>
      <c r="H66" s="18" t="n">
        <f aca="false">G66-D66</f>
        <v>0</v>
      </c>
      <c r="I66" s="19" t="n">
        <f aca="false">IFERROR((G66-D66)/D66,0)</f>
        <v>0</v>
      </c>
      <c r="J66" s="14" t="str">
        <f aca="false">IF(G66&gt;D66,"Omhoog",IF(G66&lt;D66,"Omlaag","Gelijk"))</f>
        <v>Gelijk</v>
      </c>
      <c r="K66" s="20" t="str">
        <f aca="false">IF(ABS(I66)&gt;=0.2,"controleren","")</f>
        <v/>
      </c>
      <c r="L66" s="21" t="n">
        <f aca="false">G66*Tiers!$B$19</f>
        <v>27.909455</v>
      </c>
      <c r="M66" s="15" t="n">
        <v>74.92</v>
      </c>
      <c r="N66" s="19" t="n">
        <f aca="false">IFERROR(1-D66/M66,0)</f>
        <v>0.400026695141484</v>
      </c>
      <c r="O66" s="19" t="n">
        <f aca="false">IF(Tiers!$B$18="ja",Tiers!$B$20,N66)</f>
        <v>0.400026695141484</v>
      </c>
      <c r="P66" s="15" t="n">
        <f aca="false">ROUNDUP(G66/(1-O66),0)-0.05</f>
        <v>74.95</v>
      </c>
      <c r="Q66" s="19" t="n">
        <f aca="false">IFERROR(1-G66/P66,0)</f>
        <v>0.400266844563042</v>
      </c>
      <c r="R66" s="14" t="n">
        <v>36</v>
      </c>
    </row>
    <row r="67" customFormat="false" ht="15" hidden="false" customHeight="false" outlineLevel="0" collapsed="false">
      <c r="A67" s="14" t="s">
        <v>183</v>
      </c>
      <c r="B67" s="14" t="s">
        <v>184</v>
      </c>
      <c r="C67" s="14" t="s">
        <v>6</v>
      </c>
      <c r="D67" s="15" t="n">
        <v>44.95</v>
      </c>
      <c r="E67" s="15" t="n">
        <f aca="false">IFERROR(INDEX(Tiers!$B$4:$B$15,MATCH(C67,Tiers!$A$4:$A$15,0)),D67)</f>
        <v>44.95</v>
      </c>
      <c r="F67" s="16"/>
      <c r="G67" s="17" t="n">
        <f aca="false">IF(F67="",E67,F67)</f>
        <v>44.95</v>
      </c>
      <c r="H67" s="18" t="n">
        <f aca="false">G67-D67</f>
        <v>0</v>
      </c>
      <c r="I67" s="19" t="n">
        <f aca="false">IFERROR((G67-D67)/D67,0)</f>
        <v>0</v>
      </c>
      <c r="J67" s="14" t="str">
        <f aca="false">IF(G67&gt;D67,"Omhoog",IF(G67&lt;D67,"Omlaag","Gelijk"))</f>
        <v>Gelijk</v>
      </c>
      <c r="K67" s="20" t="str">
        <f aca="false">IF(ABS(I67)&gt;=0.2,"controleren","")</f>
        <v/>
      </c>
      <c r="L67" s="21" t="n">
        <f aca="false">G67*Tiers!$B$19</f>
        <v>27.909455</v>
      </c>
      <c r="M67" s="15" t="n">
        <v>89.9</v>
      </c>
      <c r="N67" s="19" t="n">
        <f aca="false">IFERROR(1-D67/M67,0)</f>
        <v>0.5</v>
      </c>
      <c r="O67" s="19" t="n">
        <f aca="false">IF(Tiers!$B$18="ja",Tiers!$B$20,N67)</f>
        <v>0.5</v>
      </c>
      <c r="P67" s="15" t="n">
        <f aca="false">ROUNDUP(G67/(1-O67),0)-0.05</f>
        <v>89.95</v>
      </c>
      <c r="Q67" s="19" t="n">
        <f aca="false">IFERROR(1-G67/P67,0)</f>
        <v>0.500277932184547</v>
      </c>
      <c r="R67" s="14" t="n">
        <v>18</v>
      </c>
    </row>
    <row r="68" customFormat="false" ht="15" hidden="false" customHeight="false" outlineLevel="0" collapsed="false">
      <c r="A68" s="14" t="s">
        <v>185</v>
      </c>
      <c r="B68" s="14" t="s">
        <v>186</v>
      </c>
      <c r="C68" s="14" t="s">
        <v>6</v>
      </c>
      <c r="D68" s="15" t="n">
        <v>44.95</v>
      </c>
      <c r="E68" s="15" t="n">
        <f aca="false">IFERROR(INDEX(Tiers!$B$4:$B$15,MATCH(C68,Tiers!$A$4:$A$15,0)),D68)</f>
        <v>44.95</v>
      </c>
      <c r="F68" s="16"/>
      <c r="G68" s="17" t="n">
        <f aca="false">IF(F68="",E68,F68)</f>
        <v>44.95</v>
      </c>
      <c r="H68" s="18" t="n">
        <f aca="false">G68-D68</f>
        <v>0</v>
      </c>
      <c r="I68" s="19" t="n">
        <f aca="false">IFERROR((G68-D68)/D68,0)</f>
        <v>0</v>
      </c>
      <c r="J68" s="14" t="str">
        <f aca="false">IF(G68&gt;D68,"Omhoog",IF(G68&lt;D68,"Omlaag","Gelijk"))</f>
        <v>Gelijk</v>
      </c>
      <c r="K68" s="20" t="str">
        <f aca="false">IF(ABS(I68)&gt;=0.2,"controleren","")</f>
        <v/>
      </c>
      <c r="L68" s="21" t="n">
        <f aca="false">G68*Tiers!$B$19</f>
        <v>27.909455</v>
      </c>
      <c r="M68" s="15" t="n">
        <v>74.92</v>
      </c>
      <c r="N68" s="19" t="n">
        <f aca="false">IFERROR(1-D68/M68,0)</f>
        <v>0.400026695141484</v>
      </c>
      <c r="O68" s="19" t="n">
        <f aca="false">IF(Tiers!$B$18="ja",Tiers!$B$20,N68)</f>
        <v>0.400026695141484</v>
      </c>
      <c r="P68" s="15" t="n">
        <f aca="false">ROUNDUP(G68/(1-O68),0)-0.05</f>
        <v>74.95</v>
      </c>
      <c r="Q68" s="19" t="n">
        <f aca="false">IFERROR(1-G68/P68,0)</f>
        <v>0.400266844563042</v>
      </c>
      <c r="R68" s="14" t="n">
        <v>40</v>
      </c>
    </row>
    <row r="69" customFormat="false" ht="15" hidden="false" customHeight="false" outlineLevel="0" collapsed="false">
      <c r="A69" s="14" t="s">
        <v>187</v>
      </c>
      <c r="B69" s="14" t="s">
        <v>188</v>
      </c>
      <c r="C69" s="14" t="s">
        <v>6</v>
      </c>
      <c r="D69" s="15" t="n">
        <v>44.95</v>
      </c>
      <c r="E69" s="15" t="n">
        <f aca="false">IFERROR(INDEX(Tiers!$B$4:$B$15,MATCH(C69,Tiers!$A$4:$A$15,0)),D69)</f>
        <v>44.95</v>
      </c>
      <c r="F69" s="16"/>
      <c r="G69" s="17" t="n">
        <f aca="false">IF(F69="",E69,F69)</f>
        <v>44.95</v>
      </c>
      <c r="H69" s="18" t="n">
        <f aca="false">G69-D69</f>
        <v>0</v>
      </c>
      <c r="I69" s="19" t="n">
        <f aca="false">IFERROR((G69-D69)/D69,0)</f>
        <v>0</v>
      </c>
      <c r="J69" s="14" t="str">
        <f aca="false">IF(G69&gt;D69,"Omhoog",IF(G69&lt;D69,"Omlaag","Gelijk"))</f>
        <v>Gelijk</v>
      </c>
      <c r="K69" s="20" t="str">
        <f aca="false">IF(ABS(I69)&gt;=0.2,"controleren","")</f>
        <v/>
      </c>
      <c r="L69" s="21" t="n">
        <f aca="false">G69*Tiers!$B$19</f>
        <v>27.909455</v>
      </c>
      <c r="M69" s="15" t="n">
        <v>81.73</v>
      </c>
      <c r="N69" s="19" t="n">
        <f aca="false">IFERROR(1-D69/M69,0)</f>
        <v>0.450018353113912</v>
      </c>
      <c r="O69" s="19" t="n">
        <f aca="false">IF(Tiers!$B$18="ja",Tiers!$B$20,N69)</f>
        <v>0.450018353113912</v>
      </c>
      <c r="P69" s="15" t="n">
        <f aca="false">ROUNDUP(G69/(1-O69),0)-0.05</f>
        <v>81.95</v>
      </c>
      <c r="Q69" s="19" t="n">
        <f aca="false">IFERROR(1-G69/P69,0)</f>
        <v>0.451494813910921</v>
      </c>
      <c r="R69" s="14" t="n">
        <v>40</v>
      </c>
    </row>
    <row r="70" customFormat="false" ht="15" hidden="false" customHeight="false" outlineLevel="0" collapsed="false">
      <c r="A70" s="14" t="s">
        <v>189</v>
      </c>
      <c r="B70" s="14" t="s">
        <v>190</v>
      </c>
      <c r="C70" s="14" t="s">
        <v>6</v>
      </c>
      <c r="D70" s="15" t="n">
        <v>44.95</v>
      </c>
      <c r="E70" s="15" t="n">
        <f aca="false">IFERROR(INDEX(Tiers!$B$4:$B$15,MATCH(C70,Tiers!$A$4:$A$15,0)),D70)</f>
        <v>44.95</v>
      </c>
      <c r="F70" s="16"/>
      <c r="G70" s="17" t="n">
        <f aca="false">IF(F70="",E70,F70)</f>
        <v>44.95</v>
      </c>
      <c r="H70" s="18" t="n">
        <f aca="false">G70-D70</f>
        <v>0</v>
      </c>
      <c r="I70" s="19" t="n">
        <f aca="false">IFERROR((G70-D70)/D70,0)</f>
        <v>0</v>
      </c>
      <c r="J70" s="14" t="str">
        <f aca="false">IF(G70&gt;D70,"Omhoog",IF(G70&lt;D70,"Omlaag","Gelijk"))</f>
        <v>Gelijk</v>
      </c>
      <c r="K70" s="20" t="str">
        <f aca="false">IF(ABS(I70)&gt;=0.2,"controleren","")</f>
        <v/>
      </c>
      <c r="L70" s="21" t="n">
        <f aca="false">G70*Tiers!$B$19</f>
        <v>27.909455</v>
      </c>
      <c r="M70" s="15" t="n">
        <v>81.73</v>
      </c>
      <c r="N70" s="19" t="n">
        <f aca="false">IFERROR(1-D70/M70,0)</f>
        <v>0.450018353113912</v>
      </c>
      <c r="O70" s="19" t="n">
        <f aca="false">IF(Tiers!$B$18="ja",Tiers!$B$20,N70)</f>
        <v>0.450018353113912</v>
      </c>
      <c r="P70" s="15" t="n">
        <f aca="false">ROUNDUP(G70/(1-O70),0)-0.05</f>
        <v>81.95</v>
      </c>
      <c r="Q70" s="19" t="n">
        <f aca="false">IFERROR(1-G70/P70,0)</f>
        <v>0.451494813910921</v>
      </c>
      <c r="R70" s="14" t="n">
        <v>42</v>
      </c>
    </row>
    <row r="71" customFormat="false" ht="15" hidden="false" customHeight="false" outlineLevel="0" collapsed="false">
      <c r="A71" s="14" t="s">
        <v>191</v>
      </c>
      <c r="B71" s="14" t="s">
        <v>192</v>
      </c>
      <c r="C71" s="14" t="s">
        <v>6</v>
      </c>
      <c r="D71" s="15" t="n">
        <v>44.95</v>
      </c>
      <c r="E71" s="15" t="n">
        <f aca="false">IFERROR(INDEX(Tiers!$B$4:$B$15,MATCH(C71,Tiers!$A$4:$A$15,0)),D71)</f>
        <v>44.95</v>
      </c>
      <c r="F71" s="16"/>
      <c r="G71" s="17" t="n">
        <f aca="false">IF(F71="",E71,F71)</f>
        <v>44.95</v>
      </c>
      <c r="H71" s="18" t="n">
        <f aca="false">G71-D71</f>
        <v>0</v>
      </c>
      <c r="I71" s="19" t="n">
        <f aca="false">IFERROR((G71-D71)/D71,0)</f>
        <v>0</v>
      </c>
      <c r="J71" s="14" t="str">
        <f aca="false">IF(G71&gt;D71,"Omhoog",IF(G71&lt;D71,"Omlaag","Gelijk"))</f>
        <v>Gelijk</v>
      </c>
      <c r="K71" s="20" t="str">
        <f aca="false">IF(ABS(I71)&gt;=0.2,"controleren","")</f>
        <v/>
      </c>
      <c r="L71" s="21" t="n">
        <f aca="false">G71*Tiers!$B$19</f>
        <v>27.909455</v>
      </c>
      <c r="M71" s="15" t="n">
        <v>89.9</v>
      </c>
      <c r="N71" s="19" t="n">
        <f aca="false">IFERROR(1-D71/M71,0)</f>
        <v>0.5</v>
      </c>
      <c r="O71" s="19" t="n">
        <f aca="false">IF(Tiers!$B$18="ja",Tiers!$B$20,N71)</f>
        <v>0.5</v>
      </c>
      <c r="P71" s="15" t="n">
        <f aca="false">ROUNDUP(G71/(1-O71),0)-0.05</f>
        <v>89.95</v>
      </c>
      <c r="Q71" s="19" t="n">
        <f aca="false">IFERROR(1-G71/P71,0)</f>
        <v>0.500277932184547</v>
      </c>
      <c r="R71" s="14" t="n">
        <v>20</v>
      </c>
    </row>
    <row r="72" customFormat="false" ht="15" hidden="false" customHeight="false" outlineLevel="0" collapsed="false">
      <c r="A72" s="14" t="s">
        <v>193</v>
      </c>
      <c r="B72" s="14" t="s">
        <v>194</v>
      </c>
      <c r="C72" s="14" t="s">
        <v>6</v>
      </c>
      <c r="D72" s="15" t="n">
        <v>39.95</v>
      </c>
      <c r="E72" s="15" t="n">
        <f aca="false">IFERROR(INDEX(Tiers!$B$4:$B$15,MATCH(C72,Tiers!$A$4:$A$15,0)),D72)</f>
        <v>44.95</v>
      </c>
      <c r="F72" s="16"/>
      <c r="G72" s="17" t="n">
        <f aca="false">IF(F72="",E72,F72)</f>
        <v>44.95</v>
      </c>
      <c r="H72" s="18" t="n">
        <f aca="false">G72-D72</f>
        <v>5</v>
      </c>
      <c r="I72" s="19" t="n">
        <f aca="false">IFERROR((G72-D72)/D72,0)</f>
        <v>0.125156445556946</v>
      </c>
      <c r="J72" s="14" t="str">
        <f aca="false">IF(G72&gt;D72,"Omhoog",IF(G72&lt;D72,"Omlaag","Gelijk"))</f>
        <v>Omhoog</v>
      </c>
      <c r="K72" s="20" t="str">
        <f aca="false">IF(ABS(I72)&gt;=0.2,"controleren","")</f>
        <v/>
      </c>
      <c r="L72" s="21" t="n">
        <f aca="false">G72*Tiers!$B$19</f>
        <v>27.909455</v>
      </c>
      <c r="M72" s="15" t="n">
        <v>72.64</v>
      </c>
      <c r="N72" s="19" t="n">
        <f aca="false">IFERROR(1-D72/M72,0)</f>
        <v>0.450027533039648</v>
      </c>
      <c r="O72" s="19" t="n">
        <f aca="false">IF(Tiers!$B$18="ja",Tiers!$B$20,N72)</f>
        <v>0.450027533039648</v>
      </c>
      <c r="P72" s="15" t="n">
        <f aca="false">ROUNDUP(G72/(1-O72),0)-0.05</f>
        <v>81.95</v>
      </c>
      <c r="Q72" s="19" t="n">
        <f aca="false">IFERROR(1-G72/P72,0)</f>
        <v>0.451494813910921</v>
      </c>
      <c r="R72" s="14" t="n">
        <v>5</v>
      </c>
    </row>
    <row r="73" customFormat="false" ht="15" hidden="false" customHeight="false" outlineLevel="0" collapsed="false">
      <c r="A73" s="14" t="s">
        <v>195</v>
      </c>
      <c r="B73" s="14" t="s">
        <v>196</v>
      </c>
      <c r="C73" s="14" t="s">
        <v>6</v>
      </c>
      <c r="D73" s="15" t="n">
        <v>44.95</v>
      </c>
      <c r="E73" s="15" t="n">
        <f aca="false">IFERROR(INDEX(Tiers!$B$4:$B$15,MATCH(C73,Tiers!$A$4:$A$15,0)),D73)</f>
        <v>44.95</v>
      </c>
      <c r="F73" s="16"/>
      <c r="G73" s="17" t="n">
        <f aca="false">IF(F73="",E73,F73)</f>
        <v>44.95</v>
      </c>
      <c r="H73" s="18" t="n">
        <f aca="false">G73-D73</f>
        <v>0</v>
      </c>
      <c r="I73" s="19" t="n">
        <f aca="false">IFERROR((G73-D73)/D73,0)</f>
        <v>0</v>
      </c>
      <c r="J73" s="14" t="str">
        <f aca="false">IF(G73&gt;D73,"Omhoog",IF(G73&lt;D73,"Omlaag","Gelijk"))</f>
        <v>Gelijk</v>
      </c>
      <c r="K73" s="20" t="str">
        <f aca="false">IF(ABS(I73)&gt;=0.2,"controleren","")</f>
        <v/>
      </c>
      <c r="L73" s="21" t="n">
        <f aca="false">G73*Tiers!$B$19</f>
        <v>27.909455</v>
      </c>
      <c r="M73" s="15" t="n">
        <v>89.9</v>
      </c>
      <c r="N73" s="19" t="n">
        <f aca="false">IFERROR(1-D73/M73,0)</f>
        <v>0.5</v>
      </c>
      <c r="O73" s="19" t="n">
        <f aca="false">IF(Tiers!$B$18="ja",Tiers!$B$20,N73)</f>
        <v>0.5</v>
      </c>
      <c r="P73" s="15" t="n">
        <f aca="false">ROUNDUP(G73/(1-O73),0)-0.05</f>
        <v>89.95</v>
      </c>
      <c r="Q73" s="19" t="n">
        <f aca="false">IFERROR(1-G73/P73,0)</f>
        <v>0.500277932184547</v>
      </c>
      <c r="R73" s="14" t="n">
        <v>25</v>
      </c>
    </row>
    <row r="74" customFormat="false" ht="15" hidden="false" customHeight="false" outlineLevel="0" collapsed="false">
      <c r="A74" s="14" t="s">
        <v>197</v>
      </c>
      <c r="B74" s="14" t="s">
        <v>198</v>
      </c>
      <c r="C74" s="14" t="s">
        <v>6</v>
      </c>
      <c r="D74" s="15" t="n">
        <v>34.95</v>
      </c>
      <c r="E74" s="15" t="n">
        <f aca="false">IFERROR(INDEX(Tiers!$B$4:$B$15,MATCH(C74,Tiers!$A$4:$A$15,0)),D74)</f>
        <v>44.95</v>
      </c>
      <c r="F74" s="16"/>
      <c r="G74" s="17" t="n">
        <f aca="false">IF(F74="",E74,F74)</f>
        <v>44.95</v>
      </c>
      <c r="H74" s="18" t="n">
        <f aca="false">G74-D74</f>
        <v>10</v>
      </c>
      <c r="I74" s="19" t="n">
        <f aca="false">IFERROR((G74-D74)/D74,0)</f>
        <v>0.286123032904149</v>
      </c>
      <c r="J74" s="14" t="str">
        <f aca="false">IF(G74&gt;D74,"Omhoog",IF(G74&lt;D74,"Omlaag","Gelijk"))</f>
        <v>Omhoog</v>
      </c>
      <c r="K74" s="20" t="str">
        <f aca="false">IF(ABS(I74)&gt;=0.2,"controleren","")</f>
        <v>controleren</v>
      </c>
      <c r="L74" s="21" t="n">
        <f aca="false">G74*Tiers!$B$19</f>
        <v>27.909455</v>
      </c>
      <c r="M74" s="15" t="n">
        <v>69.9</v>
      </c>
      <c r="N74" s="19" t="n">
        <f aca="false">IFERROR(1-D74/M74,0)</f>
        <v>0.5</v>
      </c>
      <c r="O74" s="19" t="n">
        <f aca="false">IF(Tiers!$B$18="ja",Tiers!$B$20,N74)</f>
        <v>0.5</v>
      </c>
      <c r="P74" s="15" t="n">
        <f aca="false">ROUNDUP(G74/(1-O74),0)-0.05</f>
        <v>89.95</v>
      </c>
      <c r="Q74" s="19" t="n">
        <f aca="false">IFERROR(1-G74/P74,0)</f>
        <v>0.500277932184547</v>
      </c>
      <c r="R74" s="14" t="n">
        <v>28</v>
      </c>
    </row>
    <row r="75" customFormat="false" ht="15" hidden="false" customHeight="false" outlineLevel="0" collapsed="false">
      <c r="A75" s="14" t="s">
        <v>199</v>
      </c>
      <c r="B75" s="14" t="s">
        <v>200</v>
      </c>
      <c r="C75" s="14" t="s">
        <v>8</v>
      </c>
      <c r="D75" s="15" t="n">
        <v>44.95</v>
      </c>
      <c r="E75" s="15" t="n">
        <f aca="false">IFERROR(INDEX(Tiers!$B$4:$B$15,MATCH(C75,Tiers!$A$4:$A$15,0)),D75)</f>
        <v>44.95</v>
      </c>
      <c r="F75" s="16"/>
      <c r="G75" s="17" t="n">
        <f aca="false">IF(F75="",E75,F75)</f>
        <v>44.95</v>
      </c>
      <c r="H75" s="18" t="n">
        <f aca="false">G75-D75</f>
        <v>0</v>
      </c>
      <c r="I75" s="19" t="n">
        <f aca="false">IFERROR((G75-D75)/D75,0)</f>
        <v>0</v>
      </c>
      <c r="J75" s="14" t="str">
        <f aca="false">IF(G75&gt;D75,"Omhoog",IF(G75&lt;D75,"Omlaag","Gelijk"))</f>
        <v>Gelijk</v>
      </c>
      <c r="K75" s="20" t="str">
        <f aca="false">IF(ABS(I75)&gt;=0.2,"controleren","")</f>
        <v/>
      </c>
      <c r="L75" s="21" t="n">
        <f aca="false">G75*Tiers!$B$19</f>
        <v>27.909455</v>
      </c>
      <c r="M75" s="15" t="n">
        <v>74.92</v>
      </c>
      <c r="N75" s="19" t="n">
        <f aca="false">IFERROR(1-D75/M75,0)</f>
        <v>0.400026695141484</v>
      </c>
      <c r="O75" s="19" t="n">
        <f aca="false">IF(Tiers!$B$18="ja",Tiers!$B$20,N75)</f>
        <v>0.400026695141484</v>
      </c>
      <c r="P75" s="15" t="n">
        <f aca="false">ROUNDUP(G75/(1-O75),0)-0.05</f>
        <v>74.95</v>
      </c>
      <c r="Q75" s="19" t="n">
        <f aca="false">IFERROR(1-G75/P75,0)</f>
        <v>0.400266844563042</v>
      </c>
      <c r="R75" s="14" t="n">
        <v>20</v>
      </c>
    </row>
    <row r="76" customFormat="false" ht="15" hidden="false" customHeight="false" outlineLevel="0" collapsed="false">
      <c r="A76" s="14" t="s">
        <v>201</v>
      </c>
      <c r="B76" s="14" t="s">
        <v>202</v>
      </c>
      <c r="C76" s="14" t="s">
        <v>8</v>
      </c>
      <c r="D76" s="15" t="n">
        <v>44.95</v>
      </c>
      <c r="E76" s="15" t="n">
        <f aca="false">IFERROR(INDEX(Tiers!$B$4:$B$15,MATCH(C76,Tiers!$A$4:$A$15,0)),D76)</f>
        <v>44.95</v>
      </c>
      <c r="F76" s="16"/>
      <c r="G76" s="17" t="n">
        <f aca="false">IF(F76="",E76,F76)</f>
        <v>44.95</v>
      </c>
      <c r="H76" s="18" t="n">
        <f aca="false">G76-D76</f>
        <v>0</v>
      </c>
      <c r="I76" s="19" t="n">
        <f aca="false">IFERROR((G76-D76)/D76,0)</f>
        <v>0</v>
      </c>
      <c r="J76" s="14" t="str">
        <f aca="false">IF(G76&gt;D76,"Omhoog",IF(G76&lt;D76,"Omlaag","Gelijk"))</f>
        <v>Gelijk</v>
      </c>
      <c r="K76" s="20" t="str">
        <f aca="false">IF(ABS(I76)&gt;=0.2,"controleren","")</f>
        <v/>
      </c>
      <c r="L76" s="21" t="n">
        <f aca="false">G76*Tiers!$B$19</f>
        <v>27.909455</v>
      </c>
      <c r="M76" s="15" t="n">
        <v>81.73</v>
      </c>
      <c r="N76" s="19" t="n">
        <f aca="false">IFERROR(1-D76/M76,0)</f>
        <v>0.450018353113912</v>
      </c>
      <c r="O76" s="19" t="n">
        <f aca="false">IF(Tiers!$B$18="ja",Tiers!$B$20,N76)</f>
        <v>0.450018353113912</v>
      </c>
      <c r="P76" s="15" t="n">
        <f aca="false">ROUNDUP(G76/(1-O76),0)-0.05</f>
        <v>81.95</v>
      </c>
      <c r="Q76" s="19" t="n">
        <f aca="false">IFERROR(1-G76/P76,0)</f>
        <v>0.451494813910921</v>
      </c>
      <c r="R76" s="14" t="n">
        <v>42</v>
      </c>
    </row>
    <row r="77" customFormat="false" ht="15" hidden="false" customHeight="false" outlineLevel="0" collapsed="false">
      <c r="A77" s="14" t="s">
        <v>203</v>
      </c>
      <c r="B77" s="14" t="s">
        <v>204</v>
      </c>
      <c r="C77" s="14" t="s">
        <v>8</v>
      </c>
      <c r="D77" s="15" t="n">
        <v>44.95</v>
      </c>
      <c r="E77" s="15" t="n">
        <f aca="false">IFERROR(INDEX(Tiers!$B$4:$B$15,MATCH(C77,Tiers!$A$4:$A$15,0)),D77)</f>
        <v>44.95</v>
      </c>
      <c r="F77" s="16"/>
      <c r="G77" s="17" t="n">
        <f aca="false">IF(F77="",E77,F77)</f>
        <v>44.95</v>
      </c>
      <c r="H77" s="18" t="n">
        <f aca="false">G77-D77</f>
        <v>0</v>
      </c>
      <c r="I77" s="19" t="n">
        <f aca="false">IFERROR((G77-D77)/D77,0)</f>
        <v>0</v>
      </c>
      <c r="J77" s="14" t="str">
        <f aca="false">IF(G77&gt;D77,"Omhoog",IF(G77&lt;D77,"Omlaag","Gelijk"))</f>
        <v>Gelijk</v>
      </c>
      <c r="K77" s="20" t="str">
        <f aca="false">IF(ABS(I77)&gt;=0.2,"controleren","")</f>
        <v/>
      </c>
      <c r="L77" s="21" t="n">
        <f aca="false">G77*Tiers!$B$19</f>
        <v>27.909455</v>
      </c>
      <c r="M77" s="15" t="n">
        <v>89.9</v>
      </c>
      <c r="N77" s="19" t="n">
        <f aca="false">IFERROR(1-D77/M77,0)</f>
        <v>0.5</v>
      </c>
      <c r="O77" s="19" t="n">
        <f aca="false">IF(Tiers!$B$18="ja",Tiers!$B$20,N77)</f>
        <v>0.5</v>
      </c>
      <c r="P77" s="15" t="n">
        <f aca="false">ROUNDUP(G77/(1-O77),0)-0.05</f>
        <v>89.95</v>
      </c>
      <c r="Q77" s="19" t="n">
        <f aca="false">IFERROR(1-G77/P77,0)</f>
        <v>0.500277932184547</v>
      </c>
      <c r="R77" s="14" t="n">
        <v>30</v>
      </c>
    </row>
    <row r="78" customFormat="false" ht="15" hidden="false" customHeight="false" outlineLevel="0" collapsed="false">
      <c r="A78" s="14" t="s">
        <v>205</v>
      </c>
      <c r="B78" s="14" t="s">
        <v>206</v>
      </c>
      <c r="C78" s="14" t="s">
        <v>8</v>
      </c>
      <c r="D78" s="15" t="n">
        <v>44.95</v>
      </c>
      <c r="E78" s="15" t="n">
        <f aca="false">IFERROR(INDEX(Tiers!$B$4:$B$15,MATCH(C78,Tiers!$A$4:$A$15,0)),D78)</f>
        <v>44.95</v>
      </c>
      <c r="F78" s="16"/>
      <c r="G78" s="17" t="n">
        <f aca="false">IF(F78="",E78,F78)</f>
        <v>44.95</v>
      </c>
      <c r="H78" s="18" t="n">
        <f aca="false">G78-D78</f>
        <v>0</v>
      </c>
      <c r="I78" s="19" t="n">
        <f aca="false">IFERROR((G78-D78)/D78,0)</f>
        <v>0</v>
      </c>
      <c r="J78" s="14" t="str">
        <f aca="false">IF(G78&gt;D78,"Omhoog",IF(G78&lt;D78,"Omlaag","Gelijk"))</f>
        <v>Gelijk</v>
      </c>
      <c r="K78" s="20" t="str">
        <f aca="false">IF(ABS(I78)&gt;=0.2,"controleren","")</f>
        <v/>
      </c>
      <c r="L78" s="21" t="n">
        <f aca="false">G78*Tiers!$B$19</f>
        <v>27.909455</v>
      </c>
      <c r="M78" s="15" t="n">
        <v>89.9</v>
      </c>
      <c r="N78" s="19" t="n">
        <f aca="false">IFERROR(1-D78/M78,0)</f>
        <v>0.5</v>
      </c>
      <c r="O78" s="19" t="n">
        <f aca="false">IF(Tiers!$B$18="ja",Tiers!$B$20,N78)</f>
        <v>0.5</v>
      </c>
      <c r="P78" s="15" t="n">
        <f aca="false">ROUNDUP(G78/(1-O78),0)-0.05</f>
        <v>89.95</v>
      </c>
      <c r="Q78" s="19" t="n">
        <f aca="false">IFERROR(1-G78/P78,0)</f>
        <v>0.500277932184547</v>
      </c>
      <c r="R78" s="14" t="n">
        <v>3</v>
      </c>
    </row>
    <row r="79" customFormat="false" ht="15" hidden="false" customHeight="false" outlineLevel="0" collapsed="false">
      <c r="A79" s="14" t="s">
        <v>207</v>
      </c>
      <c r="B79" s="14" t="s">
        <v>208</v>
      </c>
      <c r="C79" s="14" t="s">
        <v>8</v>
      </c>
      <c r="D79" s="15" t="n">
        <v>44.95</v>
      </c>
      <c r="E79" s="15" t="n">
        <f aca="false">IFERROR(INDEX(Tiers!$B$4:$B$15,MATCH(C79,Tiers!$A$4:$A$15,0)),D79)</f>
        <v>44.95</v>
      </c>
      <c r="F79" s="16"/>
      <c r="G79" s="17" t="n">
        <f aca="false">IF(F79="",E79,F79)</f>
        <v>44.95</v>
      </c>
      <c r="H79" s="18" t="n">
        <f aca="false">G79-D79</f>
        <v>0</v>
      </c>
      <c r="I79" s="19" t="n">
        <f aca="false">IFERROR((G79-D79)/D79,0)</f>
        <v>0</v>
      </c>
      <c r="J79" s="14" t="str">
        <f aca="false">IF(G79&gt;D79,"Omhoog",IF(G79&lt;D79,"Omlaag","Gelijk"))</f>
        <v>Gelijk</v>
      </c>
      <c r="K79" s="20" t="str">
        <f aca="false">IF(ABS(I79)&gt;=0.2,"controleren","")</f>
        <v/>
      </c>
      <c r="L79" s="21" t="n">
        <f aca="false">G79*Tiers!$B$19</f>
        <v>27.909455</v>
      </c>
      <c r="M79" s="15" t="n">
        <v>89.9</v>
      </c>
      <c r="N79" s="19" t="n">
        <f aca="false">IFERROR(1-D79/M79,0)</f>
        <v>0.5</v>
      </c>
      <c r="O79" s="19" t="n">
        <f aca="false">IF(Tiers!$B$18="ja",Tiers!$B$20,N79)</f>
        <v>0.5</v>
      </c>
      <c r="P79" s="15" t="n">
        <f aca="false">ROUNDUP(G79/(1-O79),0)-0.05</f>
        <v>89.95</v>
      </c>
      <c r="Q79" s="19" t="n">
        <f aca="false">IFERROR(1-G79/P79,0)</f>
        <v>0.500277932184547</v>
      </c>
      <c r="R79" s="14" t="n">
        <v>30</v>
      </c>
    </row>
    <row r="80" customFormat="false" ht="15" hidden="false" customHeight="false" outlineLevel="0" collapsed="false">
      <c r="A80" s="14" t="s">
        <v>209</v>
      </c>
      <c r="B80" s="14" t="s">
        <v>210</v>
      </c>
      <c r="C80" s="14" t="s">
        <v>10</v>
      </c>
      <c r="D80" s="15" t="n">
        <v>44.95</v>
      </c>
      <c r="E80" s="15" t="n">
        <f aca="false">IFERROR(INDEX(Tiers!$B$4:$B$15,MATCH(C80,Tiers!$A$4:$A$15,0)),D80)</f>
        <v>44.95</v>
      </c>
      <c r="F80" s="16"/>
      <c r="G80" s="17" t="n">
        <f aca="false">IF(F80="",E80,F80)</f>
        <v>44.95</v>
      </c>
      <c r="H80" s="18" t="n">
        <f aca="false">G80-D80</f>
        <v>0</v>
      </c>
      <c r="I80" s="19" t="n">
        <f aca="false">IFERROR((G80-D80)/D80,0)</f>
        <v>0</v>
      </c>
      <c r="J80" s="14" t="str">
        <f aca="false">IF(G80&gt;D80,"Omhoog",IF(G80&lt;D80,"Omlaag","Gelijk"))</f>
        <v>Gelijk</v>
      </c>
      <c r="K80" s="20" t="str">
        <f aca="false">IF(ABS(I80)&gt;=0.2,"controleren","")</f>
        <v/>
      </c>
      <c r="L80" s="21" t="n">
        <f aca="false">G80*Tiers!$B$19</f>
        <v>27.909455</v>
      </c>
      <c r="M80" s="15" t="n">
        <v>81.73</v>
      </c>
      <c r="N80" s="19" t="n">
        <f aca="false">IFERROR(1-D80/M80,0)</f>
        <v>0.450018353113912</v>
      </c>
      <c r="O80" s="19" t="n">
        <f aca="false">IF(Tiers!$B$18="ja",Tiers!$B$20,N80)</f>
        <v>0.450018353113912</v>
      </c>
      <c r="P80" s="15" t="n">
        <f aca="false">ROUNDUP(G80/(1-O80),0)-0.05</f>
        <v>81.95</v>
      </c>
      <c r="Q80" s="19" t="n">
        <f aca="false">IFERROR(1-G80/P80,0)</f>
        <v>0.451494813910921</v>
      </c>
      <c r="R80" s="14" t="n">
        <v>5</v>
      </c>
    </row>
    <row r="81" customFormat="false" ht="15" hidden="false" customHeight="false" outlineLevel="0" collapsed="false">
      <c r="A81" s="14" t="s">
        <v>211</v>
      </c>
      <c r="B81" s="14" t="s">
        <v>212</v>
      </c>
      <c r="C81" s="14" t="s">
        <v>10</v>
      </c>
      <c r="D81" s="15" t="n">
        <v>44.95</v>
      </c>
      <c r="E81" s="15" t="n">
        <f aca="false">IFERROR(INDEX(Tiers!$B$4:$B$15,MATCH(C81,Tiers!$A$4:$A$15,0)),D81)</f>
        <v>44.95</v>
      </c>
      <c r="F81" s="16"/>
      <c r="G81" s="17" t="n">
        <f aca="false">IF(F81="",E81,F81)</f>
        <v>44.95</v>
      </c>
      <c r="H81" s="18" t="n">
        <f aca="false">G81-D81</f>
        <v>0</v>
      </c>
      <c r="I81" s="19" t="n">
        <f aca="false">IFERROR((G81-D81)/D81,0)</f>
        <v>0</v>
      </c>
      <c r="J81" s="14" t="str">
        <f aca="false">IF(G81&gt;D81,"Omhoog",IF(G81&lt;D81,"Omlaag","Gelijk"))</f>
        <v>Gelijk</v>
      </c>
      <c r="K81" s="20" t="str">
        <f aca="false">IF(ABS(I81)&gt;=0.2,"controleren","")</f>
        <v/>
      </c>
      <c r="L81" s="21" t="n">
        <f aca="false">G81*Tiers!$B$19</f>
        <v>27.909455</v>
      </c>
      <c r="M81" s="15" t="n">
        <v>89.9</v>
      </c>
      <c r="N81" s="19" t="n">
        <f aca="false">IFERROR(1-D81/M81,0)</f>
        <v>0.5</v>
      </c>
      <c r="O81" s="19" t="n">
        <f aca="false">IF(Tiers!$B$18="ja",Tiers!$B$20,N81)</f>
        <v>0.5</v>
      </c>
      <c r="P81" s="15" t="n">
        <f aca="false">ROUNDUP(G81/(1-O81),0)-0.05</f>
        <v>89.95</v>
      </c>
      <c r="Q81" s="19" t="n">
        <f aca="false">IFERROR(1-G81/P81,0)</f>
        <v>0.500277932184547</v>
      </c>
      <c r="R81" s="14" t="n">
        <v>27</v>
      </c>
    </row>
    <row r="82" customFormat="false" ht="15" hidden="false" customHeight="false" outlineLevel="0" collapsed="false">
      <c r="A82" s="14" t="s">
        <v>213</v>
      </c>
      <c r="B82" s="14" t="s">
        <v>214</v>
      </c>
      <c r="C82" s="14" t="s">
        <v>10</v>
      </c>
      <c r="D82" s="15" t="n">
        <v>44.95</v>
      </c>
      <c r="E82" s="15" t="n">
        <f aca="false">IFERROR(INDEX(Tiers!$B$4:$B$15,MATCH(C82,Tiers!$A$4:$A$15,0)),D82)</f>
        <v>44.95</v>
      </c>
      <c r="F82" s="16"/>
      <c r="G82" s="17" t="n">
        <f aca="false">IF(F82="",E82,F82)</f>
        <v>44.95</v>
      </c>
      <c r="H82" s="18" t="n">
        <f aca="false">G82-D82</f>
        <v>0</v>
      </c>
      <c r="I82" s="19" t="n">
        <f aca="false">IFERROR((G82-D82)/D82,0)</f>
        <v>0</v>
      </c>
      <c r="J82" s="14" t="str">
        <f aca="false">IF(G82&gt;D82,"Omhoog",IF(G82&lt;D82,"Omlaag","Gelijk"))</f>
        <v>Gelijk</v>
      </c>
      <c r="K82" s="20" t="str">
        <f aca="false">IF(ABS(I82)&gt;=0.2,"controleren","")</f>
        <v/>
      </c>
      <c r="L82" s="21" t="n">
        <f aca="false">G82*Tiers!$B$19</f>
        <v>27.909455</v>
      </c>
      <c r="M82" s="15" t="n">
        <v>81.73</v>
      </c>
      <c r="N82" s="19" t="n">
        <f aca="false">IFERROR(1-D82/M82,0)</f>
        <v>0.450018353113912</v>
      </c>
      <c r="O82" s="19" t="n">
        <f aca="false">IF(Tiers!$B$18="ja",Tiers!$B$20,N82)</f>
        <v>0.450018353113912</v>
      </c>
      <c r="P82" s="15" t="n">
        <f aca="false">ROUNDUP(G82/(1-O82),0)-0.05</f>
        <v>81.95</v>
      </c>
      <c r="Q82" s="19" t="n">
        <f aca="false">IFERROR(1-G82/P82,0)</f>
        <v>0.451494813910921</v>
      </c>
      <c r="R82" s="14" t="n">
        <v>50</v>
      </c>
    </row>
    <row r="83" customFormat="false" ht="15" hidden="false" customHeight="false" outlineLevel="0" collapsed="false">
      <c r="A83" s="14" t="s">
        <v>215</v>
      </c>
      <c r="B83" s="14" t="s">
        <v>216</v>
      </c>
      <c r="C83" s="14" t="s">
        <v>10</v>
      </c>
      <c r="D83" s="15" t="n">
        <v>44.95</v>
      </c>
      <c r="E83" s="15" t="n">
        <f aca="false">IFERROR(INDEX(Tiers!$B$4:$B$15,MATCH(C83,Tiers!$A$4:$A$15,0)),D83)</f>
        <v>44.95</v>
      </c>
      <c r="F83" s="16"/>
      <c r="G83" s="17" t="n">
        <f aca="false">IF(F83="",E83,F83)</f>
        <v>44.95</v>
      </c>
      <c r="H83" s="18" t="n">
        <f aca="false">G83-D83</f>
        <v>0</v>
      </c>
      <c r="I83" s="19" t="n">
        <f aca="false">IFERROR((G83-D83)/D83,0)</f>
        <v>0</v>
      </c>
      <c r="J83" s="14" t="str">
        <f aca="false">IF(G83&gt;D83,"Omhoog",IF(G83&lt;D83,"Omlaag","Gelijk"))</f>
        <v>Gelijk</v>
      </c>
      <c r="K83" s="20" t="str">
        <f aca="false">IF(ABS(I83)&gt;=0.2,"controleren","")</f>
        <v/>
      </c>
      <c r="L83" s="21" t="n">
        <f aca="false">G83*Tiers!$B$19</f>
        <v>27.909455</v>
      </c>
      <c r="M83" s="15" t="n">
        <v>74.92</v>
      </c>
      <c r="N83" s="19" t="n">
        <f aca="false">IFERROR(1-D83/M83,0)</f>
        <v>0.400026695141484</v>
      </c>
      <c r="O83" s="19" t="n">
        <f aca="false">IF(Tiers!$B$18="ja",Tiers!$B$20,N83)</f>
        <v>0.400026695141484</v>
      </c>
      <c r="P83" s="15" t="n">
        <f aca="false">ROUNDUP(G83/(1-O83),0)-0.05</f>
        <v>74.95</v>
      </c>
      <c r="Q83" s="19" t="n">
        <f aca="false">IFERROR(1-G83/P83,0)</f>
        <v>0.400266844563042</v>
      </c>
      <c r="R83" s="14" t="n">
        <v>30</v>
      </c>
    </row>
    <row r="84" customFormat="false" ht="15" hidden="false" customHeight="false" outlineLevel="0" collapsed="false">
      <c r="A84" s="14" t="s">
        <v>217</v>
      </c>
      <c r="B84" s="14" t="s">
        <v>218</v>
      </c>
      <c r="C84" s="14" t="s">
        <v>10</v>
      </c>
      <c r="D84" s="15" t="n">
        <v>44.95</v>
      </c>
      <c r="E84" s="15" t="n">
        <f aca="false">IFERROR(INDEX(Tiers!$B$4:$B$15,MATCH(C84,Tiers!$A$4:$A$15,0)),D84)</f>
        <v>44.95</v>
      </c>
      <c r="F84" s="16"/>
      <c r="G84" s="17" t="n">
        <f aca="false">IF(F84="",E84,F84)</f>
        <v>44.95</v>
      </c>
      <c r="H84" s="18" t="n">
        <f aca="false">G84-D84</f>
        <v>0</v>
      </c>
      <c r="I84" s="19" t="n">
        <f aca="false">IFERROR((G84-D84)/D84,0)</f>
        <v>0</v>
      </c>
      <c r="J84" s="14" t="str">
        <f aca="false">IF(G84&gt;D84,"Omhoog",IF(G84&lt;D84,"Omlaag","Gelijk"))</f>
        <v>Gelijk</v>
      </c>
      <c r="K84" s="20" t="str">
        <f aca="false">IF(ABS(I84)&gt;=0.2,"controleren","")</f>
        <v/>
      </c>
      <c r="L84" s="21" t="n">
        <f aca="false">G84*Tiers!$B$19</f>
        <v>27.909455</v>
      </c>
      <c r="M84" s="15" t="n">
        <v>74.92</v>
      </c>
      <c r="N84" s="19" t="n">
        <f aca="false">IFERROR(1-D84/M84,0)</f>
        <v>0.400026695141484</v>
      </c>
      <c r="O84" s="19" t="n">
        <f aca="false">IF(Tiers!$B$18="ja",Tiers!$B$20,N84)</f>
        <v>0.400026695141484</v>
      </c>
      <c r="P84" s="15" t="n">
        <f aca="false">ROUNDUP(G84/(1-O84),0)-0.05</f>
        <v>74.95</v>
      </c>
      <c r="Q84" s="19" t="n">
        <f aca="false">IFERROR(1-G84/P84,0)</f>
        <v>0.400266844563042</v>
      </c>
      <c r="R84" s="14" t="n">
        <v>28</v>
      </c>
    </row>
    <row r="85" customFormat="false" ht="15" hidden="false" customHeight="false" outlineLevel="0" collapsed="false">
      <c r="A85" s="14" t="s">
        <v>219</v>
      </c>
      <c r="B85" s="14" t="s">
        <v>220</v>
      </c>
      <c r="C85" s="14" t="s">
        <v>10</v>
      </c>
      <c r="D85" s="15" t="n">
        <v>44.95</v>
      </c>
      <c r="E85" s="15" t="n">
        <f aca="false">IFERROR(INDEX(Tiers!$B$4:$B$15,MATCH(C85,Tiers!$A$4:$A$15,0)),D85)</f>
        <v>44.95</v>
      </c>
      <c r="F85" s="16"/>
      <c r="G85" s="17" t="n">
        <f aca="false">IF(F85="",E85,F85)</f>
        <v>44.95</v>
      </c>
      <c r="H85" s="18" t="n">
        <f aca="false">G85-D85</f>
        <v>0</v>
      </c>
      <c r="I85" s="19" t="n">
        <f aca="false">IFERROR((G85-D85)/D85,0)</f>
        <v>0</v>
      </c>
      <c r="J85" s="14" t="str">
        <f aca="false">IF(G85&gt;D85,"Omhoog",IF(G85&lt;D85,"Omlaag","Gelijk"))</f>
        <v>Gelijk</v>
      </c>
      <c r="K85" s="20" t="str">
        <f aca="false">IF(ABS(I85)&gt;=0.2,"controleren","")</f>
        <v/>
      </c>
      <c r="L85" s="21" t="n">
        <f aca="false">G85*Tiers!$B$19</f>
        <v>27.909455</v>
      </c>
      <c r="M85" s="15" t="n">
        <v>74.92</v>
      </c>
      <c r="N85" s="19" t="n">
        <f aca="false">IFERROR(1-D85/M85,0)</f>
        <v>0.400026695141484</v>
      </c>
      <c r="O85" s="19" t="n">
        <f aca="false">IF(Tiers!$B$18="ja",Tiers!$B$20,N85)</f>
        <v>0.400026695141484</v>
      </c>
      <c r="P85" s="15" t="n">
        <f aca="false">ROUNDUP(G85/(1-O85),0)-0.05</f>
        <v>74.95</v>
      </c>
      <c r="Q85" s="19" t="n">
        <f aca="false">IFERROR(1-G85/P85,0)</f>
        <v>0.400266844563042</v>
      </c>
      <c r="R85" s="14" t="n">
        <v>24</v>
      </c>
    </row>
    <row r="86" customFormat="false" ht="15" hidden="false" customHeight="false" outlineLevel="0" collapsed="false">
      <c r="A86" s="14" t="s">
        <v>221</v>
      </c>
      <c r="B86" s="14" t="s">
        <v>222</v>
      </c>
      <c r="C86" s="14" t="s">
        <v>10</v>
      </c>
      <c r="D86" s="15" t="n">
        <v>44.95</v>
      </c>
      <c r="E86" s="15" t="n">
        <f aca="false">IFERROR(INDEX(Tiers!$B$4:$B$15,MATCH(C86,Tiers!$A$4:$A$15,0)),D86)</f>
        <v>44.95</v>
      </c>
      <c r="F86" s="16"/>
      <c r="G86" s="17" t="n">
        <f aca="false">IF(F86="",E86,F86)</f>
        <v>44.95</v>
      </c>
      <c r="H86" s="18" t="n">
        <f aca="false">G86-D86</f>
        <v>0</v>
      </c>
      <c r="I86" s="19" t="n">
        <f aca="false">IFERROR((G86-D86)/D86,0)</f>
        <v>0</v>
      </c>
      <c r="J86" s="14" t="str">
        <f aca="false">IF(G86&gt;D86,"Omhoog",IF(G86&lt;D86,"Omlaag","Gelijk"))</f>
        <v>Gelijk</v>
      </c>
      <c r="K86" s="20" t="str">
        <f aca="false">IF(ABS(I86)&gt;=0.2,"controleren","")</f>
        <v/>
      </c>
      <c r="L86" s="21" t="n">
        <f aca="false">G86*Tiers!$B$19</f>
        <v>27.909455</v>
      </c>
      <c r="M86" s="15" t="n">
        <v>74.92</v>
      </c>
      <c r="N86" s="19" t="n">
        <f aca="false">IFERROR(1-D86/M86,0)</f>
        <v>0.400026695141484</v>
      </c>
      <c r="O86" s="19" t="n">
        <f aca="false">IF(Tiers!$B$18="ja",Tiers!$B$20,N86)</f>
        <v>0.400026695141484</v>
      </c>
      <c r="P86" s="15" t="n">
        <f aca="false">ROUNDUP(G86/(1-O86),0)-0.05</f>
        <v>74.95</v>
      </c>
      <c r="Q86" s="19" t="n">
        <f aca="false">IFERROR(1-G86/P86,0)</f>
        <v>0.400266844563042</v>
      </c>
      <c r="R86" s="14" t="n">
        <v>14</v>
      </c>
    </row>
    <row r="87" customFormat="false" ht="15" hidden="false" customHeight="false" outlineLevel="0" collapsed="false">
      <c r="A87" s="14" t="s">
        <v>223</v>
      </c>
      <c r="B87" s="14" t="s">
        <v>224</v>
      </c>
      <c r="C87" s="14" t="s">
        <v>10</v>
      </c>
      <c r="D87" s="15" t="n">
        <v>44.95</v>
      </c>
      <c r="E87" s="15" t="n">
        <f aca="false">IFERROR(INDEX(Tiers!$B$4:$B$15,MATCH(C87,Tiers!$A$4:$A$15,0)),D87)</f>
        <v>44.95</v>
      </c>
      <c r="F87" s="16"/>
      <c r="G87" s="17" t="n">
        <f aca="false">IF(F87="",E87,F87)</f>
        <v>44.95</v>
      </c>
      <c r="H87" s="18" t="n">
        <f aca="false">G87-D87</f>
        <v>0</v>
      </c>
      <c r="I87" s="19" t="n">
        <f aca="false">IFERROR((G87-D87)/D87,0)</f>
        <v>0</v>
      </c>
      <c r="J87" s="14" t="str">
        <f aca="false">IF(G87&gt;D87,"Omhoog",IF(G87&lt;D87,"Omlaag","Gelijk"))</f>
        <v>Gelijk</v>
      </c>
      <c r="K87" s="20" t="str">
        <f aca="false">IF(ABS(I87)&gt;=0.2,"controleren","")</f>
        <v/>
      </c>
      <c r="L87" s="21" t="n">
        <f aca="false">G87*Tiers!$B$19</f>
        <v>27.909455</v>
      </c>
      <c r="M87" s="15" t="n">
        <v>74.92</v>
      </c>
      <c r="N87" s="19" t="n">
        <f aca="false">IFERROR(1-D87/M87,0)</f>
        <v>0.400026695141484</v>
      </c>
      <c r="O87" s="19" t="n">
        <f aca="false">IF(Tiers!$B$18="ja",Tiers!$B$20,N87)</f>
        <v>0.400026695141484</v>
      </c>
      <c r="P87" s="15" t="n">
        <f aca="false">ROUNDUP(G87/(1-O87),0)-0.05</f>
        <v>74.95</v>
      </c>
      <c r="Q87" s="19" t="n">
        <f aca="false">IFERROR(1-G87/P87,0)</f>
        <v>0.400266844563042</v>
      </c>
      <c r="R87" s="14" t="n">
        <v>5</v>
      </c>
    </row>
    <row r="88" customFormat="false" ht="15" hidden="false" customHeight="false" outlineLevel="0" collapsed="false">
      <c r="A88" s="14" t="s">
        <v>225</v>
      </c>
      <c r="B88" s="14" t="s">
        <v>226</v>
      </c>
      <c r="C88" s="14" t="s">
        <v>10</v>
      </c>
      <c r="D88" s="15" t="n">
        <v>44.95</v>
      </c>
      <c r="E88" s="15" t="n">
        <f aca="false">IFERROR(INDEX(Tiers!$B$4:$B$15,MATCH(C88,Tiers!$A$4:$A$15,0)),D88)</f>
        <v>44.95</v>
      </c>
      <c r="F88" s="16"/>
      <c r="G88" s="17" t="n">
        <f aca="false">IF(F88="",E88,F88)</f>
        <v>44.95</v>
      </c>
      <c r="H88" s="18" t="n">
        <f aca="false">G88-D88</f>
        <v>0</v>
      </c>
      <c r="I88" s="19" t="n">
        <f aca="false">IFERROR((G88-D88)/D88,0)</f>
        <v>0</v>
      </c>
      <c r="J88" s="14" t="str">
        <f aca="false">IF(G88&gt;D88,"Omhoog",IF(G88&lt;D88,"Omlaag","Gelijk"))</f>
        <v>Gelijk</v>
      </c>
      <c r="K88" s="20" t="str">
        <f aca="false">IF(ABS(I88)&gt;=0.2,"controleren","")</f>
        <v/>
      </c>
      <c r="L88" s="21" t="n">
        <f aca="false">G88*Tiers!$B$19</f>
        <v>27.909455</v>
      </c>
      <c r="M88" s="15" t="n">
        <v>81.73</v>
      </c>
      <c r="N88" s="19" t="n">
        <f aca="false">IFERROR(1-D88/M88,0)</f>
        <v>0.450018353113912</v>
      </c>
      <c r="O88" s="19" t="n">
        <f aca="false">IF(Tiers!$B$18="ja",Tiers!$B$20,N88)</f>
        <v>0.450018353113912</v>
      </c>
      <c r="P88" s="15" t="n">
        <f aca="false">ROUNDUP(G88/(1-O88),0)-0.05</f>
        <v>81.95</v>
      </c>
      <c r="Q88" s="19" t="n">
        <f aca="false">IFERROR(1-G88/P88,0)</f>
        <v>0.451494813910921</v>
      </c>
      <c r="R88" s="14" t="n">
        <v>18</v>
      </c>
    </row>
    <row r="89" customFormat="false" ht="15" hidden="false" customHeight="false" outlineLevel="0" collapsed="false">
      <c r="A89" s="14" t="s">
        <v>227</v>
      </c>
      <c r="B89" s="14" t="s">
        <v>228</v>
      </c>
      <c r="C89" s="14" t="s">
        <v>10</v>
      </c>
      <c r="D89" s="15" t="n">
        <v>44.95</v>
      </c>
      <c r="E89" s="15" t="n">
        <f aca="false">IFERROR(INDEX(Tiers!$B$4:$B$15,MATCH(C89,Tiers!$A$4:$A$15,0)),D89)</f>
        <v>44.95</v>
      </c>
      <c r="F89" s="16"/>
      <c r="G89" s="17" t="n">
        <f aca="false">IF(F89="",E89,F89)</f>
        <v>44.95</v>
      </c>
      <c r="H89" s="18" t="n">
        <f aca="false">G89-D89</f>
        <v>0</v>
      </c>
      <c r="I89" s="19" t="n">
        <f aca="false">IFERROR((G89-D89)/D89,0)</f>
        <v>0</v>
      </c>
      <c r="J89" s="14" t="str">
        <f aca="false">IF(G89&gt;D89,"Omhoog",IF(G89&lt;D89,"Omlaag","Gelijk"))</f>
        <v>Gelijk</v>
      </c>
      <c r="K89" s="20" t="str">
        <f aca="false">IF(ABS(I89)&gt;=0.2,"controleren","")</f>
        <v/>
      </c>
      <c r="L89" s="21" t="n">
        <f aca="false">G89*Tiers!$B$19</f>
        <v>27.909455</v>
      </c>
      <c r="M89" s="15" t="n">
        <v>74.92</v>
      </c>
      <c r="N89" s="19" t="n">
        <f aca="false">IFERROR(1-D89/M89,0)</f>
        <v>0.400026695141484</v>
      </c>
      <c r="O89" s="19" t="n">
        <f aca="false">IF(Tiers!$B$18="ja",Tiers!$B$20,N89)</f>
        <v>0.400026695141484</v>
      </c>
      <c r="P89" s="15" t="n">
        <f aca="false">ROUNDUP(G89/(1-O89),0)-0.05</f>
        <v>74.95</v>
      </c>
      <c r="Q89" s="19" t="n">
        <f aca="false">IFERROR(1-G89/P89,0)</f>
        <v>0.400266844563042</v>
      </c>
      <c r="R89" s="14" t="n">
        <v>6</v>
      </c>
    </row>
    <row r="90" customFormat="false" ht="15" hidden="false" customHeight="false" outlineLevel="0" collapsed="false">
      <c r="A90" s="14" t="s">
        <v>229</v>
      </c>
      <c r="B90" s="14" t="s">
        <v>230</v>
      </c>
      <c r="C90" s="14" t="s">
        <v>10</v>
      </c>
      <c r="D90" s="15" t="n">
        <v>44.95</v>
      </c>
      <c r="E90" s="15" t="n">
        <f aca="false">IFERROR(INDEX(Tiers!$B$4:$B$15,MATCH(C90,Tiers!$A$4:$A$15,0)),D90)</f>
        <v>44.95</v>
      </c>
      <c r="F90" s="16"/>
      <c r="G90" s="17" t="n">
        <f aca="false">IF(F90="",E90,F90)</f>
        <v>44.95</v>
      </c>
      <c r="H90" s="18" t="n">
        <f aca="false">G90-D90</f>
        <v>0</v>
      </c>
      <c r="I90" s="19" t="n">
        <f aca="false">IFERROR((G90-D90)/D90,0)</f>
        <v>0</v>
      </c>
      <c r="J90" s="14" t="str">
        <f aca="false">IF(G90&gt;D90,"Omhoog",IF(G90&lt;D90,"Omlaag","Gelijk"))</f>
        <v>Gelijk</v>
      </c>
      <c r="K90" s="20" t="str">
        <f aca="false">IF(ABS(I90)&gt;=0.2,"controleren","")</f>
        <v/>
      </c>
      <c r="L90" s="21" t="n">
        <f aca="false">G90*Tiers!$B$19</f>
        <v>27.909455</v>
      </c>
      <c r="M90" s="15" t="n">
        <v>74.92</v>
      </c>
      <c r="N90" s="19" t="n">
        <f aca="false">IFERROR(1-D90/M90,0)</f>
        <v>0.400026695141484</v>
      </c>
      <c r="O90" s="19" t="n">
        <f aca="false">IF(Tiers!$B$18="ja",Tiers!$B$20,N90)</f>
        <v>0.400026695141484</v>
      </c>
      <c r="P90" s="15" t="n">
        <f aca="false">ROUNDUP(G90/(1-O90),0)-0.05</f>
        <v>74.95</v>
      </c>
      <c r="Q90" s="19" t="n">
        <f aca="false">IFERROR(1-G90/P90,0)</f>
        <v>0.400266844563042</v>
      </c>
      <c r="R90" s="14" t="n">
        <v>18</v>
      </c>
    </row>
    <row r="91" customFormat="false" ht="15" hidden="false" customHeight="false" outlineLevel="0" collapsed="false">
      <c r="A91" s="14" t="s">
        <v>231</v>
      </c>
      <c r="B91" s="14" t="s">
        <v>232</v>
      </c>
      <c r="C91" s="14" t="s">
        <v>10</v>
      </c>
      <c r="D91" s="15" t="n">
        <v>44.95</v>
      </c>
      <c r="E91" s="15" t="n">
        <f aca="false">IFERROR(INDEX(Tiers!$B$4:$B$15,MATCH(C91,Tiers!$A$4:$A$15,0)),D91)</f>
        <v>44.95</v>
      </c>
      <c r="F91" s="16"/>
      <c r="G91" s="17" t="n">
        <f aca="false">IF(F91="",E91,F91)</f>
        <v>44.95</v>
      </c>
      <c r="H91" s="18" t="n">
        <f aca="false">G91-D91</f>
        <v>0</v>
      </c>
      <c r="I91" s="19" t="n">
        <f aca="false">IFERROR((G91-D91)/D91,0)</f>
        <v>0</v>
      </c>
      <c r="J91" s="14" t="str">
        <f aca="false">IF(G91&gt;D91,"Omhoog",IF(G91&lt;D91,"Omlaag","Gelijk"))</f>
        <v>Gelijk</v>
      </c>
      <c r="K91" s="20" t="str">
        <f aca="false">IF(ABS(I91)&gt;=0.2,"controleren","")</f>
        <v/>
      </c>
      <c r="L91" s="21" t="n">
        <f aca="false">G91*Tiers!$B$19</f>
        <v>27.909455</v>
      </c>
      <c r="M91" s="15" t="n">
        <v>81.73</v>
      </c>
      <c r="N91" s="19" t="n">
        <f aca="false">IFERROR(1-D91/M91,0)</f>
        <v>0.450018353113912</v>
      </c>
      <c r="O91" s="19" t="n">
        <f aca="false">IF(Tiers!$B$18="ja",Tiers!$B$20,N91)</f>
        <v>0.450018353113912</v>
      </c>
      <c r="P91" s="15" t="n">
        <f aca="false">ROUNDUP(G91/(1-O91),0)-0.05</f>
        <v>81.95</v>
      </c>
      <c r="Q91" s="19" t="n">
        <f aca="false">IFERROR(1-G91/P91,0)</f>
        <v>0.451494813910921</v>
      </c>
      <c r="R91" s="14" t="n">
        <v>28</v>
      </c>
    </row>
    <row r="92" customFormat="false" ht="15" hidden="false" customHeight="false" outlineLevel="0" collapsed="false">
      <c r="A92" s="14" t="s">
        <v>233</v>
      </c>
      <c r="B92" s="14" t="s">
        <v>234</v>
      </c>
      <c r="C92" s="14" t="s">
        <v>10</v>
      </c>
      <c r="D92" s="15" t="n">
        <v>44.95</v>
      </c>
      <c r="E92" s="15" t="n">
        <f aca="false">IFERROR(INDEX(Tiers!$B$4:$B$15,MATCH(C92,Tiers!$A$4:$A$15,0)),D92)</f>
        <v>44.95</v>
      </c>
      <c r="F92" s="16"/>
      <c r="G92" s="17" t="n">
        <f aca="false">IF(F92="",E92,F92)</f>
        <v>44.95</v>
      </c>
      <c r="H92" s="18" t="n">
        <f aca="false">G92-D92</f>
        <v>0</v>
      </c>
      <c r="I92" s="19" t="n">
        <f aca="false">IFERROR((G92-D92)/D92,0)</f>
        <v>0</v>
      </c>
      <c r="J92" s="14" t="str">
        <f aca="false">IF(G92&gt;D92,"Omhoog",IF(G92&lt;D92,"Omlaag","Gelijk"))</f>
        <v>Gelijk</v>
      </c>
      <c r="K92" s="20" t="str">
        <f aca="false">IF(ABS(I92)&gt;=0.2,"controleren","")</f>
        <v/>
      </c>
      <c r="L92" s="21" t="n">
        <f aca="false">G92*Tiers!$B$19</f>
        <v>27.909455</v>
      </c>
      <c r="M92" s="15" t="n">
        <v>81.73</v>
      </c>
      <c r="N92" s="19" t="n">
        <f aca="false">IFERROR(1-D92/M92,0)</f>
        <v>0.450018353113912</v>
      </c>
      <c r="O92" s="19" t="n">
        <f aca="false">IF(Tiers!$B$18="ja",Tiers!$B$20,N92)</f>
        <v>0.450018353113912</v>
      </c>
      <c r="P92" s="15" t="n">
        <f aca="false">ROUNDUP(G92/(1-O92),0)-0.05</f>
        <v>81.95</v>
      </c>
      <c r="Q92" s="19" t="n">
        <f aca="false">IFERROR(1-G92/P92,0)</f>
        <v>0.451494813910921</v>
      </c>
      <c r="R92" s="14" t="n">
        <v>15</v>
      </c>
    </row>
    <row r="93" customFormat="false" ht="15" hidden="false" customHeight="false" outlineLevel="0" collapsed="false">
      <c r="A93" s="14" t="s">
        <v>235</v>
      </c>
      <c r="B93" s="14" t="s">
        <v>236</v>
      </c>
      <c r="C93" s="14" t="s">
        <v>10</v>
      </c>
      <c r="D93" s="15" t="n">
        <v>44.95</v>
      </c>
      <c r="E93" s="15" t="n">
        <f aca="false">IFERROR(INDEX(Tiers!$B$4:$B$15,MATCH(C93,Tiers!$A$4:$A$15,0)),D93)</f>
        <v>44.95</v>
      </c>
      <c r="F93" s="16"/>
      <c r="G93" s="17" t="n">
        <f aca="false">IF(F93="",E93,F93)</f>
        <v>44.95</v>
      </c>
      <c r="H93" s="18" t="n">
        <f aca="false">G93-D93</f>
        <v>0</v>
      </c>
      <c r="I93" s="19" t="n">
        <f aca="false">IFERROR((G93-D93)/D93,0)</f>
        <v>0</v>
      </c>
      <c r="J93" s="14" t="str">
        <f aca="false">IF(G93&gt;D93,"Omhoog",IF(G93&lt;D93,"Omlaag","Gelijk"))</f>
        <v>Gelijk</v>
      </c>
      <c r="K93" s="20" t="str">
        <f aca="false">IF(ABS(I93)&gt;=0.2,"controleren","")</f>
        <v/>
      </c>
      <c r="L93" s="21" t="n">
        <f aca="false">G93*Tiers!$B$19</f>
        <v>27.909455</v>
      </c>
      <c r="M93" s="15" t="n">
        <v>74.92</v>
      </c>
      <c r="N93" s="19" t="n">
        <f aca="false">IFERROR(1-D93/M93,0)</f>
        <v>0.400026695141484</v>
      </c>
      <c r="O93" s="19" t="n">
        <f aca="false">IF(Tiers!$B$18="ja",Tiers!$B$20,N93)</f>
        <v>0.400026695141484</v>
      </c>
      <c r="P93" s="15" t="n">
        <f aca="false">ROUNDUP(G93/(1-O93),0)-0.05</f>
        <v>74.95</v>
      </c>
      <c r="Q93" s="19" t="n">
        <f aca="false">IFERROR(1-G93/P93,0)</f>
        <v>0.400266844563042</v>
      </c>
      <c r="R93" s="14" t="n">
        <v>20</v>
      </c>
    </row>
    <row r="94" customFormat="false" ht="15" hidden="false" customHeight="false" outlineLevel="0" collapsed="false">
      <c r="A94" s="14" t="s">
        <v>237</v>
      </c>
      <c r="B94" s="14" t="s">
        <v>238</v>
      </c>
      <c r="C94" s="14" t="s">
        <v>10</v>
      </c>
      <c r="D94" s="15" t="n">
        <v>69.95</v>
      </c>
      <c r="E94" s="15" t="n">
        <f aca="false">IFERROR(INDEX(Tiers!$B$4:$B$15,MATCH(C94,Tiers!$A$4:$A$15,0)),D94)</f>
        <v>44.95</v>
      </c>
      <c r="F94" s="16"/>
      <c r="G94" s="17" t="n">
        <f aca="false">IF(F94="",E94,F94)</f>
        <v>44.95</v>
      </c>
      <c r="H94" s="18" t="n">
        <f aca="false">G94-D94</f>
        <v>-25</v>
      </c>
      <c r="I94" s="19" t="n">
        <f aca="false">IFERROR((G94-D94)/D94,0)</f>
        <v>-0.357398141529664</v>
      </c>
      <c r="J94" s="14" t="str">
        <f aca="false">IF(G94&gt;D94,"Omhoog",IF(G94&lt;D94,"Omlaag","Gelijk"))</f>
        <v>Omlaag</v>
      </c>
      <c r="K94" s="20" t="str">
        <f aca="false">IF(ABS(I94)&gt;=0.2,"controleren","")</f>
        <v>controleren</v>
      </c>
      <c r="L94" s="21" t="n">
        <f aca="false">G94*Tiers!$B$19</f>
        <v>27.909455</v>
      </c>
      <c r="M94" s="15" t="n">
        <v>116.58</v>
      </c>
      <c r="N94" s="19" t="n">
        <f aca="false">IFERROR(1-D94/M94,0)</f>
        <v>0.399982844398696</v>
      </c>
      <c r="O94" s="19" t="n">
        <f aca="false">IF(Tiers!$B$18="ja",Tiers!$B$20,N94)</f>
        <v>0.399982844398696</v>
      </c>
      <c r="P94" s="15" t="n">
        <f aca="false">ROUNDUP(G94/(1-O94),0)-0.05</f>
        <v>74.95</v>
      </c>
      <c r="Q94" s="19" t="n">
        <f aca="false">IFERROR(1-G94/P94,0)</f>
        <v>0.400266844563042</v>
      </c>
      <c r="R94" s="14" t="n">
        <v>48</v>
      </c>
    </row>
    <row r="95" customFormat="false" ht="15" hidden="false" customHeight="false" outlineLevel="0" collapsed="false">
      <c r="A95" s="14" t="s">
        <v>239</v>
      </c>
      <c r="B95" s="14" t="s">
        <v>240</v>
      </c>
      <c r="C95" s="14" t="s">
        <v>10</v>
      </c>
      <c r="D95" s="15" t="n">
        <v>49.95</v>
      </c>
      <c r="E95" s="15" t="n">
        <f aca="false">IFERROR(INDEX(Tiers!$B$4:$B$15,MATCH(C95,Tiers!$A$4:$A$15,0)),D95)</f>
        <v>44.95</v>
      </c>
      <c r="F95" s="16"/>
      <c r="G95" s="17" t="n">
        <f aca="false">IF(F95="",E95,F95)</f>
        <v>44.95</v>
      </c>
      <c r="H95" s="18" t="n">
        <f aca="false">G95-D95</f>
        <v>-5</v>
      </c>
      <c r="I95" s="19" t="n">
        <f aca="false">IFERROR((G95-D95)/D95,0)</f>
        <v>-0.1001001001001</v>
      </c>
      <c r="J95" s="14" t="str">
        <f aca="false">IF(G95&gt;D95,"Omhoog",IF(G95&lt;D95,"Omlaag","Gelijk"))</f>
        <v>Omlaag</v>
      </c>
      <c r="K95" s="20" t="str">
        <f aca="false">IF(ABS(I95)&gt;=0.2,"controleren","")</f>
        <v/>
      </c>
      <c r="L95" s="21" t="n">
        <f aca="false">G95*Tiers!$B$19</f>
        <v>27.909455</v>
      </c>
      <c r="M95" s="15" t="n">
        <v>90.82</v>
      </c>
      <c r="N95" s="19" t="n">
        <f aca="false">IFERROR(1-D95/M95,0)</f>
        <v>0.450011010790575</v>
      </c>
      <c r="O95" s="19" t="n">
        <f aca="false">IF(Tiers!$B$18="ja",Tiers!$B$20,N95)</f>
        <v>0.450011010790575</v>
      </c>
      <c r="P95" s="15" t="n">
        <f aca="false">ROUNDUP(G95/(1-O95),0)-0.05</f>
        <v>81.95</v>
      </c>
      <c r="Q95" s="19" t="n">
        <f aca="false">IFERROR(1-G95/P95,0)</f>
        <v>0.451494813910921</v>
      </c>
      <c r="R95" s="14" t="n">
        <v>30</v>
      </c>
    </row>
    <row r="96" customFormat="false" ht="15" hidden="false" customHeight="false" outlineLevel="0" collapsed="false">
      <c r="A96" s="14" t="s">
        <v>241</v>
      </c>
      <c r="B96" s="14" t="s">
        <v>242</v>
      </c>
      <c r="C96" s="14" t="s">
        <v>10</v>
      </c>
      <c r="D96" s="15" t="n">
        <v>44.95</v>
      </c>
      <c r="E96" s="15" t="n">
        <f aca="false">IFERROR(INDEX(Tiers!$B$4:$B$15,MATCH(C96,Tiers!$A$4:$A$15,0)),D96)</f>
        <v>44.95</v>
      </c>
      <c r="F96" s="16"/>
      <c r="G96" s="17" t="n">
        <f aca="false">IF(F96="",E96,F96)</f>
        <v>44.95</v>
      </c>
      <c r="H96" s="18" t="n">
        <f aca="false">G96-D96</f>
        <v>0</v>
      </c>
      <c r="I96" s="19" t="n">
        <f aca="false">IFERROR((G96-D96)/D96,0)</f>
        <v>0</v>
      </c>
      <c r="J96" s="14" t="str">
        <f aca="false">IF(G96&gt;D96,"Omhoog",IF(G96&lt;D96,"Omlaag","Gelijk"))</f>
        <v>Gelijk</v>
      </c>
      <c r="K96" s="20" t="str">
        <f aca="false">IF(ABS(I96)&gt;=0.2,"controleren","")</f>
        <v/>
      </c>
      <c r="L96" s="21" t="n">
        <f aca="false">G96*Tiers!$B$19</f>
        <v>27.909455</v>
      </c>
      <c r="M96" s="15" t="n">
        <v>89.9</v>
      </c>
      <c r="N96" s="19" t="n">
        <f aca="false">IFERROR(1-D96/M96,0)</f>
        <v>0.5</v>
      </c>
      <c r="O96" s="19" t="n">
        <f aca="false">IF(Tiers!$B$18="ja",Tiers!$B$20,N96)</f>
        <v>0.5</v>
      </c>
      <c r="P96" s="15" t="n">
        <f aca="false">ROUNDUP(G96/(1-O96),0)-0.05</f>
        <v>89.95</v>
      </c>
      <c r="Q96" s="19" t="n">
        <f aca="false">IFERROR(1-G96/P96,0)</f>
        <v>0.500277932184547</v>
      </c>
      <c r="R96" s="14" t="n">
        <v>30</v>
      </c>
    </row>
    <row r="97" customFormat="false" ht="15" hidden="false" customHeight="false" outlineLevel="0" collapsed="false">
      <c r="A97" s="14" t="s">
        <v>243</v>
      </c>
      <c r="B97" s="14" t="s">
        <v>244</v>
      </c>
      <c r="C97" s="14" t="s">
        <v>10</v>
      </c>
      <c r="D97" s="15" t="n">
        <v>44.95</v>
      </c>
      <c r="E97" s="15" t="n">
        <f aca="false">IFERROR(INDEX(Tiers!$B$4:$B$15,MATCH(C97,Tiers!$A$4:$A$15,0)),D97)</f>
        <v>44.95</v>
      </c>
      <c r="F97" s="16"/>
      <c r="G97" s="17" t="n">
        <f aca="false">IF(F97="",E97,F97)</f>
        <v>44.95</v>
      </c>
      <c r="H97" s="18" t="n">
        <f aca="false">G97-D97</f>
        <v>0</v>
      </c>
      <c r="I97" s="19" t="n">
        <f aca="false">IFERROR((G97-D97)/D97,0)</f>
        <v>0</v>
      </c>
      <c r="J97" s="14" t="str">
        <f aca="false">IF(G97&gt;D97,"Omhoog",IF(G97&lt;D97,"Omlaag","Gelijk"))</f>
        <v>Gelijk</v>
      </c>
      <c r="K97" s="20" t="str">
        <f aca="false">IF(ABS(I97)&gt;=0.2,"controleren","")</f>
        <v/>
      </c>
      <c r="L97" s="21" t="n">
        <f aca="false">G97*Tiers!$B$19</f>
        <v>27.909455</v>
      </c>
      <c r="M97" s="15" t="n">
        <v>81.73</v>
      </c>
      <c r="N97" s="19" t="n">
        <f aca="false">IFERROR(1-D97/M97,0)</f>
        <v>0.450018353113912</v>
      </c>
      <c r="O97" s="19" t="n">
        <f aca="false">IF(Tiers!$B$18="ja",Tiers!$B$20,N97)</f>
        <v>0.450018353113912</v>
      </c>
      <c r="P97" s="15" t="n">
        <f aca="false">ROUNDUP(G97/(1-O97),0)-0.05</f>
        <v>81.95</v>
      </c>
      <c r="Q97" s="19" t="n">
        <f aca="false">IFERROR(1-G97/P97,0)</f>
        <v>0.451494813910921</v>
      </c>
      <c r="R97" s="14" t="n">
        <v>78</v>
      </c>
    </row>
    <row r="98" customFormat="false" ht="15" hidden="false" customHeight="false" outlineLevel="0" collapsed="false">
      <c r="A98" s="14" t="s">
        <v>245</v>
      </c>
      <c r="B98" s="14" t="s">
        <v>246</v>
      </c>
      <c r="C98" s="14" t="s">
        <v>10</v>
      </c>
      <c r="D98" s="15" t="n">
        <v>44.95</v>
      </c>
      <c r="E98" s="15" t="n">
        <f aca="false">IFERROR(INDEX(Tiers!$B$4:$B$15,MATCH(C98,Tiers!$A$4:$A$15,0)),D98)</f>
        <v>44.95</v>
      </c>
      <c r="F98" s="16"/>
      <c r="G98" s="17" t="n">
        <f aca="false">IF(F98="",E98,F98)</f>
        <v>44.95</v>
      </c>
      <c r="H98" s="18" t="n">
        <f aca="false">G98-D98</f>
        <v>0</v>
      </c>
      <c r="I98" s="19" t="n">
        <f aca="false">IFERROR((G98-D98)/D98,0)</f>
        <v>0</v>
      </c>
      <c r="J98" s="14" t="str">
        <f aca="false">IF(G98&gt;D98,"Omhoog",IF(G98&lt;D98,"Omlaag","Gelijk"))</f>
        <v>Gelijk</v>
      </c>
      <c r="K98" s="20" t="str">
        <f aca="false">IF(ABS(I98)&gt;=0.2,"controleren","")</f>
        <v/>
      </c>
      <c r="L98" s="21" t="n">
        <f aca="false">G98*Tiers!$B$19</f>
        <v>27.909455</v>
      </c>
      <c r="M98" s="15" t="n">
        <v>74.92</v>
      </c>
      <c r="N98" s="19" t="n">
        <f aca="false">IFERROR(1-D98/M98,0)</f>
        <v>0.400026695141484</v>
      </c>
      <c r="O98" s="19" t="n">
        <f aca="false">IF(Tiers!$B$18="ja",Tiers!$B$20,N98)</f>
        <v>0.400026695141484</v>
      </c>
      <c r="P98" s="15" t="n">
        <f aca="false">ROUNDUP(G98/(1-O98),0)-0.05</f>
        <v>74.95</v>
      </c>
      <c r="Q98" s="19" t="n">
        <f aca="false">IFERROR(1-G98/P98,0)</f>
        <v>0.400266844563042</v>
      </c>
      <c r="R98" s="14" t="n">
        <v>24</v>
      </c>
    </row>
    <row r="99" customFormat="false" ht="15" hidden="false" customHeight="false" outlineLevel="0" collapsed="false">
      <c r="A99" s="14" t="s">
        <v>247</v>
      </c>
      <c r="B99" s="14" t="s">
        <v>248</v>
      </c>
      <c r="C99" s="14" t="s">
        <v>10</v>
      </c>
      <c r="D99" s="15" t="n">
        <v>44.95</v>
      </c>
      <c r="E99" s="15" t="n">
        <f aca="false">IFERROR(INDEX(Tiers!$B$4:$B$15,MATCH(C99,Tiers!$A$4:$A$15,0)),D99)</f>
        <v>44.95</v>
      </c>
      <c r="F99" s="16"/>
      <c r="G99" s="17" t="n">
        <f aca="false">IF(F99="",E99,F99)</f>
        <v>44.95</v>
      </c>
      <c r="H99" s="18" t="n">
        <f aca="false">G99-D99</f>
        <v>0</v>
      </c>
      <c r="I99" s="19" t="n">
        <f aca="false">IFERROR((G99-D99)/D99,0)</f>
        <v>0</v>
      </c>
      <c r="J99" s="14" t="str">
        <f aca="false">IF(G99&gt;D99,"Omhoog",IF(G99&lt;D99,"Omlaag","Gelijk"))</f>
        <v>Gelijk</v>
      </c>
      <c r="K99" s="20" t="str">
        <f aca="false">IF(ABS(I99)&gt;=0.2,"controleren","")</f>
        <v/>
      </c>
      <c r="L99" s="21" t="n">
        <f aca="false">G99*Tiers!$B$19</f>
        <v>27.909455</v>
      </c>
      <c r="M99" s="15" t="n">
        <v>89.9</v>
      </c>
      <c r="N99" s="19" t="n">
        <f aca="false">IFERROR(1-D99/M99,0)</f>
        <v>0.5</v>
      </c>
      <c r="O99" s="19" t="n">
        <f aca="false">IF(Tiers!$B$18="ja",Tiers!$B$20,N99)</f>
        <v>0.5</v>
      </c>
      <c r="P99" s="15" t="n">
        <f aca="false">ROUNDUP(G99/(1-O99),0)-0.05</f>
        <v>89.95</v>
      </c>
      <c r="Q99" s="19" t="n">
        <f aca="false">IFERROR(1-G99/P99,0)</f>
        <v>0.500277932184547</v>
      </c>
      <c r="R99" s="14" t="n">
        <v>30</v>
      </c>
    </row>
    <row r="100" customFormat="false" ht="15" hidden="false" customHeight="false" outlineLevel="0" collapsed="false">
      <c r="A100" s="14" t="s">
        <v>249</v>
      </c>
      <c r="B100" s="14" t="s">
        <v>250</v>
      </c>
      <c r="C100" s="14" t="s">
        <v>10</v>
      </c>
      <c r="D100" s="15" t="n">
        <v>44.95</v>
      </c>
      <c r="E100" s="15" t="n">
        <f aca="false">IFERROR(INDEX(Tiers!$B$4:$B$15,MATCH(C100,Tiers!$A$4:$A$15,0)),D100)</f>
        <v>44.95</v>
      </c>
      <c r="F100" s="16"/>
      <c r="G100" s="17" t="n">
        <f aca="false">IF(F100="",E100,F100)</f>
        <v>44.95</v>
      </c>
      <c r="H100" s="18" t="n">
        <f aca="false">G100-D100</f>
        <v>0</v>
      </c>
      <c r="I100" s="19" t="n">
        <f aca="false">IFERROR((G100-D100)/D100,0)</f>
        <v>0</v>
      </c>
      <c r="J100" s="14" t="str">
        <f aca="false">IF(G100&gt;D100,"Omhoog",IF(G100&lt;D100,"Omlaag","Gelijk"))</f>
        <v>Gelijk</v>
      </c>
      <c r="K100" s="20" t="str">
        <f aca="false">IF(ABS(I100)&gt;=0.2,"controleren","")</f>
        <v/>
      </c>
      <c r="L100" s="21" t="n">
        <f aca="false">G100*Tiers!$B$19</f>
        <v>27.909455</v>
      </c>
      <c r="M100" s="15" t="n">
        <v>81.73</v>
      </c>
      <c r="N100" s="19" t="n">
        <f aca="false">IFERROR(1-D100/M100,0)</f>
        <v>0.450018353113912</v>
      </c>
      <c r="O100" s="19" t="n">
        <f aca="false">IF(Tiers!$B$18="ja",Tiers!$B$20,N100)</f>
        <v>0.450018353113912</v>
      </c>
      <c r="P100" s="15" t="n">
        <f aca="false">ROUNDUP(G100/(1-O100),0)-0.05</f>
        <v>81.95</v>
      </c>
      <c r="Q100" s="19" t="n">
        <f aca="false">IFERROR(1-G100/P100,0)</f>
        <v>0.451494813910921</v>
      </c>
      <c r="R100" s="14" t="n">
        <v>30</v>
      </c>
    </row>
    <row r="101" customFormat="false" ht="15" hidden="false" customHeight="false" outlineLevel="0" collapsed="false">
      <c r="A101" s="14" t="s">
        <v>251</v>
      </c>
      <c r="B101" s="14" t="s">
        <v>252</v>
      </c>
      <c r="C101" s="14" t="s">
        <v>10</v>
      </c>
      <c r="D101" s="15" t="n">
        <v>44.95</v>
      </c>
      <c r="E101" s="15" t="n">
        <f aca="false">IFERROR(INDEX(Tiers!$B$4:$B$15,MATCH(C101,Tiers!$A$4:$A$15,0)),D101)</f>
        <v>44.95</v>
      </c>
      <c r="F101" s="16"/>
      <c r="G101" s="17" t="n">
        <f aca="false">IF(F101="",E101,F101)</f>
        <v>44.95</v>
      </c>
      <c r="H101" s="18" t="n">
        <f aca="false">G101-D101</f>
        <v>0</v>
      </c>
      <c r="I101" s="19" t="n">
        <f aca="false">IFERROR((G101-D101)/D101,0)</f>
        <v>0</v>
      </c>
      <c r="J101" s="14" t="str">
        <f aca="false">IF(G101&gt;D101,"Omhoog",IF(G101&lt;D101,"Omlaag","Gelijk"))</f>
        <v>Gelijk</v>
      </c>
      <c r="K101" s="20" t="str">
        <f aca="false">IF(ABS(I101)&gt;=0.2,"controleren","")</f>
        <v/>
      </c>
      <c r="L101" s="21" t="n">
        <f aca="false">G101*Tiers!$B$19</f>
        <v>27.909455</v>
      </c>
      <c r="M101" s="15" t="n">
        <v>81.73</v>
      </c>
      <c r="N101" s="19" t="n">
        <f aca="false">IFERROR(1-D101/M101,0)</f>
        <v>0.450018353113912</v>
      </c>
      <c r="O101" s="19" t="n">
        <f aca="false">IF(Tiers!$B$18="ja",Tiers!$B$20,N101)</f>
        <v>0.450018353113912</v>
      </c>
      <c r="P101" s="15" t="n">
        <f aca="false">ROUNDUP(G101/(1-O101),0)-0.05</f>
        <v>81.95</v>
      </c>
      <c r="Q101" s="19" t="n">
        <f aca="false">IFERROR(1-G101/P101,0)</f>
        <v>0.451494813910921</v>
      </c>
      <c r="R101" s="14" t="n">
        <v>25</v>
      </c>
    </row>
    <row r="102" customFormat="false" ht="15" hidden="false" customHeight="false" outlineLevel="0" collapsed="false">
      <c r="A102" s="14" t="s">
        <v>253</v>
      </c>
      <c r="B102" s="14" t="s">
        <v>254</v>
      </c>
      <c r="C102" s="14" t="s">
        <v>10</v>
      </c>
      <c r="D102" s="15" t="n">
        <v>44.95</v>
      </c>
      <c r="E102" s="15" t="n">
        <f aca="false">IFERROR(INDEX(Tiers!$B$4:$B$15,MATCH(C102,Tiers!$A$4:$A$15,0)),D102)</f>
        <v>44.95</v>
      </c>
      <c r="F102" s="16"/>
      <c r="G102" s="17" t="n">
        <f aca="false">IF(F102="",E102,F102)</f>
        <v>44.95</v>
      </c>
      <c r="H102" s="18" t="n">
        <f aca="false">G102-D102</f>
        <v>0</v>
      </c>
      <c r="I102" s="19" t="n">
        <f aca="false">IFERROR((G102-D102)/D102,0)</f>
        <v>0</v>
      </c>
      <c r="J102" s="14" t="str">
        <f aca="false">IF(G102&gt;D102,"Omhoog",IF(G102&lt;D102,"Omlaag","Gelijk"))</f>
        <v>Gelijk</v>
      </c>
      <c r="K102" s="20" t="str">
        <f aca="false">IF(ABS(I102)&gt;=0.2,"controleren","")</f>
        <v/>
      </c>
      <c r="L102" s="21" t="n">
        <f aca="false">G102*Tiers!$B$19</f>
        <v>27.909455</v>
      </c>
      <c r="M102" s="15" t="n">
        <v>81.73</v>
      </c>
      <c r="N102" s="19" t="n">
        <f aca="false">IFERROR(1-D102/M102,0)</f>
        <v>0.450018353113912</v>
      </c>
      <c r="O102" s="19" t="n">
        <f aca="false">IF(Tiers!$B$18="ja",Tiers!$B$20,N102)</f>
        <v>0.450018353113912</v>
      </c>
      <c r="P102" s="15" t="n">
        <f aca="false">ROUNDUP(G102/(1-O102),0)-0.05</f>
        <v>81.95</v>
      </c>
      <c r="Q102" s="19" t="n">
        <f aca="false">IFERROR(1-G102/P102,0)</f>
        <v>0.451494813910921</v>
      </c>
      <c r="R102" s="14" t="n">
        <v>64</v>
      </c>
    </row>
    <row r="103" customFormat="false" ht="15" hidden="false" customHeight="false" outlineLevel="0" collapsed="false">
      <c r="A103" s="14" t="s">
        <v>255</v>
      </c>
      <c r="B103" s="14" t="s">
        <v>256</v>
      </c>
      <c r="C103" s="14" t="s">
        <v>10</v>
      </c>
      <c r="D103" s="15" t="n">
        <v>34.95</v>
      </c>
      <c r="E103" s="15" t="n">
        <f aca="false">IFERROR(INDEX(Tiers!$B$4:$B$15,MATCH(C103,Tiers!$A$4:$A$15,0)),D103)</f>
        <v>44.95</v>
      </c>
      <c r="F103" s="16"/>
      <c r="G103" s="17" t="n">
        <f aca="false">IF(F103="",E103,F103)</f>
        <v>44.95</v>
      </c>
      <c r="H103" s="18" t="n">
        <f aca="false">G103-D103</f>
        <v>10</v>
      </c>
      <c r="I103" s="19" t="n">
        <f aca="false">IFERROR((G103-D103)/D103,0)</f>
        <v>0.286123032904149</v>
      </c>
      <c r="J103" s="14" t="str">
        <f aca="false">IF(G103&gt;D103,"Omhoog",IF(G103&lt;D103,"Omlaag","Gelijk"))</f>
        <v>Omhoog</v>
      </c>
      <c r="K103" s="20" t="str">
        <f aca="false">IF(ABS(I103)&gt;=0.2,"controleren","")</f>
        <v>controleren</v>
      </c>
      <c r="L103" s="21" t="n">
        <f aca="false">G103*Tiers!$B$19</f>
        <v>27.909455</v>
      </c>
      <c r="M103" s="15" t="n">
        <v>58.25</v>
      </c>
      <c r="N103" s="19" t="n">
        <f aca="false">IFERROR(1-D103/M103,0)</f>
        <v>0.4</v>
      </c>
      <c r="O103" s="19" t="n">
        <f aca="false">IF(Tiers!$B$18="ja",Tiers!$B$20,N103)</f>
        <v>0.4</v>
      </c>
      <c r="P103" s="15" t="n">
        <f aca="false">ROUNDUP(G103/(1-O103),0)-0.05</f>
        <v>74.95</v>
      </c>
      <c r="Q103" s="19" t="n">
        <f aca="false">IFERROR(1-G103/P103,0)</f>
        <v>0.400266844563042</v>
      </c>
      <c r="R103" s="14" t="n">
        <v>6</v>
      </c>
    </row>
    <row r="104" customFormat="false" ht="15" hidden="false" customHeight="false" outlineLevel="0" collapsed="false">
      <c r="A104" s="14" t="s">
        <v>257</v>
      </c>
      <c r="B104" s="14" t="s">
        <v>258</v>
      </c>
      <c r="C104" s="14" t="s">
        <v>10</v>
      </c>
      <c r="D104" s="15" t="n">
        <v>44.95</v>
      </c>
      <c r="E104" s="15" t="n">
        <f aca="false">IFERROR(INDEX(Tiers!$B$4:$B$15,MATCH(C104,Tiers!$A$4:$A$15,0)),D104)</f>
        <v>44.95</v>
      </c>
      <c r="F104" s="16"/>
      <c r="G104" s="17" t="n">
        <f aca="false">IF(F104="",E104,F104)</f>
        <v>44.95</v>
      </c>
      <c r="H104" s="18" t="n">
        <f aca="false">G104-D104</f>
        <v>0</v>
      </c>
      <c r="I104" s="19" t="n">
        <f aca="false">IFERROR((G104-D104)/D104,0)</f>
        <v>0</v>
      </c>
      <c r="J104" s="14" t="str">
        <f aca="false">IF(G104&gt;D104,"Omhoog",IF(G104&lt;D104,"Omlaag","Gelijk"))</f>
        <v>Gelijk</v>
      </c>
      <c r="K104" s="20" t="str">
        <f aca="false">IF(ABS(I104)&gt;=0.2,"controleren","")</f>
        <v/>
      </c>
      <c r="L104" s="21" t="n">
        <f aca="false">G104*Tiers!$B$19</f>
        <v>27.909455</v>
      </c>
      <c r="M104" s="15" t="n">
        <v>89.9</v>
      </c>
      <c r="N104" s="19" t="n">
        <f aca="false">IFERROR(1-D104/M104,0)</f>
        <v>0.5</v>
      </c>
      <c r="O104" s="19" t="n">
        <f aca="false">IF(Tiers!$B$18="ja",Tiers!$B$20,N104)</f>
        <v>0.5</v>
      </c>
      <c r="P104" s="15" t="n">
        <f aca="false">ROUNDUP(G104/(1-O104),0)-0.05</f>
        <v>89.95</v>
      </c>
      <c r="Q104" s="19" t="n">
        <f aca="false">IFERROR(1-G104/P104,0)</f>
        <v>0.500277932184547</v>
      </c>
      <c r="R104" s="14" t="n">
        <v>25</v>
      </c>
    </row>
    <row r="105" customFormat="false" ht="15" hidden="false" customHeight="false" outlineLevel="0" collapsed="false">
      <c r="A105" s="14" t="s">
        <v>259</v>
      </c>
      <c r="B105" s="14" t="s">
        <v>260</v>
      </c>
      <c r="C105" s="14" t="s">
        <v>10</v>
      </c>
      <c r="D105" s="15" t="n">
        <v>44.95</v>
      </c>
      <c r="E105" s="15" t="n">
        <f aca="false">IFERROR(INDEX(Tiers!$B$4:$B$15,MATCH(C105,Tiers!$A$4:$A$15,0)),D105)</f>
        <v>44.95</v>
      </c>
      <c r="F105" s="16"/>
      <c r="G105" s="17" t="n">
        <f aca="false">IF(F105="",E105,F105)</f>
        <v>44.95</v>
      </c>
      <c r="H105" s="18" t="n">
        <f aca="false">G105-D105</f>
        <v>0</v>
      </c>
      <c r="I105" s="19" t="n">
        <f aca="false">IFERROR((G105-D105)/D105,0)</f>
        <v>0</v>
      </c>
      <c r="J105" s="14" t="str">
        <f aca="false">IF(G105&gt;D105,"Omhoog",IF(G105&lt;D105,"Omlaag","Gelijk"))</f>
        <v>Gelijk</v>
      </c>
      <c r="K105" s="20" t="str">
        <f aca="false">IF(ABS(I105)&gt;=0.2,"controleren","")</f>
        <v/>
      </c>
      <c r="L105" s="21" t="n">
        <f aca="false">G105*Tiers!$B$19</f>
        <v>27.909455</v>
      </c>
      <c r="M105" s="15" t="n">
        <v>74.92</v>
      </c>
      <c r="N105" s="19" t="n">
        <f aca="false">IFERROR(1-D105/M105,0)</f>
        <v>0.400026695141484</v>
      </c>
      <c r="O105" s="19" t="n">
        <f aca="false">IF(Tiers!$B$18="ja",Tiers!$B$20,N105)</f>
        <v>0.400026695141484</v>
      </c>
      <c r="P105" s="15" t="n">
        <f aca="false">ROUNDUP(G105/(1-O105),0)-0.05</f>
        <v>74.95</v>
      </c>
      <c r="Q105" s="19" t="n">
        <f aca="false">IFERROR(1-G105/P105,0)</f>
        <v>0.400266844563042</v>
      </c>
      <c r="R105" s="14" t="n">
        <v>25</v>
      </c>
    </row>
    <row r="106" customFormat="false" ht="15" hidden="false" customHeight="false" outlineLevel="0" collapsed="false">
      <c r="A106" s="14" t="s">
        <v>261</v>
      </c>
      <c r="B106" s="14" t="s">
        <v>262</v>
      </c>
      <c r="C106" s="14" t="s">
        <v>10</v>
      </c>
      <c r="D106" s="15" t="n">
        <v>44.95</v>
      </c>
      <c r="E106" s="15" t="n">
        <f aca="false">IFERROR(INDEX(Tiers!$B$4:$B$15,MATCH(C106,Tiers!$A$4:$A$15,0)),D106)</f>
        <v>44.95</v>
      </c>
      <c r="F106" s="16"/>
      <c r="G106" s="17" t="n">
        <f aca="false">IF(F106="",E106,F106)</f>
        <v>44.95</v>
      </c>
      <c r="H106" s="18" t="n">
        <f aca="false">G106-D106</f>
        <v>0</v>
      </c>
      <c r="I106" s="19" t="n">
        <f aca="false">IFERROR((G106-D106)/D106,0)</f>
        <v>0</v>
      </c>
      <c r="J106" s="14" t="str">
        <f aca="false">IF(G106&gt;D106,"Omhoog",IF(G106&lt;D106,"Omlaag","Gelijk"))</f>
        <v>Gelijk</v>
      </c>
      <c r="K106" s="20" t="str">
        <f aca="false">IF(ABS(I106)&gt;=0.2,"controleren","")</f>
        <v/>
      </c>
      <c r="L106" s="21" t="n">
        <f aca="false">G106*Tiers!$B$19</f>
        <v>27.909455</v>
      </c>
      <c r="M106" s="15" t="n">
        <v>74.92</v>
      </c>
      <c r="N106" s="19" t="n">
        <f aca="false">IFERROR(1-D106/M106,0)</f>
        <v>0.400026695141484</v>
      </c>
      <c r="O106" s="19" t="n">
        <f aca="false">IF(Tiers!$B$18="ja",Tiers!$B$20,N106)</f>
        <v>0.400026695141484</v>
      </c>
      <c r="P106" s="15" t="n">
        <f aca="false">ROUNDUP(G106/(1-O106),0)-0.05</f>
        <v>74.95</v>
      </c>
      <c r="Q106" s="19" t="n">
        <f aca="false">IFERROR(1-G106/P106,0)</f>
        <v>0.400266844563042</v>
      </c>
      <c r="R106" s="14" t="n">
        <v>30</v>
      </c>
    </row>
    <row r="107" customFormat="false" ht="15" hidden="false" customHeight="false" outlineLevel="0" collapsed="false">
      <c r="A107" s="14" t="s">
        <v>263</v>
      </c>
      <c r="B107" s="14" t="s">
        <v>264</v>
      </c>
      <c r="C107" s="14" t="s">
        <v>10</v>
      </c>
      <c r="D107" s="15" t="n">
        <v>44.95</v>
      </c>
      <c r="E107" s="15" t="n">
        <f aca="false">IFERROR(INDEX(Tiers!$B$4:$B$15,MATCH(C107,Tiers!$A$4:$A$15,0)),D107)</f>
        <v>44.95</v>
      </c>
      <c r="F107" s="16"/>
      <c r="G107" s="17" t="n">
        <f aca="false">IF(F107="",E107,F107)</f>
        <v>44.95</v>
      </c>
      <c r="H107" s="18" t="n">
        <f aca="false">G107-D107</f>
        <v>0</v>
      </c>
      <c r="I107" s="19" t="n">
        <f aca="false">IFERROR((G107-D107)/D107,0)</f>
        <v>0</v>
      </c>
      <c r="J107" s="14" t="str">
        <f aca="false">IF(G107&gt;D107,"Omhoog",IF(G107&lt;D107,"Omlaag","Gelijk"))</f>
        <v>Gelijk</v>
      </c>
      <c r="K107" s="20" t="str">
        <f aca="false">IF(ABS(I107)&gt;=0.2,"controleren","")</f>
        <v/>
      </c>
      <c r="L107" s="21" t="n">
        <f aca="false">G107*Tiers!$B$19</f>
        <v>27.909455</v>
      </c>
      <c r="M107" s="15" t="n">
        <v>89.9</v>
      </c>
      <c r="N107" s="19" t="n">
        <f aca="false">IFERROR(1-D107/M107,0)</f>
        <v>0.5</v>
      </c>
      <c r="O107" s="19" t="n">
        <f aca="false">IF(Tiers!$B$18="ja",Tiers!$B$20,N107)</f>
        <v>0.5</v>
      </c>
      <c r="P107" s="15" t="n">
        <f aca="false">ROUNDUP(G107/(1-O107),0)-0.05</f>
        <v>89.95</v>
      </c>
      <c r="Q107" s="19" t="n">
        <f aca="false">IFERROR(1-G107/P107,0)</f>
        <v>0.500277932184547</v>
      </c>
      <c r="R107" s="14" t="n">
        <v>42</v>
      </c>
    </row>
    <row r="108" customFormat="false" ht="15" hidden="false" customHeight="false" outlineLevel="0" collapsed="false">
      <c r="A108" s="14" t="s">
        <v>265</v>
      </c>
      <c r="B108" s="14" t="s">
        <v>266</v>
      </c>
      <c r="C108" s="14" t="s">
        <v>12</v>
      </c>
      <c r="D108" s="15" t="n">
        <v>54.95</v>
      </c>
      <c r="E108" s="15" t="n">
        <f aca="false">IFERROR(INDEX(Tiers!$B$4:$B$15,MATCH(C108,Tiers!$A$4:$A$15,0)),D108)</f>
        <v>49.95</v>
      </c>
      <c r="F108" s="16"/>
      <c r="G108" s="17" t="n">
        <f aca="false">IF(F108="",E108,F108)</f>
        <v>49.95</v>
      </c>
      <c r="H108" s="18" t="n">
        <f aca="false">G108-D108</f>
        <v>-5</v>
      </c>
      <c r="I108" s="19" t="n">
        <f aca="false">IFERROR((G108-D108)/D108,0)</f>
        <v>-0.0909918107370337</v>
      </c>
      <c r="J108" s="14" t="str">
        <f aca="false">IF(G108&gt;D108,"Omhoog",IF(G108&lt;D108,"Omlaag","Gelijk"))</f>
        <v>Omlaag</v>
      </c>
      <c r="K108" s="20" t="str">
        <f aca="false">IF(ABS(I108)&gt;=0.2,"controleren","")</f>
        <v/>
      </c>
      <c r="L108" s="21" t="n">
        <f aca="false">G108*Tiers!$B$19</f>
        <v>31.013955</v>
      </c>
      <c r="M108" s="15" t="n">
        <v>91.58</v>
      </c>
      <c r="N108" s="19" t="n">
        <f aca="false">IFERROR(1-D108/M108,0)</f>
        <v>0.399978161170561</v>
      </c>
      <c r="O108" s="19" t="n">
        <f aca="false">IF(Tiers!$B$18="ja",Tiers!$B$20,N108)</f>
        <v>0.399978161170561</v>
      </c>
      <c r="P108" s="15" t="n">
        <f aca="false">ROUNDUP(G108/(1-O108),0)-0.05</f>
        <v>83.95</v>
      </c>
      <c r="Q108" s="19" t="n">
        <f aca="false">IFERROR(1-G108/P108,0)</f>
        <v>0.405002977963073</v>
      </c>
      <c r="R108" s="14" t="n">
        <v>30</v>
      </c>
    </row>
    <row r="109" customFormat="false" ht="15" hidden="false" customHeight="false" outlineLevel="0" collapsed="false">
      <c r="A109" s="14" t="s">
        <v>267</v>
      </c>
      <c r="B109" s="14" t="s">
        <v>268</v>
      </c>
      <c r="C109" s="14" t="s">
        <v>12</v>
      </c>
      <c r="D109" s="15" t="n">
        <v>54.95</v>
      </c>
      <c r="E109" s="15" t="n">
        <f aca="false">IFERROR(INDEX(Tiers!$B$4:$B$15,MATCH(C109,Tiers!$A$4:$A$15,0)),D109)</f>
        <v>49.95</v>
      </c>
      <c r="F109" s="16"/>
      <c r="G109" s="17" t="n">
        <f aca="false">IF(F109="",E109,F109)</f>
        <v>49.95</v>
      </c>
      <c r="H109" s="18" t="n">
        <f aca="false">G109-D109</f>
        <v>-5</v>
      </c>
      <c r="I109" s="19" t="n">
        <f aca="false">IFERROR((G109-D109)/D109,0)</f>
        <v>-0.0909918107370337</v>
      </c>
      <c r="J109" s="14" t="str">
        <f aca="false">IF(G109&gt;D109,"Omhoog",IF(G109&lt;D109,"Omlaag","Gelijk"))</f>
        <v>Omlaag</v>
      </c>
      <c r="K109" s="20" t="str">
        <f aca="false">IF(ABS(I109)&gt;=0.2,"controleren","")</f>
        <v/>
      </c>
      <c r="L109" s="21" t="n">
        <f aca="false">G109*Tiers!$B$19</f>
        <v>31.013955</v>
      </c>
      <c r="M109" s="15" t="n">
        <v>99.91</v>
      </c>
      <c r="N109" s="19" t="n">
        <f aca="false">IFERROR(1-D109/M109,0)</f>
        <v>0.450005004504054</v>
      </c>
      <c r="O109" s="19" t="n">
        <f aca="false">IF(Tiers!$B$18="ja",Tiers!$B$20,N109)</f>
        <v>0.450005004504054</v>
      </c>
      <c r="P109" s="15" t="n">
        <f aca="false">ROUNDUP(G109/(1-O109),0)-0.05</f>
        <v>90.95</v>
      </c>
      <c r="Q109" s="19" t="n">
        <f aca="false">IFERROR(1-G109/P109,0)</f>
        <v>0.450797141286421</v>
      </c>
      <c r="R109" s="14" t="n">
        <v>60</v>
      </c>
    </row>
    <row r="110" customFormat="false" ht="15" hidden="false" customHeight="false" outlineLevel="0" collapsed="false">
      <c r="A110" s="14" t="s">
        <v>269</v>
      </c>
      <c r="B110" s="14" t="s">
        <v>270</v>
      </c>
      <c r="C110" s="14" t="s">
        <v>12</v>
      </c>
      <c r="D110" s="15" t="n">
        <v>54.95</v>
      </c>
      <c r="E110" s="15" t="n">
        <f aca="false">IFERROR(INDEX(Tiers!$B$4:$B$15,MATCH(C110,Tiers!$A$4:$A$15,0)),D110)</f>
        <v>49.95</v>
      </c>
      <c r="F110" s="16"/>
      <c r="G110" s="17" t="n">
        <f aca="false">IF(F110="",E110,F110)</f>
        <v>49.95</v>
      </c>
      <c r="H110" s="18" t="n">
        <f aca="false">G110-D110</f>
        <v>-5</v>
      </c>
      <c r="I110" s="19" t="n">
        <f aca="false">IFERROR((G110-D110)/D110,0)</f>
        <v>-0.0909918107370337</v>
      </c>
      <c r="J110" s="14" t="str">
        <f aca="false">IF(G110&gt;D110,"Omhoog",IF(G110&lt;D110,"Omlaag","Gelijk"))</f>
        <v>Omlaag</v>
      </c>
      <c r="K110" s="20" t="str">
        <f aca="false">IF(ABS(I110)&gt;=0.2,"controleren","")</f>
        <v/>
      </c>
      <c r="L110" s="21" t="n">
        <f aca="false">G110*Tiers!$B$19</f>
        <v>31.013955</v>
      </c>
      <c r="M110" s="15" t="n">
        <v>91.58</v>
      </c>
      <c r="N110" s="19" t="n">
        <f aca="false">IFERROR(1-D110/M110,0)</f>
        <v>0.399978161170561</v>
      </c>
      <c r="O110" s="19" t="n">
        <f aca="false">IF(Tiers!$B$18="ja",Tiers!$B$20,N110)</f>
        <v>0.399978161170561</v>
      </c>
      <c r="P110" s="15" t="n">
        <f aca="false">ROUNDUP(G110/(1-O110),0)-0.05</f>
        <v>83.95</v>
      </c>
      <c r="Q110" s="19" t="n">
        <f aca="false">IFERROR(1-G110/P110,0)</f>
        <v>0.405002977963073</v>
      </c>
      <c r="R110" s="14" t="n">
        <v>10</v>
      </c>
    </row>
    <row r="111" customFormat="false" ht="15" hidden="false" customHeight="false" outlineLevel="0" collapsed="false">
      <c r="A111" s="14" t="s">
        <v>271</v>
      </c>
      <c r="B111" s="14" t="s">
        <v>272</v>
      </c>
      <c r="C111" s="14" t="s">
        <v>12</v>
      </c>
      <c r="D111" s="15" t="n">
        <v>54.95</v>
      </c>
      <c r="E111" s="15" t="n">
        <f aca="false">IFERROR(INDEX(Tiers!$B$4:$B$15,MATCH(C111,Tiers!$A$4:$A$15,0)),D111)</f>
        <v>49.95</v>
      </c>
      <c r="F111" s="16"/>
      <c r="G111" s="17" t="n">
        <f aca="false">IF(F111="",E111,F111)</f>
        <v>49.95</v>
      </c>
      <c r="H111" s="18" t="n">
        <f aca="false">G111-D111</f>
        <v>-5</v>
      </c>
      <c r="I111" s="19" t="n">
        <f aca="false">IFERROR((G111-D111)/D111,0)</f>
        <v>-0.0909918107370337</v>
      </c>
      <c r="J111" s="14" t="str">
        <f aca="false">IF(G111&gt;D111,"Omhoog",IF(G111&lt;D111,"Omlaag","Gelijk"))</f>
        <v>Omlaag</v>
      </c>
      <c r="K111" s="20" t="str">
        <f aca="false">IF(ABS(I111)&gt;=0.2,"controleren","")</f>
        <v/>
      </c>
      <c r="L111" s="21" t="n">
        <f aca="false">G111*Tiers!$B$19</f>
        <v>31.013955</v>
      </c>
      <c r="M111" s="15" t="n">
        <v>91.58</v>
      </c>
      <c r="N111" s="19" t="n">
        <f aca="false">IFERROR(1-D111/M111,0)</f>
        <v>0.399978161170561</v>
      </c>
      <c r="O111" s="19" t="n">
        <f aca="false">IF(Tiers!$B$18="ja",Tiers!$B$20,N111)</f>
        <v>0.399978161170561</v>
      </c>
      <c r="P111" s="15" t="n">
        <f aca="false">ROUNDUP(G111/(1-O111),0)-0.05</f>
        <v>83.95</v>
      </c>
      <c r="Q111" s="19" t="n">
        <f aca="false">IFERROR(1-G111/P111,0)</f>
        <v>0.405002977963073</v>
      </c>
      <c r="R111" s="14" t="n">
        <v>55</v>
      </c>
    </row>
    <row r="112" customFormat="false" ht="15" hidden="false" customHeight="false" outlineLevel="0" collapsed="false">
      <c r="A112" s="14" t="s">
        <v>273</v>
      </c>
      <c r="B112" s="14" t="s">
        <v>274</v>
      </c>
      <c r="C112" s="14" t="s">
        <v>12</v>
      </c>
      <c r="D112" s="15" t="n">
        <v>54.95</v>
      </c>
      <c r="E112" s="15" t="n">
        <f aca="false">IFERROR(INDEX(Tiers!$B$4:$B$15,MATCH(C112,Tiers!$A$4:$A$15,0)),D112)</f>
        <v>49.95</v>
      </c>
      <c r="F112" s="16"/>
      <c r="G112" s="17" t="n">
        <f aca="false">IF(F112="",E112,F112)</f>
        <v>49.95</v>
      </c>
      <c r="H112" s="18" t="n">
        <f aca="false">G112-D112</f>
        <v>-5</v>
      </c>
      <c r="I112" s="19" t="n">
        <f aca="false">IFERROR((G112-D112)/D112,0)</f>
        <v>-0.0909918107370337</v>
      </c>
      <c r="J112" s="14" t="str">
        <f aca="false">IF(G112&gt;D112,"Omhoog",IF(G112&lt;D112,"Omlaag","Gelijk"))</f>
        <v>Omlaag</v>
      </c>
      <c r="K112" s="20" t="str">
        <f aca="false">IF(ABS(I112)&gt;=0.2,"controleren","")</f>
        <v/>
      </c>
      <c r="L112" s="21" t="n">
        <f aca="false">G112*Tiers!$B$19</f>
        <v>31.013955</v>
      </c>
      <c r="M112" s="15" t="n">
        <v>99.91</v>
      </c>
      <c r="N112" s="19" t="n">
        <f aca="false">IFERROR(1-D112/M112,0)</f>
        <v>0.450005004504054</v>
      </c>
      <c r="O112" s="19" t="n">
        <f aca="false">IF(Tiers!$B$18="ja",Tiers!$B$20,N112)</f>
        <v>0.450005004504054</v>
      </c>
      <c r="P112" s="15" t="n">
        <f aca="false">ROUNDUP(G112/(1-O112),0)-0.05</f>
        <v>90.95</v>
      </c>
      <c r="Q112" s="19" t="n">
        <f aca="false">IFERROR(1-G112/P112,0)</f>
        <v>0.450797141286421</v>
      </c>
      <c r="R112" s="14" t="n">
        <v>60</v>
      </c>
    </row>
    <row r="113" customFormat="false" ht="15" hidden="false" customHeight="false" outlineLevel="0" collapsed="false">
      <c r="A113" s="14" t="s">
        <v>275</v>
      </c>
      <c r="B113" s="14" t="s">
        <v>276</v>
      </c>
      <c r="C113" s="14" t="s">
        <v>12</v>
      </c>
      <c r="D113" s="15" t="n">
        <v>54.95</v>
      </c>
      <c r="E113" s="15" t="n">
        <f aca="false">IFERROR(INDEX(Tiers!$B$4:$B$15,MATCH(C113,Tiers!$A$4:$A$15,0)),D113)</f>
        <v>49.95</v>
      </c>
      <c r="F113" s="16"/>
      <c r="G113" s="17" t="n">
        <f aca="false">IF(F113="",E113,F113)</f>
        <v>49.95</v>
      </c>
      <c r="H113" s="18" t="n">
        <f aca="false">G113-D113</f>
        <v>-5</v>
      </c>
      <c r="I113" s="19" t="n">
        <f aca="false">IFERROR((G113-D113)/D113,0)</f>
        <v>-0.0909918107370337</v>
      </c>
      <c r="J113" s="14" t="str">
        <f aca="false">IF(G113&gt;D113,"Omhoog",IF(G113&lt;D113,"Omlaag","Gelijk"))</f>
        <v>Omlaag</v>
      </c>
      <c r="K113" s="20" t="str">
        <f aca="false">IF(ABS(I113)&gt;=0.2,"controleren","")</f>
        <v/>
      </c>
      <c r="L113" s="21" t="n">
        <f aca="false">G113*Tiers!$B$19</f>
        <v>31.013955</v>
      </c>
      <c r="M113" s="15" t="n">
        <v>109.9</v>
      </c>
      <c r="N113" s="19" t="n">
        <f aca="false">IFERROR(1-D113/M113,0)</f>
        <v>0.5</v>
      </c>
      <c r="O113" s="19" t="n">
        <f aca="false">IF(Tiers!$B$18="ja",Tiers!$B$20,N113)</f>
        <v>0.5</v>
      </c>
      <c r="P113" s="15" t="n">
        <f aca="false">ROUNDUP(G113/(1-O113),0)-0.05</f>
        <v>99.95</v>
      </c>
      <c r="Q113" s="19" t="n">
        <f aca="false">IFERROR(1-G113/P113,0)</f>
        <v>0.500250125062531</v>
      </c>
      <c r="R113" s="14" t="n">
        <v>18</v>
      </c>
    </row>
    <row r="114" customFormat="false" ht="15" hidden="false" customHeight="false" outlineLevel="0" collapsed="false">
      <c r="A114" s="14" t="s">
        <v>277</v>
      </c>
      <c r="B114" s="14" t="s">
        <v>278</v>
      </c>
      <c r="C114" s="14" t="s">
        <v>12</v>
      </c>
      <c r="D114" s="15" t="n">
        <v>49.95</v>
      </c>
      <c r="E114" s="15" t="n">
        <f aca="false">IFERROR(INDEX(Tiers!$B$4:$B$15,MATCH(C114,Tiers!$A$4:$A$15,0)),D114)</f>
        <v>49.95</v>
      </c>
      <c r="F114" s="16"/>
      <c r="G114" s="17" t="n">
        <f aca="false">IF(F114="",E114,F114)</f>
        <v>49.95</v>
      </c>
      <c r="H114" s="18" t="n">
        <f aca="false">G114-D114</f>
        <v>0</v>
      </c>
      <c r="I114" s="19" t="n">
        <f aca="false">IFERROR((G114-D114)/D114,0)</f>
        <v>0</v>
      </c>
      <c r="J114" s="14" t="str">
        <f aca="false">IF(G114&gt;D114,"Omhoog",IF(G114&lt;D114,"Omlaag","Gelijk"))</f>
        <v>Gelijk</v>
      </c>
      <c r="K114" s="20" t="str">
        <f aca="false">IF(ABS(I114)&gt;=0.2,"controleren","")</f>
        <v/>
      </c>
      <c r="L114" s="21" t="n">
        <f aca="false">G114*Tiers!$B$19</f>
        <v>31.013955</v>
      </c>
      <c r="M114" s="15" t="n">
        <v>99.9</v>
      </c>
      <c r="N114" s="19" t="n">
        <f aca="false">IFERROR(1-D114/M114,0)</f>
        <v>0.5</v>
      </c>
      <c r="O114" s="19" t="n">
        <f aca="false">IF(Tiers!$B$18="ja",Tiers!$B$20,N114)</f>
        <v>0.5</v>
      </c>
      <c r="P114" s="15" t="n">
        <f aca="false">ROUNDUP(G114/(1-O114),0)-0.05</f>
        <v>99.95</v>
      </c>
      <c r="Q114" s="19" t="n">
        <f aca="false">IFERROR(1-G114/P114,0)</f>
        <v>0.500250125062531</v>
      </c>
      <c r="R114" s="14" t="n">
        <v>9</v>
      </c>
    </row>
    <row r="115" customFormat="false" ht="15" hidden="false" customHeight="false" outlineLevel="0" collapsed="false">
      <c r="A115" s="14" t="s">
        <v>279</v>
      </c>
      <c r="B115" s="14" t="s">
        <v>280</v>
      </c>
      <c r="C115" s="14" t="s">
        <v>12</v>
      </c>
      <c r="D115" s="15" t="n">
        <v>54.95</v>
      </c>
      <c r="E115" s="15" t="n">
        <f aca="false">IFERROR(INDEX(Tiers!$B$4:$B$15,MATCH(C115,Tiers!$A$4:$A$15,0)),D115)</f>
        <v>49.95</v>
      </c>
      <c r="F115" s="16"/>
      <c r="G115" s="17" t="n">
        <f aca="false">IF(F115="",E115,F115)</f>
        <v>49.95</v>
      </c>
      <c r="H115" s="18" t="n">
        <f aca="false">G115-D115</f>
        <v>-5</v>
      </c>
      <c r="I115" s="19" t="n">
        <f aca="false">IFERROR((G115-D115)/D115,0)</f>
        <v>-0.0909918107370337</v>
      </c>
      <c r="J115" s="14" t="str">
        <f aca="false">IF(G115&gt;D115,"Omhoog",IF(G115&lt;D115,"Omlaag","Gelijk"))</f>
        <v>Omlaag</v>
      </c>
      <c r="K115" s="20" t="str">
        <f aca="false">IF(ABS(I115)&gt;=0.2,"controleren","")</f>
        <v/>
      </c>
      <c r="L115" s="21" t="n">
        <f aca="false">G115*Tiers!$B$19</f>
        <v>31.013955</v>
      </c>
      <c r="M115" s="15" t="n">
        <v>91.58</v>
      </c>
      <c r="N115" s="19" t="n">
        <f aca="false">IFERROR(1-D115/M115,0)</f>
        <v>0.399978161170561</v>
      </c>
      <c r="O115" s="19" t="n">
        <f aca="false">IF(Tiers!$B$18="ja",Tiers!$B$20,N115)</f>
        <v>0.399978161170561</v>
      </c>
      <c r="P115" s="15" t="n">
        <f aca="false">ROUNDUP(G115/(1-O115),0)-0.05</f>
        <v>83.95</v>
      </c>
      <c r="Q115" s="19" t="n">
        <f aca="false">IFERROR(1-G115/P115,0)</f>
        <v>0.405002977963073</v>
      </c>
      <c r="R115" s="14" t="n">
        <v>34</v>
      </c>
    </row>
    <row r="116" customFormat="false" ht="15" hidden="false" customHeight="false" outlineLevel="0" collapsed="false">
      <c r="A116" s="14" t="s">
        <v>281</v>
      </c>
      <c r="B116" s="14" t="s">
        <v>282</v>
      </c>
      <c r="C116" s="14" t="s">
        <v>12</v>
      </c>
      <c r="D116" s="15" t="n">
        <v>54.95</v>
      </c>
      <c r="E116" s="15" t="n">
        <f aca="false">IFERROR(INDEX(Tiers!$B$4:$B$15,MATCH(C116,Tiers!$A$4:$A$15,0)),D116)</f>
        <v>49.95</v>
      </c>
      <c r="F116" s="16"/>
      <c r="G116" s="17" t="n">
        <f aca="false">IF(F116="",E116,F116)</f>
        <v>49.95</v>
      </c>
      <c r="H116" s="18" t="n">
        <f aca="false">G116-D116</f>
        <v>-5</v>
      </c>
      <c r="I116" s="19" t="n">
        <f aca="false">IFERROR((G116-D116)/D116,0)</f>
        <v>-0.0909918107370337</v>
      </c>
      <c r="J116" s="14" t="str">
        <f aca="false">IF(G116&gt;D116,"Omhoog",IF(G116&lt;D116,"Omlaag","Gelijk"))</f>
        <v>Omlaag</v>
      </c>
      <c r="K116" s="20" t="str">
        <f aca="false">IF(ABS(I116)&gt;=0.2,"controleren","")</f>
        <v/>
      </c>
      <c r="L116" s="21" t="n">
        <f aca="false">G116*Tiers!$B$19</f>
        <v>31.013955</v>
      </c>
      <c r="M116" s="15" t="n">
        <v>109.9</v>
      </c>
      <c r="N116" s="19" t="n">
        <f aca="false">IFERROR(1-D116/M116,0)</f>
        <v>0.5</v>
      </c>
      <c r="O116" s="19" t="n">
        <f aca="false">IF(Tiers!$B$18="ja",Tiers!$B$20,N116)</f>
        <v>0.5</v>
      </c>
      <c r="P116" s="15" t="n">
        <f aca="false">ROUNDUP(G116/(1-O116),0)-0.05</f>
        <v>99.95</v>
      </c>
      <c r="Q116" s="19" t="n">
        <f aca="false">IFERROR(1-G116/P116,0)</f>
        <v>0.500250125062531</v>
      </c>
      <c r="R116" s="14" t="n">
        <v>30</v>
      </c>
    </row>
    <row r="117" customFormat="false" ht="15" hidden="false" customHeight="false" outlineLevel="0" collapsed="false">
      <c r="A117" s="14" t="s">
        <v>283</v>
      </c>
      <c r="B117" s="14" t="s">
        <v>284</v>
      </c>
      <c r="C117" s="14" t="s">
        <v>12</v>
      </c>
      <c r="D117" s="15" t="n">
        <v>54.95</v>
      </c>
      <c r="E117" s="15" t="n">
        <f aca="false">IFERROR(INDEX(Tiers!$B$4:$B$15,MATCH(C117,Tiers!$A$4:$A$15,0)),D117)</f>
        <v>49.95</v>
      </c>
      <c r="F117" s="16"/>
      <c r="G117" s="17" t="n">
        <f aca="false">IF(F117="",E117,F117)</f>
        <v>49.95</v>
      </c>
      <c r="H117" s="18" t="n">
        <f aca="false">G117-D117</f>
        <v>-5</v>
      </c>
      <c r="I117" s="19" t="n">
        <f aca="false">IFERROR((G117-D117)/D117,0)</f>
        <v>-0.0909918107370337</v>
      </c>
      <c r="J117" s="14" t="str">
        <f aca="false">IF(G117&gt;D117,"Omhoog",IF(G117&lt;D117,"Omlaag","Gelijk"))</f>
        <v>Omlaag</v>
      </c>
      <c r="K117" s="20" t="str">
        <f aca="false">IF(ABS(I117)&gt;=0.2,"controleren","")</f>
        <v/>
      </c>
      <c r="L117" s="21" t="n">
        <f aca="false">G117*Tiers!$B$19</f>
        <v>31.013955</v>
      </c>
      <c r="M117" s="15" t="n">
        <v>99.91</v>
      </c>
      <c r="N117" s="19" t="n">
        <f aca="false">IFERROR(1-D117/M117,0)</f>
        <v>0.450005004504054</v>
      </c>
      <c r="O117" s="19" t="n">
        <f aca="false">IF(Tiers!$B$18="ja",Tiers!$B$20,N117)</f>
        <v>0.450005004504054</v>
      </c>
      <c r="P117" s="15" t="n">
        <f aca="false">ROUNDUP(G117/(1-O117),0)-0.05</f>
        <v>90.95</v>
      </c>
      <c r="Q117" s="19" t="n">
        <f aca="false">IFERROR(1-G117/P117,0)</f>
        <v>0.450797141286421</v>
      </c>
      <c r="R117" s="14" t="n">
        <v>45</v>
      </c>
    </row>
    <row r="118" customFormat="false" ht="15" hidden="false" customHeight="false" outlineLevel="0" collapsed="false">
      <c r="A118" s="14" t="s">
        <v>285</v>
      </c>
      <c r="B118" s="14" t="s">
        <v>286</v>
      </c>
      <c r="C118" s="14" t="s">
        <v>12</v>
      </c>
      <c r="D118" s="15" t="n">
        <v>54.95</v>
      </c>
      <c r="E118" s="15" t="n">
        <f aca="false">IFERROR(INDEX(Tiers!$B$4:$B$15,MATCH(C118,Tiers!$A$4:$A$15,0)),D118)</f>
        <v>49.95</v>
      </c>
      <c r="F118" s="16"/>
      <c r="G118" s="17" t="n">
        <f aca="false">IF(F118="",E118,F118)</f>
        <v>49.95</v>
      </c>
      <c r="H118" s="18" t="n">
        <f aca="false">G118-D118</f>
        <v>-5</v>
      </c>
      <c r="I118" s="19" t="n">
        <f aca="false">IFERROR((G118-D118)/D118,0)</f>
        <v>-0.0909918107370337</v>
      </c>
      <c r="J118" s="14" t="str">
        <f aca="false">IF(G118&gt;D118,"Omhoog",IF(G118&lt;D118,"Omlaag","Gelijk"))</f>
        <v>Omlaag</v>
      </c>
      <c r="K118" s="20" t="str">
        <f aca="false">IF(ABS(I118)&gt;=0.2,"controleren","")</f>
        <v/>
      </c>
      <c r="L118" s="21" t="n">
        <f aca="false">G118*Tiers!$B$19</f>
        <v>31.013955</v>
      </c>
      <c r="M118" s="15" t="n">
        <v>109.9</v>
      </c>
      <c r="N118" s="19" t="n">
        <f aca="false">IFERROR(1-D118/M118,0)</f>
        <v>0.5</v>
      </c>
      <c r="O118" s="19" t="n">
        <f aca="false">IF(Tiers!$B$18="ja",Tiers!$B$20,N118)</f>
        <v>0.5</v>
      </c>
      <c r="P118" s="15" t="n">
        <f aca="false">ROUNDUP(G118/(1-O118),0)-0.05</f>
        <v>99.95</v>
      </c>
      <c r="Q118" s="19" t="n">
        <f aca="false">IFERROR(1-G118/P118,0)</f>
        <v>0.500250125062531</v>
      </c>
      <c r="R118" s="14" t="n">
        <v>44</v>
      </c>
    </row>
    <row r="119" customFormat="false" ht="15" hidden="false" customHeight="false" outlineLevel="0" collapsed="false">
      <c r="A119" s="14" t="s">
        <v>287</v>
      </c>
      <c r="B119" s="14" t="s">
        <v>288</v>
      </c>
      <c r="C119" s="14" t="s">
        <v>12</v>
      </c>
      <c r="D119" s="15" t="n">
        <v>54.95</v>
      </c>
      <c r="E119" s="15" t="n">
        <f aca="false">IFERROR(INDEX(Tiers!$B$4:$B$15,MATCH(C119,Tiers!$A$4:$A$15,0)),D119)</f>
        <v>49.95</v>
      </c>
      <c r="F119" s="16"/>
      <c r="G119" s="17" t="n">
        <f aca="false">IF(F119="",E119,F119)</f>
        <v>49.95</v>
      </c>
      <c r="H119" s="18" t="n">
        <f aca="false">G119-D119</f>
        <v>-5</v>
      </c>
      <c r="I119" s="19" t="n">
        <f aca="false">IFERROR((G119-D119)/D119,0)</f>
        <v>-0.0909918107370337</v>
      </c>
      <c r="J119" s="14" t="str">
        <f aca="false">IF(G119&gt;D119,"Omhoog",IF(G119&lt;D119,"Omlaag","Gelijk"))</f>
        <v>Omlaag</v>
      </c>
      <c r="K119" s="20" t="str">
        <f aca="false">IF(ABS(I119)&gt;=0.2,"controleren","")</f>
        <v/>
      </c>
      <c r="L119" s="21" t="n">
        <f aca="false">G119*Tiers!$B$19</f>
        <v>31.013955</v>
      </c>
      <c r="M119" s="15" t="n">
        <v>109.9</v>
      </c>
      <c r="N119" s="19" t="n">
        <f aca="false">IFERROR(1-D119/M119,0)</f>
        <v>0.5</v>
      </c>
      <c r="O119" s="19" t="n">
        <f aca="false">IF(Tiers!$B$18="ja",Tiers!$B$20,N119)</f>
        <v>0.5</v>
      </c>
      <c r="P119" s="15" t="n">
        <f aca="false">ROUNDUP(G119/(1-O119),0)-0.05</f>
        <v>99.95</v>
      </c>
      <c r="Q119" s="19" t="n">
        <f aca="false">IFERROR(1-G119/P119,0)</f>
        <v>0.500250125062531</v>
      </c>
      <c r="R119" s="14" t="n">
        <v>33</v>
      </c>
    </row>
    <row r="120" customFormat="false" ht="15" hidden="false" customHeight="false" outlineLevel="0" collapsed="false">
      <c r="A120" s="14" t="s">
        <v>289</v>
      </c>
      <c r="B120" s="14" t="s">
        <v>290</v>
      </c>
      <c r="C120" s="14" t="s">
        <v>12</v>
      </c>
      <c r="D120" s="15" t="n">
        <v>54.95</v>
      </c>
      <c r="E120" s="15" t="n">
        <f aca="false">IFERROR(INDEX(Tiers!$B$4:$B$15,MATCH(C120,Tiers!$A$4:$A$15,0)),D120)</f>
        <v>49.95</v>
      </c>
      <c r="F120" s="16"/>
      <c r="G120" s="17" t="n">
        <f aca="false">IF(F120="",E120,F120)</f>
        <v>49.95</v>
      </c>
      <c r="H120" s="18" t="n">
        <f aca="false">G120-D120</f>
        <v>-5</v>
      </c>
      <c r="I120" s="19" t="n">
        <f aca="false">IFERROR((G120-D120)/D120,0)</f>
        <v>-0.0909918107370337</v>
      </c>
      <c r="J120" s="14" t="str">
        <f aca="false">IF(G120&gt;D120,"Omhoog",IF(G120&lt;D120,"Omlaag","Gelijk"))</f>
        <v>Omlaag</v>
      </c>
      <c r="K120" s="20" t="str">
        <f aca="false">IF(ABS(I120)&gt;=0.2,"controleren","")</f>
        <v/>
      </c>
      <c r="L120" s="21" t="n">
        <f aca="false">G120*Tiers!$B$19</f>
        <v>31.013955</v>
      </c>
      <c r="M120" s="15" t="n">
        <v>99.91</v>
      </c>
      <c r="N120" s="19" t="n">
        <f aca="false">IFERROR(1-D120/M120,0)</f>
        <v>0.450005004504054</v>
      </c>
      <c r="O120" s="19" t="n">
        <f aca="false">IF(Tiers!$B$18="ja",Tiers!$B$20,N120)</f>
        <v>0.450005004504054</v>
      </c>
      <c r="P120" s="15" t="n">
        <f aca="false">ROUNDUP(G120/(1-O120),0)-0.05</f>
        <v>90.95</v>
      </c>
      <c r="Q120" s="19" t="n">
        <f aca="false">IFERROR(1-G120/P120,0)</f>
        <v>0.450797141286421</v>
      </c>
      <c r="R120" s="14" t="n">
        <v>36</v>
      </c>
    </row>
    <row r="121" customFormat="false" ht="15" hidden="false" customHeight="false" outlineLevel="0" collapsed="false">
      <c r="A121" s="14" t="s">
        <v>291</v>
      </c>
      <c r="B121" s="14" t="s">
        <v>292</v>
      </c>
      <c r="C121" s="14" t="s">
        <v>12</v>
      </c>
      <c r="D121" s="15" t="n">
        <v>54.95</v>
      </c>
      <c r="E121" s="15" t="n">
        <f aca="false">IFERROR(INDEX(Tiers!$B$4:$B$15,MATCH(C121,Tiers!$A$4:$A$15,0)),D121)</f>
        <v>49.95</v>
      </c>
      <c r="F121" s="16"/>
      <c r="G121" s="17" t="n">
        <f aca="false">IF(F121="",E121,F121)</f>
        <v>49.95</v>
      </c>
      <c r="H121" s="18" t="n">
        <f aca="false">G121-D121</f>
        <v>-5</v>
      </c>
      <c r="I121" s="19" t="n">
        <f aca="false">IFERROR((G121-D121)/D121,0)</f>
        <v>-0.0909918107370337</v>
      </c>
      <c r="J121" s="14" t="str">
        <f aca="false">IF(G121&gt;D121,"Omhoog",IF(G121&lt;D121,"Omlaag","Gelijk"))</f>
        <v>Omlaag</v>
      </c>
      <c r="K121" s="20" t="str">
        <f aca="false">IF(ABS(I121)&gt;=0.2,"controleren","")</f>
        <v/>
      </c>
      <c r="L121" s="21" t="n">
        <f aca="false">G121*Tiers!$B$19</f>
        <v>31.013955</v>
      </c>
      <c r="M121" s="15" t="n">
        <v>109.9</v>
      </c>
      <c r="N121" s="19" t="n">
        <f aca="false">IFERROR(1-D121/M121,0)</f>
        <v>0.5</v>
      </c>
      <c r="O121" s="19" t="n">
        <f aca="false">IF(Tiers!$B$18="ja",Tiers!$B$20,N121)</f>
        <v>0.5</v>
      </c>
      <c r="P121" s="15" t="n">
        <f aca="false">ROUNDUP(G121/(1-O121),0)-0.05</f>
        <v>99.95</v>
      </c>
      <c r="Q121" s="19" t="n">
        <f aca="false">IFERROR(1-G121/P121,0)</f>
        <v>0.500250125062531</v>
      </c>
      <c r="R121" s="14" t="n">
        <v>52</v>
      </c>
    </row>
    <row r="122" customFormat="false" ht="15" hidden="false" customHeight="false" outlineLevel="0" collapsed="false">
      <c r="A122" s="14" t="s">
        <v>293</v>
      </c>
      <c r="B122" s="14" t="s">
        <v>294</v>
      </c>
      <c r="C122" s="14" t="s">
        <v>12</v>
      </c>
      <c r="D122" s="15" t="n">
        <v>54.95</v>
      </c>
      <c r="E122" s="15" t="n">
        <f aca="false">IFERROR(INDEX(Tiers!$B$4:$B$15,MATCH(C122,Tiers!$A$4:$A$15,0)),D122)</f>
        <v>49.95</v>
      </c>
      <c r="F122" s="16"/>
      <c r="G122" s="17" t="n">
        <f aca="false">IF(F122="",E122,F122)</f>
        <v>49.95</v>
      </c>
      <c r="H122" s="18" t="n">
        <f aca="false">G122-D122</f>
        <v>-5</v>
      </c>
      <c r="I122" s="19" t="n">
        <f aca="false">IFERROR((G122-D122)/D122,0)</f>
        <v>-0.0909918107370337</v>
      </c>
      <c r="J122" s="14" t="str">
        <f aca="false">IF(G122&gt;D122,"Omhoog",IF(G122&lt;D122,"Omlaag","Gelijk"))</f>
        <v>Omlaag</v>
      </c>
      <c r="K122" s="20" t="str">
        <f aca="false">IF(ABS(I122)&gt;=0.2,"controleren","")</f>
        <v/>
      </c>
      <c r="L122" s="21" t="n">
        <f aca="false">G122*Tiers!$B$19</f>
        <v>31.013955</v>
      </c>
      <c r="M122" s="15" t="n">
        <v>99.91</v>
      </c>
      <c r="N122" s="19" t="n">
        <f aca="false">IFERROR(1-D122/M122,0)</f>
        <v>0.450005004504054</v>
      </c>
      <c r="O122" s="19" t="n">
        <f aca="false">IF(Tiers!$B$18="ja",Tiers!$B$20,N122)</f>
        <v>0.450005004504054</v>
      </c>
      <c r="P122" s="15" t="n">
        <f aca="false">ROUNDUP(G122/(1-O122),0)-0.05</f>
        <v>90.95</v>
      </c>
      <c r="Q122" s="19" t="n">
        <f aca="false">IFERROR(1-G122/P122,0)</f>
        <v>0.450797141286421</v>
      </c>
      <c r="R122" s="14" t="n">
        <v>70</v>
      </c>
    </row>
    <row r="123" customFormat="false" ht="15" hidden="false" customHeight="false" outlineLevel="0" collapsed="false">
      <c r="A123" s="14" t="s">
        <v>295</v>
      </c>
      <c r="B123" s="14" t="s">
        <v>296</v>
      </c>
      <c r="C123" s="14" t="s">
        <v>12</v>
      </c>
      <c r="D123" s="15" t="n">
        <v>54.95</v>
      </c>
      <c r="E123" s="15" t="n">
        <f aca="false">IFERROR(INDEX(Tiers!$B$4:$B$15,MATCH(C123,Tiers!$A$4:$A$15,0)),D123)</f>
        <v>49.95</v>
      </c>
      <c r="F123" s="16"/>
      <c r="G123" s="17" t="n">
        <f aca="false">IF(F123="",E123,F123)</f>
        <v>49.95</v>
      </c>
      <c r="H123" s="18" t="n">
        <f aca="false">G123-D123</f>
        <v>-5</v>
      </c>
      <c r="I123" s="19" t="n">
        <f aca="false">IFERROR((G123-D123)/D123,0)</f>
        <v>-0.0909918107370337</v>
      </c>
      <c r="J123" s="14" t="str">
        <f aca="false">IF(G123&gt;D123,"Omhoog",IF(G123&lt;D123,"Omlaag","Gelijk"))</f>
        <v>Omlaag</v>
      </c>
      <c r="K123" s="20" t="str">
        <f aca="false">IF(ABS(I123)&gt;=0.2,"controleren","")</f>
        <v/>
      </c>
      <c r="L123" s="21" t="n">
        <f aca="false">G123*Tiers!$B$19</f>
        <v>31.013955</v>
      </c>
      <c r="M123" s="15" t="n">
        <v>91.58</v>
      </c>
      <c r="N123" s="19" t="n">
        <f aca="false">IFERROR(1-D123/M123,0)</f>
        <v>0.399978161170561</v>
      </c>
      <c r="O123" s="19" t="n">
        <f aca="false">IF(Tiers!$B$18="ja",Tiers!$B$20,N123)</f>
        <v>0.399978161170561</v>
      </c>
      <c r="P123" s="15" t="n">
        <f aca="false">ROUNDUP(G123/(1-O123),0)-0.05</f>
        <v>83.95</v>
      </c>
      <c r="Q123" s="19" t="n">
        <f aca="false">IFERROR(1-G123/P123,0)</f>
        <v>0.405002977963073</v>
      </c>
      <c r="R123" s="14" t="n">
        <v>42</v>
      </c>
    </row>
    <row r="124" customFormat="false" ht="15" hidden="false" customHeight="false" outlineLevel="0" collapsed="false">
      <c r="A124" s="14" t="s">
        <v>297</v>
      </c>
      <c r="B124" s="14" t="s">
        <v>298</v>
      </c>
      <c r="C124" s="14" t="s">
        <v>12</v>
      </c>
      <c r="D124" s="15" t="n">
        <v>54.95</v>
      </c>
      <c r="E124" s="15" t="n">
        <f aca="false">IFERROR(INDEX(Tiers!$B$4:$B$15,MATCH(C124,Tiers!$A$4:$A$15,0)),D124)</f>
        <v>49.95</v>
      </c>
      <c r="F124" s="16"/>
      <c r="G124" s="17" t="n">
        <f aca="false">IF(F124="",E124,F124)</f>
        <v>49.95</v>
      </c>
      <c r="H124" s="18" t="n">
        <f aca="false">G124-D124</f>
        <v>-5</v>
      </c>
      <c r="I124" s="19" t="n">
        <f aca="false">IFERROR((G124-D124)/D124,0)</f>
        <v>-0.0909918107370337</v>
      </c>
      <c r="J124" s="14" t="str">
        <f aca="false">IF(G124&gt;D124,"Omhoog",IF(G124&lt;D124,"Omlaag","Gelijk"))</f>
        <v>Omlaag</v>
      </c>
      <c r="K124" s="20" t="str">
        <f aca="false">IF(ABS(I124)&gt;=0.2,"controleren","")</f>
        <v/>
      </c>
      <c r="L124" s="21" t="n">
        <f aca="false">G124*Tiers!$B$19</f>
        <v>31.013955</v>
      </c>
      <c r="M124" s="15" t="n">
        <v>91.58</v>
      </c>
      <c r="N124" s="19" t="n">
        <f aca="false">IFERROR(1-D124/M124,0)</f>
        <v>0.399978161170561</v>
      </c>
      <c r="O124" s="19" t="n">
        <f aca="false">IF(Tiers!$B$18="ja",Tiers!$B$20,N124)</f>
        <v>0.399978161170561</v>
      </c>
      <c r="P124" s="15" t="n">
        <f aca="false">ROUNDUP(G124/(1-O124),0)-0.05</f>
        <v>83.95</v>
      </c>
      <c r="Q124" s="19" t="n">
        <f aca="false">IFERROR(1-G124/P124,0)</f>
        <v>0.405002977963073</v>
      </c>
      <c r="R124" s="14" t="n">
        <v>36</v>
      </c>
    </row>
    <row r="125" customFormat="false" ht="15" hidden="false" customHeight="false" outlineLevel="0" collapsed="false">
      <c r="A125" s="14" t="s">
        <v>299</v>
      </c>
      <c r="B125" s="14" t="s">
        <v>300</v>
      </c>
      <c r="C125" s="14" t="s">
        <v>12</v>
      </c>
      <c r="D125" s="15" t="n">
        <v>54.95</v>
      </c>
      <c r="E125" s="15" t="n">
        <f aca="false">IFERROR(INDEX(Tiers!$B$4:$B$15,MATCH(C125,Tiers!$A$4:$A$15,0)),D125)</f>
        <v>49.95</v>
      </c>
      <c r="F125" s="16"/>
      <c r="G125" s="17" t="n">
        <f aca="false">IF(F125="",E125,F125)</f>
        <v>49.95</v>
      </c>
      <c r="H125" s="18" t="n">
        <f aca="false">G125-D125</f>
        <v>-5</v>
      </c>
      <c r="I125" s="19" t="n">
        <f aca="false">IFERROR((G125-D125)/D125,0)</f>
        <v>-0.0909918107370337</v>
      </c>
      <c r="J125" s="14" t="str">
        <f aca="false">IF(G125&gt;D125,"Omhoog",IF(G125&lt;D125,"Omlaag","Gelijk"))</f>
        <v>Omlaag</v>
      </c>
      <c r="K125" s="20" t="str">
        <f aca="false">IF(ABS(I125)&gt;=0.2,"controleren","")</f>
        <v/>
      </c>
      <c r="L125" s="21" t="n">
        <f aca="false">G125*Tiers!$B$19</f>
        <v>31.013955</v>
      </c>
      <c r="M125" s="15" t="n">
        <v>99.91</v>
      </c>
      <c r="N125" s="19" t="n">
        <f aca="false">IFERROR(1-D125/M125,0)</f>
        <v>0.450005004504054</v>
      </c>
      <c r="O125" s="19" t="n">
        <f aca="false">IF(Tiers!$B$18="ja",Tiers!$B$20,N125)</f>
        <v>0.450005004504054</v>
      </c>
      <c r="P125" s="15" t="n">
        <f aca="false">ROUNDUP(G125/(1-O125),0)-0.05</f>
        <v>90.95</v>
      </c>
      <c r="Q125" s="19" t="n">
        <f aca="false">IFERROR(1-G125/P125,0)</f>
        <v>0.450797141286421</v>
      </c>
      <c r="R125" s="14" t="n">
        <v>30</v>
      </c>
    </row>
    <row r="126" customFormat="false" ht="15" hidden="false" customHeight="false" outlineLevel="0" collapsed="false">
      <c r="A126" s="14" t="s">
        <v>301</v>
      </c>
      <c r="B126" s="14" t="s">
        <v>302</v>
      </c>
      <c r="C126" s="14" t="s">
        <v>12</v>
      </c>
      <c r="D126" s="15" t="n">
        <v>54.95</v>
      </c>
      <c r="E126" s="15" t="n">
        <f aca="false">IFERROR(INDEX(Tiers!$B$4:$B$15,MATCH(C126,Tiers!$A$4:$A$15,0)),D126)</f>
        <v>49.95</v>
      </c>
      <c r="F126" s="16"/>
      <c r="G126" s="17" t="n">
        <f aca="false">IF(F126="",E126,F126)</f>
        <v>49.95</v>
      </c>
      <c r="H126" s="18" t="n">
        <f aca="false">G126-D126</f>
        <v>-5</v>
      </c>
      <c r="I126" s="19" t="n">
        <f aca="false">IFERROR((G126-D126)/D126,0)</f>
        <v>-0.0909918107370337</v>
      </c>
      <c r="J126" s="14" t="str">
        <f aca="false">IF(G126&gt;D126,"Omhoog",IF(G126&lt;D126,"Omlaag","Gelijk"))</f>
        <v>Omlaag</v>
      </c>
      <c r="K126" s="20" t="str">
        <f aca="false">IF(ABS(I126)&gt;=0.2,"controleren","")</f>
        <v/>
      </c>
      <c r="L126" s="21" t="n">
        <f aca="false">G126*Tiers!$B$19</f>
        <v>31.013955</v>
      </c>
      <c r="M126" s="15" t="n">
        <v>91.58</v>
      </c>
      <c r="N126" s="19" t="n">
        <f aca="false">IFERROR(1-D126/M126,0)</f>
        <v>0.399978161170561</v>
      </c>
      <c r="O126" s="19" t="n">
        <f aca="false">IF(Tiers!$B$18="ja",Tiers!$B$20,N126)</f>
        <v>0.399978161170561</v>
      </c>
      <c r="P126" s="15" t="n">
        <f aca="false">ROUNDUP(G126/(1-O126),0)-0.05</f>
        <v>83.95</v>
      </c>
      <c r="Q126" s="19" t="n">
        <f aca="false">IFERROR(1-G126/P126,0)</f>
        <v>0.405002977963073</v>
      </c>
      <c r="R126" s="14" t="n">
        <v>40</v>
      </c>
    </row>
    <row r="127" customFormat="false" ht="15" hidden="false" customHeight="false" outlineLevel="0" collapsed="false">
      <c r="A127" s="14" t="s">
        <v>303</v>
      </c>
      <c r="B127" s="14" t="s">
        <v>304</v>
      </c>
      <c r="C127" s="14" t="s">
        <v>12</v>
      </c>
      <c r="D127" s="15" t="n">
        <v>54.95</v>
      </c>
      <c r="E127" s="15" t="n">
        <f aca="false">IFERROR(INDEX(Tiers!$B$4:$B$15,MATCH(C127,Tiers!$A$4:$A$15,0)),D127)</f>
        <v>49.95</v>
      </c>
      <c r="F127" s="16"/>
      <c r="G127" s="17" t="n">
        <f aca="false">IF(F127="",E127,F127)</f>
        <v>49.95</v>
      </c>
      <c r="H127" s="18" t="n">
        <f aca="false">G127-D127</f>
        <v>-5</v>
      </c>
      <c r="I127" s="19" t="n">
        <f aca="false">IFERROR((G127-D127)/D127,0)</f>
        <v>-0.0909918107370337</v>
      </c>
      <c r="J127" s="14" t="str">
        <f aca="false">IF(G127&gt;D127,"Omhoog",IF(G127&lt;D127,"Omlaag","Gelijk"))</f>
        <v>Omlaag</v>
      </c>
      <c r="K127" s="20" t="str">
        <f aca="false">IF(ABS(I127)&gt;=0.2,"controleren","")</f>
        <v/>
      </c>
      <c r="L127" s="21" t="n">
        <f aca="false">G127*Tiers!$B$19</f>
        <v>31.013955</v>
      </c>
      <c r="M127" s="15" t="n">
        <v>109.9</v>
      </c>
      <c r="N127" s="19" t="n">
        <f aca="false">IFERROR(1-D127/M127,0)</f>
        <v>0.5</v>
      </c>
      <c r="O127" s="19" t="n">
        <f aca="false">IF(Tiers!$B$18="ja",Tiers!$B$20,N127)</f>
        <v>0.5</v>
      </c>
      <c r="P127" s="15" t="n">
        <f aca="false">ROUNDUP(G127/(1-O127),0)-0.05</f>
        <v>99.95</v>
      </c>
      <c r="Q127" s="19" t="n">
        <f aca="false">IFERROR(1-G127/P127,0)</f>
        <v>0.500250125062531</v>
      </c>
      <c r="R127" s="14" t="n">
        <v>90</v>
      </c>
    </row>
    <row r="128" customFormat="false" ht="15" hidden="false" customHeight="false" outlineLevel="0" collapsed="false">
      <c r="A128" s="14" t="s">
        <v>305</v>
      </c>
      <c r="B128" s="14" t="s">
        <v>306</v>
      </c>
      <c r="C128" s="14" t="s">
        <v>12</v>
      </c>
      <c r="D128" s="15" t="n">
        <v>54.95</v>
      </c>
      <c r="E128" s="15" t="n">
        <f aca="false">IFERROR(INDEX(Tiers!$B$4:$B$15,MATCH(C128,Tiers!$A$4:$A$15,0)),D128)</f>
        <v>49.95</v>
      </c>
      <c r="F128" s="16"/>
      <c r="G128" s="17" t="n">
        <f aca="false">IF(F128="",E128,F128)</f>
        <v>49.95</v>
      </c>
      <c r="H128" s="18" t="n">
        <f aca="false">G128-D128</f>
        <v>-5</v>
      </c>
      <c r="I128" s="19" t="n">
        <f aca="false">IFERROR((G128-D128)/D128,0)</f>
        <v>-0.0909918107370337</v>
      </c>
      <c r="J128" s="14" t="str">
        <f aca="false">IF(G128&gt;D128,"Omhoog",IF(G128&lt;D128,"Omlaag","Gelijk"))</f>
        <v>Omlaag</v>
      </c>
      <c r="K128" s="20" t="str">
        <f aca="false">IF(ABS(I128)&gt;=0.2,"controleren","")</f>
        <v/>
      </c>
      <c r="L128" s="21" t="n">
        <f aca="false">G128*Tiers!$B$19</f>
        <v>31.013955</v>
      </c>
      <c r="M128" s="15" t="n">
        <v>99.91</v>
      </c>
      <c r="N128" s="19" t="n">
        <f aca="false">IFERROR(1-D128/M128,0)</f>
        <v>0.450005004504054</v>
      </c>
      <c r="O128" s="19" t="n">
        <f aca="false">IF(Tiers!$B$18="ja",Tiers!$B$20,N128)</f>
        <v>0.450005004504054</v>
      </c>
      <c r="P128" s="15" t="n">
        <f aca="false">ROUNDUP(G128/(1-O128),0)-0.05</f>
        <v>90.95</v>
      </c>
      <c r="Q128" s="19" t="n">
        <f aca="false">IFERROR(1-G128/P128,0)</f>
        <v>0.450797141286421</v>
      </c>
      <c r="R128" s="14" t="n">
        <v>20</v>
      </c>
    </row>
    <row r="129" customFormat="false" ht="15" hidden="false" customHeight="false" outlineLevel="0" collapsed="false">
      <c r="A129" s="14" t="s">
        <v>307</v>
      </c>
      <c r="B129" s="14" t="s">
        <v>308</v>
      </c>
      <c r="C129" s="14" t="s">
        <v>12</v>
      </c>
      <c r="D129" s="15" t="n">
        <v>54.95</v>
      </c>
      <c r="E129" s="15" t="n">
        <f aca="false">IFERROR(INDEX(Tiers!$B$4:$B$15,MATCH(C129,Tiers!$A$4:$A$15,0)),D129)</f>
        <v>49.95</v>
      </c>
      <c r="F129" s="16"/>
      <c r="G129" s="17" t="n">
        <f aca="false">IF(F129="",E129,F129)</f>
        <v>49.95</v>
      </c>
      <c r="H129" s="18" t="n">
        <f aca="false">G129-D129</f>
        <v>-5</v>
      </c>
      <c r="I129" s="19" t="n">
        <f aca="false">IFERROR((G129-D129)/D129,0)</f>
        <v>-0.0909918107370337</v>
      </c>
      <c r="J129" s="14" t="str">
        <f aca="false">IF(G129&gt;D129,"Omhoog",IF(G129&lt;D129,"Omlaag","Gelijk"))</f>
        <v>Omlaag</v>
      </c>
      <c r="K129" s="20" t="str">
        <f aca="false">IF(ABS(I129)&gt;=0.2,"controleren","")</f>
        <v/>
      </c>
      <c r="L129" s="21" t="n">
        <f aca="false">G129*Tiers!$B$19</f>
        <v>31.013955</v>
      </c>
      <c r="M129" s="15" t="n">
        <v>99.91</v>
      </c>
      <c r="N129" s="19" t="n">
        <f aca="false">IFERROR(1-D129/M129,0)</f>
        <v>0.450005004504054</v>
      </c>
      <c r="O129" s="19" t="n">
        <f aca="false">IF(Tiers!$B$18="ja",Tiers!$B$20,N129)</f>
        <v>0.450005004504054</v>
      </c>
      <c r="P129" s="15" t="n">
        <f aca="false">ROUNDUP(G129/(1-O129),0)-0.05</f>
        <v>90.95</v>
      </c>
      <c r="Q129" s="19" t="n">
        <f aca="false">IFERROR(1-G129/P129,0)</f>
        <v>0.450797141286421</v>
      </c>
      <c r="R129" s="14" t="n">
        <v>75</v>
      </c>
    </row>
    <row r="130" customFormat="false" ht="15" hidden="false" customHeight="false" outlineLevel="0" collapsed="false">
      <c r="A130" s="14" t="s">
        <v>309</v>
      </c>
      <c r="B130" s="14" t="s">
        <v>310</v>
      </c>
      <c r="C130" s="14" t="s">
        <v>12</v>
      </c>
      <c r="D130" s="15" t="n">
        <v>54.95</v>
      </c>
      <c r="E130" s="15" t="n">
        <f aca="false">IFERROR(INDEX(Tiers!$B$4:$B$15,MATCH(C130,Tiers!$A$4:$A$15,0)),D130)</f>
        <v>49.95</v>
      </c>
      <c r="F130" s="16"/>
      <c r="G130" s="17" t="n">
        <f aca="false">IF(F130="",E130,F130)</f>
        <v>49.95</v>
      </c>
      <c r="H130" s="18" t="n">
        <f aca="false">G130-D130</f>
        <v>-5</v>
      </c>
      <c r="I130" s="19" t="n">
        <f aca="false">IFERROR((G130-D130)/D130,0)</f>
        <v>-0.0909918107370337</v>
      </c>
      <c r="J130" s="14" t="str">
        <f aca="false">IF(G130&gt;D130,"Omhoog",IF(G130&lt;D130,"Omlaag","Gelijk"))</f>
        <v>Omlaag</v>
      </c>
      <c r="K130" s="20" t="str">
        <f aca="false">IF(ABS(I130)&gt;=0.2,"controleren","")</f>
        <v/>
      </c>
      <c r="L130" s="21" t="n">
        <f aca="false">G130*Tiers!$B$19</f>
        <v>31.013955</v>
      </c>
      <c r="M130" s="15" t="n">
        <v>91.58</v>
      </c>
      <c r="N130" s="19" t="n">
        <f aca="false">IFERROR(1-D130/M130,0)</f>
        <v>0.399978161170561</v>
      </c>
      <c r="O130" s="19" t="n">
        <f aca="false">IF(Tiers!$B$18="ja",Tiers!$B$20,N130)</f>
        <v>0.399978161170561</v>
      </c>
      <c r="P130" s="15" t="n">
        <f aca="false">ROUNDUP(G130/(1-O130),0)-0.05</f>
        <v>83.95</v>
      </c>
      <c r="Q130" s="19" t="n">
        <f aca="false">IFERROR(1-G130/P130,0)</f>
        <v>0.405002977963073</v>
      </c>
      <c r="R130" s="14" t="n">
        <v>51</v>
      </c>
    </row>
    <row r="131" customFormat="false" ht="15" hidden="false" customHeight="false" outlineLevel="0" collapsed="false">
      <c r="A131" s="14" t="s">
        <v>311</v>
      </c>
      <c r="B131" s="14" t="s">
        <v>312</v>
      </c>
      <c r="C131" s="14" t="s">
        <v>12</v>
      </c>
      <c r="D131" s="15" t="n">
        <v>54.95</v>
      </c>
      <c r="E131" s="15" t="n">
        <f aca="false">IFERROR(INDEX(Tiers!$B$4:$B$15,MATCH(C131,Tiers!$A$4:$A$15,0)),D131)</f>
        <v>49.95</v>
      </c>
      <c r="F131" s="16"/>
      <c r="G131" s="17" t="n">
        <f aca="false">IF(F131="",E131,F131)</f>
        <v>49.95</v>
      </c>
      <c r="H131" s="18" t="n">
        <f aca="false">G131-D131</f>
        <v>-5</v>
      </c>
      <c r="I131" s="19" t="n">
        <f aca="false">IFERROR((G131-D131)/D131,0)</f>
        <v>-0.0909918107370337</v>
      </c>
      <c r="J131" s="14" t="str">
        <f aca="false">IF(G131&gt;D131,"Omhoog",IF(G131&lt;D131,"Omlaag","Gelijk"))</f>
        <v>Omlaag</v>
      </c>
      <c r="K131" s="20" t="str">
        <f aca="false">IF(ABS(I131)&gt;=0.2,"controleren","")</f>
        <v/>
      </c>
      <c r="L131" s="21" t="n">
        <f aca="false">G131*Tiers!$B$19</f>
        <v>31.013955</v>
      </c>
      <c r="M131" s="15" t="n">
        <v>109.9</v>
      </c>
      <c r="N131" s="19" t="n">
        <f aca="false">IFERROR(1-D131/M131,0)</f>
        <v>0.5</v>
      </c>
      <c r="O131" s="19" t="n">
        <f aca="false">IF(Tiers!$B$18="ja",Tiers!$B$20,N131)</f>
        <v>0.5</v>
      </c>
      <c r="P131" s="15" t="n">
        <f aca="false">ROUNDUP(G131/(1-O131),0)-0.05</f>
        <v>99.95</v>
      </c>
      <c r="Q131" s="19" t="n">
        <f aca="false">IFERROR(1-G131/P131,0)</f>
        <v>0.500250125062531</v>
      </c>
      <c r="R131" s="14" t="n">
        <v>24</v>
      </c>
    </row>
    <row r="132" customFormat="false" ht="15" hidden="false" customHeight="false" outlineLevel="0" collapsed="false">
      <c r="A132" s="14" t="s">
        <v>313</v>
      </c>
      <c r="B132" s="14" t="s">
        <v>314</v>
      </c>
      <c r="C132" s="14" t="s">
        <v>12</v>
      </c>
      <c r="D132" s="15" t="n">
        <v>54.95</v>
      </c>
      <c r="E132" s="15" t="n">
        <f aca="false">IFERROR(INDEX(Tiers!$B$4:$B$15,MATCH(C132,Tiers!$A$4:$A$15,0)),D132)</f>
        <v>49.95</v>
      </c>
      <c r="F132" s="16"/>
      <c r="G132" s="17" t="n">
        <f aca="false">IF(F132="",E132,F132)</f>
        <v>49.95</v>
      </c>
      <c r="H132" s="18" t="n">
        <f aca="false">G132-D132</f>
        <v>-5</v>
      </c>
      <c r="I132" s="19" t="n">
        <f aca="false">IFERROR((G132-D132)/D132,0)</f>
        <v>-0.0909918107370337</v>
      </c>
      <c r="J132" s="14" t="str">
        <f aca="false">IF(G132&gt;D132,"Omhoog",IF(G132&lt;D132,"Omlaag","Gelijk"))</f>
        <v>Omlaag</v>
      </c>
      <c r="K132" s="20" t="str">
        <f aca="false">IF(ABS(I132)&gt;=0.2,"controleren","")</f>
        <v/>
      </c>
      <c r="L132" s="21" t="n">
        <f aca="false">G132*Tiers!$B$19</f>
        <v>31.013955</v>
      </c>
      <c r="M132" s="15" t="n">
        <v>109.9</v>
      </c>
      <c r="N132" s="19" t="n">
        <f aca="false">IFERROR(1-D132/M132,0)</f>
        <v>0.5</v>
      </c>
      <c r="O132" s="19" t="n">
        <f aca="false">IF(Tiers!$B$18="ja",Tiers!$B$20,N132)</f>
        <v>0.5</v>
      </c>
      <c r="P132" s="15" t="n">
        <f aca="false">ROUNDUP(G132/(1-O132),0)-0.05</f>
        <v>99.95</v>
      </c>
      <c r="Q132" s="19" t="n">
        <f aca="false">IFERROR(1-G132/P132,0)</f>
        <v>0.500250125062531</v>
      </c>
      <c r="R132" s="14" t="n">
        <v>45</v>
      </c>
    </row>
    <row r="133" customFormat="false" ht="15" hidden="false" customHeight="false" outlineLevel="0" collapsed="false">
      <c r="A133" s="14" t="s">
        <v>315</v>
      </c>
      <c r="B133" s="14" t="s">
        <v>316</v>
      </c>
      <c r="C133" s="14" t="s">
        <v>12</v>
      </c>
      <c r="D133" s="15" t="n">
        <v>54.95</v>
      </c>
      <c r="E133" s="15" t="n">
        <f aca="false">IFERROR(INDEX(Tiers!$B$4:$B$15,MATCH(C133,Tiers!$A$4:$A$15,0)),D133)</f>
        <v>49.95</v>
      </c>
      <c r="F133" s="16"/>
      <c r="G133" s="17" t="n">
        <f aca="false">IF(F133="",E133,F133)</f>
        <v>49.95</v>
      </c>
      <c r="H133" s="18" t="n">
        <f aca="false">G133-D133</f>
        <v>-5</v>
      </c>
      <c r="I133" s="19" t="n">
        <f aca="false">IFERROR((G133-D133)/D133,0)</f>
        <v>-0.0909918107370337</v>
      </c>
      <c r="J133" s="14" t="str">
        <f aca="false">IF(G133&gt;D133,"Omhoog",IF(G133&lt;D133,"Omlaag","Gelijk"))</f>
        <v>Omlaag</v>
      </c>
      <c r="K133" s="20" t="str">
        <f aca="false">IF(ABS(I133)&gt;=0.2,"controleren","")</f>
        <v/>
      </c>
      <c r="L133" s="21" t="n">
        <f aca="false">G133*Tiers!$B$19</f>
        <v>31.013955</v>
      </c>
      <c r="M133" s="15" t="n">
        <v>109.9</v>
      </c>
      <c r="N133" s="19" t="n">
        <f aca="false">IFERROR(1-D133/M133,0)</f>
        <v>0.5</v>
      </c>
      <c r="O133" s="19" t="n">
        <f aca="false">IF(Tiers!$B$18="ja",Tiers!$B$20,N133)</f>
        <v>0.5</v>
      </c>
      <c r="P133" s="15" t="n">
        <f aca="false">ROUNDUP(G133/(1-O133),0)-0.05</f>
        <v>99.95</v>
      </c>
      <c r="Q133" s="19" t="n">
        <f aca="false">IFERROR(1-G133/P133,0)</f>
        <v>0.500250125062531</v>
      </c>
      <c r="R133" s="14" t="n">
        <v>72</v>
      </c>
    </row>
    <row r="134" customFormat="false" ht="15" hidden="false" customHeight="false" outlineLevel="0" collapsed="false">
      <c r="A134" s="14" t="s">
        <v>317</v>
      </c>
      <c r="B134" s="14" t="s">
        <v>318</v>
      </c>
      <c r="C134" s="14" t="s">
        <v>14</v>
      </c>
      <c r="D134" s="15" t="n">
        <v>54.95</v>
      </c>
      <c r="E134" s="15" t="n">
        <f aca="false">IFERROR(INDEX(Tiers!$B$4:$B$15,MATCH(C134,Tiers!$A$4:$A$15,0)),D134)</f>
        <v>54.95</v>
      </c>
      <c r="F134" s="16"/>
      <c r="G134" s="17" t="n">
        <f aca="false">IF(F134="",E134,F134)</f>
        <v>54.95</v>
      </c>
      <c r="H134" s="18" t="n">
        <f aca="false">G134-D134</f>
        <v>0</v>
      </c>
      <c r="I134" s="19" t="n">
        <f aca="false">IFERROR((G134-D134)/D134,0)</f>
        <v>0</v>
      </c>
      <c r="J134" s="14" t="str">
        <f aca="false">IF(G134&gt;D134,"Omhoog",IF(G134&lt;D134,"Omlaag","Gelijk"))</f>
        <v>Gelijk</v>
      </c>
      <c r="K134" s="20" t="str">
        <f aca="false">IF(ABS(I134)&gt;=0.2,"controleren","")</f>
        <v/>
      </c>
      <c r="L134" s="21" t="n">
        <f aca="false">G134*Tiers!$B$19</f>
        <v>34.118455</v>
      </c>
      <c r="M134" s="15" t="n">
        <v>91.58</v>
      </c>
      <c r="N134" s="19" t="n">
        <f aca="false">IFERROR(1-D134/M134,0)</f>
        <v>0.399978161170561</v>
      </c>
      <c r="O134" s="19" t="n">
        <f aca="false">IF(Tiers!$B$18="ja",Tiers!$B$20,N134)</f>
        <v>0.399978161170561</v>
      </c>
      <c r="P134" s="15" t="n">
        <f aca="false">ROUNDUP(G134/(1-O134),0)-0.05</f>
        <v>91.95</v>
      </c>
      <c r="Q134" s="19" t="n">
        <f aca="false">IFERROR(1-G134/P134,0)</f>
        <v>0.402392604676455</v>
      </c>
      <c r="R134" s="14" t="n">
        <v>24</v>
      </c>
    </row>
    <row r="135" customFormat="false" ht="15" hidden="false" customHeight="false" outlineLevel="0" collapsed="false">
      <c r="A135" s="14" t="s">
        <v>319</v>
      </c>
      <c r="B135" s="14" t="s">
        <v>320</v>
      </c>
      <c r="C135" s="14" t="s">
        <v>14</v>
      </c>
      <c r="D135" s="15" t="n">
        <v>54.95</v>
      </c>
      <c r="E135" s="15" t="n">
        <f aca="false">IFERROR(INDEX(Tiers!$B$4:$B$15,MATCH(C135,Tiers!$A$4:$A$15,0)),D135)</f>
        <v>54.95</v>
      </c>
      <c r="F135" s="16"/>
      <c r="G135" s="17" t="n">
        <f aca="false">IF(F135="",E135,F135)</f>
        <v>54.95</v>
      </c>
      <c r="H135" s="18" t="n">
        <f aca="false">G135-D135</f>
        <v>0</v>
      </c>
      <c r="I135" s="19" t="n">
        <f aca="false">IFERROR((G135-D135)/D135,0)</f>
        <v>0</v>
      </c>
      <c r="J135" s="14" t="str">
        <f aca="false">IF(G135&gt;D135,"Omhoog",IF(G135&lt;D135,"Omlaag","Gelijk"))</f>
        <v>Gelijk</v>
      </c>
      <c r="K135" s="20" t="str">
        <f aca="false">IF(ABS(I135)&gt;=0.2,"controleren","")</f>
        <v/>
      </c>
      <c r="L135" s="21" t="n">
        <f aca="false">G135*Tiers!$B$19</f>
        <v>34.118455</v>
      </c>
      <c r="M135" s="15" t="n">
        <v>109.9</v>
      </c>
      <c r="N135" s="19" t="n">
        <f aca="false">IFERROR(1-D135/M135,0)</f>
        <v>0.5</v>
      </c>
      <c r="O135" s="19" t="n">
        <f aca="false">IF(Tiers!$B$18="ja",Tiers!$B$20,N135)</f>
        <v>0.5</v>
      </c>
      <c r="P135" s="15" t="n">
        <f aca="false">ROUNDUP(G135/(1-O135),0)-0.05</f>
        <v>109.95</v>
      </c>
      <c r="Q135" s="19" t="n">
        <f aca="false">IFERROR(1-G135/P135,0)</f>
        <v>0.500227376080036</v>
      </c>
      <c r="R135" s="14" t="n">
        <v>30</v>
      </c>
    </row>
    <row r="136" customFormat="false" ht="15" hidden="false" customHeight="false" outlineLevel="0" collapsed="false">
      <c r="A136" s="14" t="s">
        <v>321</v>
      </c>
      <c r="B136" s="14" t="s">
        <v>322</v>
      </c>
      <c r="C136" s="14" t="s">
        <v>14</v>
      </c>
      <c r="D136" s="15" t="n">
        <v>59.95</v>
      </c>
      <c r="E136" s="15" t="n">
        <f aca="false">IFERROR(INDEX(Tiers!$B$4:$B$15,MATCH(C136,Tiers!$A$4:$A$15,0)),D136)</f>
        <v>54.95</v>
      </c>
      <c r="F136" s="16"/>
      <c r="G136" s="17" t="n">
        <f aca="false">IF(F136="",E136,F136)</f>
        <v>54.95</v>
      </c>
      <c r="H136" s="18" t="n">
        <f aca="false">G136-D136</f>
        <v>-5</v>
      </c>
      <c r="I136" s="19" t="n">
        <f aca="false">IFERROR((G136-D136)/D136,0)</f>
        <v>-0.0834028356964137</v>
      </c>
      <c r="J136" s="14" t="str">
        <f aca="false">IF(G136&gt;D136,"Omhoog",IF(G136&lt;D136,"Omlaag","Gelijk"))</f>
        <v>Omlaag</v>
      </c>
      <c r="K136" s="20" t="str">
        <f aca="false">IF(ABS(I136)&gt;=0.2,"controleren","")</f>
        <v/>
      </c>
      <c r="L136" s="21" t="n">
        <f aca="false">G136*Tiers!$B$19</f>
        <v>34.118455</v>
      </c>
      <c r="M136" s="15" t="n">
        <v>99.92</v>
      </c>
      <c r="N136" s="19" t="n">
        <f aca="false">IFERROR(1-D136/M136,0)</f>
        <v>0.40002001601281</v>
      </c>
      <c r="O136" s="19" t="n">
        <f aca="false">IF(Tiers!$B$18="ja",Tiers!$B$20,N136)</f>
        <v>0.40002001601281</v>
      </c>
      <c r="P136" s="15" t="n">
        <f aca="false">ROUNDUP(G136/(1-O136),0)-0.05</f>
        <v>91.95</v>
      </c>
      <c r="Q136" s="19" t="n">
        <f aca="false">IFERROR(1-G136/P136,0)</f>
        <v>0.402392604676455</v>
      </c>
      <c r="R136" s="14" t="n">
        <v>24</v>
      </c>
    </row>
    <row r="137" customFormat="false" ht="15" hidden="false" customHeight="false" outlineLevel="0" collapsed="false">
      <c r="A137" s="14" t="s">
        <v>323</v>
      </c>
      <c r="B137" s="14" t="s">
        <v>324</v>
      </c>
      <c r="C137" s="14" t="s">
        <v>14</v>
      </c>
      <c r="D137" s="15" t="n">
        <v>59.95</v>
      </c>
      <c r="E137" s="15" t="n">
        <f aca="false">IFERROR(INDEX(Tiers!$B$4:$B$15,MATCH(C137,Tiers!$A$4:$A$15,0)),D137)</f>
        <v>54.95</v>
      </c>
      <c r="F137" s="16"/>
      <c r="G137" s="17" t="n">
        <f aca="false">IF(F137="",E137,F137)</f>
        <v>54.95</v>
      </c>
      <c r="H137" s="18" t="n">
        <f aca="false">G137-D137</f>
        <v>-5</v>
      </c>
      <c r="I137" s="19" t="n">
        <f aca="false">IFERROR((G137-D137)/D137,0)</f>
        <v>-0.0834028356964137</v>
      </c>
      <c r="J137" s="14" t="str">
        <f aca="false">IF(G137&gt;D137,"Omhoog",IF(G137&lt;D137,"Omlaag","Gelijk"))</f>
        <v>Omlaag</v>
      </c>
      <c r="K137" s="20" t="str">
        <f aca="false">IF(ABS(I137)&gt;=0.2,"controleren","")</f>
        <v/>
      </c>
      <c r="L137" s="21" t="n">
        <f aca="false">G137*Tiers!$B$19</f>
        <v>34.118455</v>
      </c>
      <c r="M137" s="15" t="n">
        <v>99.92</v>
      </c>
      <c r="N137" s="19" t="n">
        <f aca="false">IFERROR(1-D137/M137,0)</f>
        <v>0.40002001601281</v>
      </c>
      <c r="O137" s="19" t="n">
        <f aca="false">IF(Tiers!$B$18="ja",Tiers!$B$20,N137)</f>
        <v>0.40002001601281</v>
      </c>
      <c r="P137" s="15" t="n">
        <f aca="false">ROUNDUP(G137/(1-O137),0)-0.05</f>
        <v>91.95</v>
      </c>
      <c r="Q137" s="19" t="n">
        <f aca="false">IFERROR(1-G137/P137,0)</f>
        <v>0.402392604676455</v>
      </c>
      <c r="R137" s="14" t="n">
        <v>24</v>
      </c>
    </row>
    <row r="138" customFormat="false" ht="15" hidden="false" customHeight="false" outlineLevel="0" collapsed="false">
      <c r="A138" s="14" t="s">
        <v>325</v>
      </c>
      <c r="B138" s="14" t="s">
        <v>326</v>
      </c>
      <c r="C138" s="14" t="s">
        <v>14</v>
      </c>
      <c r="D138" s="15" t="n">
        <v>44.95</v>
      </c>
      <c r="E138" s="15" t="n">
        <f aca="false">IFERROR(INDEX(Tiers!$B$4:$B$15,MATCH(C138,Tiers!$A$4:$A$15,0)),D138)</f>
        <v>54.95</v>
      </c>
      <c r="F138" s="16"/>
      <c r="G138" s="17" t="n">
        <f aca="false">IF(F138="",E138,F138)</f>
        <v>54.95</v>
      </c>
      <c r="H138" s="18" t="n">
        <f aca="false">G138-D138</f>
        <v>10</v>
      </c>
      <c r="I138" s="19" t="n">
        <f aca="false">IFERROR((G138-D138)/D138,0)</f>
        <v>0.222469410456062</v>
      </c>
      <c r="J138" s="14" t="str">
        <f aca="false">IF(G138&gt;D138,"Omhoog",IF(G138&lt;D138,"Omlaag","Gelijk"))</f>
        <v>Omhoog</v>
      </c>
      <c r="K138" s="20" t="str">
        <f aca="false">IF(ABS(I138)&gt;=0.2,"controleren","")</f>
        <v>controleren</v>
      </c>
      <c r="L138" s="21" t="n">
        <f aca="false">G138*Tiers!$B$19</f>
        <v>34.118455</v>
      </c>
      <c r="M138" s="15" t="n">
        <v>81.73</v>
      </c>
      <c r="N138" s="19" t="n">
        <f aca="false">IFERROR(1-D138/M138,0)</f>
        <v>0.450018353113912</v>
      </c>
      <c r="O138" s="19" t="n">
        <f aca="false">IF(Tiers!$B$18="ja",Tiers!$B$20,N138)</f>
        <v>0.450018353113912</v>
      </c>
      <c r="P138" s="15" t="n">
        <f aca="false">ROUNDUP(G138/(1-O138),0)-0.05</f>
        <v>99.95</v>
      </c>
      <c r="Q138" s="19" t="n">
        <f aca="false">IFERROR(1-G138/P138,0)</f>
        <v>0.450225112556278</v>
      </c>
      <c r="R138" s="14" t="n">
        <v>50</v>
      </c>
    </row>
    <row r="139" customFormat="false" ht="15" hidden="false" customHeight="false" outlineLevel="0" collapsed="false">
      <c r="A139" s="14" t="s">
        <v>327</v>
      </c>
      <c r="B139" s="14" t="s">
        <v>328</v>
      </c>
      <c r="C139" s="14" t="s">
        <v>14</v>
      </c>
      <c r="D139" s="15" t="n">
        <v>59.95</v>
      </c>
      <c r="E139" s="15" t="n">
        <f aca="false">IFERROR(INDEX(Tiers!$B$4:$B$15,MATCH(C139,Tiers!$A$4:$A$15,0)),D139)</f>
        <v>54.95</v>
      </c>
      <c r="F139" s="16"/>
      <c r="G139" s="17" t="n">
        <f aca="false">IF(F139="",E139,F139)</f>
        <v>54.95</v>
      </c>
      <c r="H139" s="18" t="n">
        <f aca="false">G139-D139</f>
        <v>-5</v>
      </c>
      <c r="I139" s="19" t="n">
        <f aca="false">IFERROR((G139-D139)/D139,0)</f>
        <v>-0.0834028356964137</v>
      </c>
      <c r="J139" s="14" t="str">
        <f aca="false">IF(G139&gt;D139,"Omhoog",IF(G139&lt;D139,"Omlaag","Gelijk"))</f>
        <v>Omlaag</v>
      </c>
      <c r="K139" s="20" t="str">
        <f aca="false">IF(ABS(I139)&gt;=0.2,"controleren","")</f>
        <v/>
      </c>
      <c r="L139" s="21" t="n">
        <f aca="false">G139*Tiers!$B$19</f>
        <v>34.118455</v>
      </c>
      <c r="M139" s="15" t="n">
        <v>109</v>
      </c>
      <c r="N139" s="19" t="n">
        <f aca="false">IFERROR(1-D139/M139,0)</f>
        <v>0.45</v>
      </c>
      <c r="O139" s="19" t="n">
        <f aca="false">IF(Tiers!$B$18="ja",Tiers!$B$20,N139)</f>
        <v>0.45</v>
      </c>
      <c r="P139" s="15" t="n">
        <f aca="false">ROUNDUP(G139/(1-O139),0)-0.05</f>
        <v>99.95</v>
      </c>
      <c r="Q139" s="19" t="n">
        <f aca="false">IFERROR(1-G139/P139,0)</f>
        <v>0.450225112556278</v>
      </c>
      <c r="R139" s="14" t="n">
        <v>6</v>
      </c>
    </row>
    <row r="140" customFormat="false" ht="15" hidden="false" customHeight="false" outlineLevel="0" collapsed="false">
      <c r="A140" s="14" t="s">
        <v>329</v>
      </c>
      <c r="B140" s="14" t="s">
        <v>330</v>
      </c>
      <c r="C140" s="14" t="s">
        <v>14</v>
      </c>
      <c r="D140" s="15" t="n">
        <v>54.95</v>
      </c>
      <c r="E140" s="15" t="n">
        <f aca="false">IFERROR(INDEX(Tiers!$B$4:$B$15,MATCH(C140,Tiers!$A$4:$A$15,0)),D140)</f>
        <v>54.95</v>
      </c>
      <c r="F140" s="16"/>
      <c r="G140" s="17" t="n">
        <f aca="false">IF(F140="",E140,F140)</f>
        <v>54.95</v>
      </c>
      <c r="H140" s="18" t="n">
        <f aca="false">G140-D140</f>
        <v>0</v>
      </c>
      <c r="I140" s="19" t="n">
        <f aca="false">IFERROR((G140-D140)/D140,0)</f>
        <v>0</v>
      </c>
      <c r="J140" s="14" t="str">
        <f aca="false">IF(G140&gt;D140,"Omhoog",IF(G140&lt;D140,"Omlaag","Gelijk"))</f>
        <v>Gelijk</v>
      </c>
      <c r="K140" s="20" t="str">
        <f aca="false">IF(ABS(I140)&gt;=0.2,"controleren","")</f>
        <v/>
      </c>
      <c r="L140" s="21" t="n">
        <f aca="false">G140*Tiers!$B$19</f>
        <v>34.118455</v>
      </c>
      <c r="M140" s="15" t="n">
        <v>91.58</v>
      </c>
      <c r="N140" s="19" t="n">
        <f aca="false">IFERROR(1-D140/M140,0)</f>
        <v>0.399978161170561</v>
      </c>
      <c r="O140" s="19" t="n">
        <f aca="false">IF(Tiers!$B$18="ja",Tiers!$B$20,N140)</f>
        <v>0.399978161170561</v>
      </c>
      <c r="P140" s="15" t="n">
        <f aca="false">ROUNDUP(G140/(1-O140),0)-0.05</f>
        <v>91.95</v>
      </c>
      <c r="Q140" s="19" t="n">
        <f aca="false">IFERROR(1-G140/P140,0)</f>
        <v>0.402392604676455</v>
      </c>
      <c r="R140" s="14" t="n">
        <v>28</v>
      </c>
    </row>
    <row r="141" customFormat="false" ht="15" hidden="false" customHeight="false" outlineLevel="0" collapsed="false">
      <c r="A141" s="14" t="s">
        <v>331</v>
      </c>
      <c r="B141" s="14" t="s">
        <v>332</v>
      </c>
      <c r="C141" s="14" t="s">
        <v>14</v>
      </c>
      <c r="D141" s="15" t="n">
        <v>59.95</v>
      </c>
      <c r="E141" s="15" t="n">
        <f aca="false">IFERROR(INDEX(Tiers!$B$4:$B$15,MATCH(C141,Tiers!$A$4:$A$15,0)),D141)</f>
        <v>54.95</v>
      </c>
      <c r="F141" s="16"/>
      <c r="G141" s="17" t="n">
        <f aca="false">IF(F141="",E141,F141)</f>
        <v>54.95</v>
      </c>
      <c r="H141" s="18" t="n">
        <f aca="false">G141-D141</f>
        <v>-5</v>
      </c>
      <c r="I141" s="19" t="n">
        <f aca="false">IFERROR((G141-D141)/D141,0)</f>
        <v>-0.0834028356964137</v>
      </c>
      <c r="J141" s="14" t="str">
        <f aca="false">IF(G141&gt;D141,"Omhoog",IF(G141&lt;D141,"Omlaag","Gelijk"))</f>
        <v>Omlaag</v>
      </c>
      <c r="K141" s="20" t="str">
        <f aca="false">IF(ABS(I141)&gt;=0.2,"controleren","")</f>
        <v/>
      </c>
      <c r="L141" s="21" t="n">
        <f aca="false">G141*Tiers!$B$19</f>
        <v>34.118455</v>
      </c>
      <c r="M141" s="15" t="n">
        <v>99.92</v>
      </c>
      <c r="N141" s="19" t="n">
        <f aca="false">IFERROR(1-D141/M141,0)</f>
        <v>0.40002001601281</v>
      </c>
      <c r="O141" s="19" t="n">
        <f aca="false">IF(Tiers!$B$18="ja",Tiers!$B$20,N141)</f>
        <v>0.40002001601281</v>
      </c>
      <c r="P141" s="15" t="n">
        <f aca="false">ROUNDUP(G141/(1-O141),0)-0.05</f>
        <v>91.95</v>
      </c>
      <c r="Q141" s="19" t="n">
        <f aca="false">IFERROR(1-G141/P141,0)</f>
        <v>0.402392604676455</v>
      </c>
      <c r="R141" s="14" t="n">
        <v>48</v>
      </c>
    </row>
    <row r="142" customFormat="false" ht="15" hidden="false" customHeight="false" outlineLevel="0" collapsed="false">
      <c r="A142" s="14" t="s">
        <v>333</v>
      </c>
      <c r="B142" s="14" t="s">
        <v>334</v>
      </c>
      <c r="C142" s="14" t="s">
        <v>14</v>
      </c>
      <c r="D142" s="15" t="n">
        <v>59.95</v>
      </c>
      <c r="E142" s="15" t="n">
        <f aca="false">IFERROR(INDEX(Tiers!$B$4:$B$15,MATCH(C142,Tiers!$A$4:$A$15,0)),D142)</f>
        <v>54.95</v>
      </c>
      <c r="F142" s="16"/>
      <c r="G142" s="17" t="n">
        <f aca="false">IF(F142="",E142,F142)</f>
        <v>54.95</v>
      </c>
      <c r="H142" s="18" t="n">
        <f aca="false">G142-D142</f>
        <v>-5</v>
      </c>
      <c r="I142" s="19" t="n">
        <f aca="false">IFERROR((G142-D142)/D142,0)</f>
        <v>-0.0834028356964137</v>
      </c>
      <c r="J142" s="14" t="str">
        <f aca="false">IF(G142&gt;D142,"Omhoog",IF(G142&lt;D142,"Omlaag","Gelijk"))</f>
        <v>Omlaag</v>
      </c>
      <c r="K142" s="20" t="str">
        <f aca="false">IF(ABS(I142)&gt;=0.2,"controleren","")</f>
        <v/>
      </c>
      <c r="L142" s="21" t="n">
        <f aca="false">G142*Tiers!$B$19</f>
        <v>34.118455</v>
      </c>
      <c r="M142" s="15" t="n">
        <v>109</v>
      </c>
      <c r="N142" s="19" t="n">
        <f aca="false">IFERROR(1-D142/M142,0)</f>
        <v>0.45</v>
      </c>
      <c r="O142" s="19" t="n">
        <f aca="false">IF(Tiers!$B$18="ja",Tiers!$B$20,N142)</f>
        <v>0.45</v>
      </c>
      <c r="P142" s="15" t="n">
        <f aca="false">ROUNDUP(G142/(1-O142),0)-0.05</f>
        <v>99.95</v>
      </c>
      <c r="Q142" s="19" t="n">
        <f aca="false">IFERROR(1-G142/P142,0)</f>
        <v>0.450225112556278</v>
      </c>
      <c r="R142" s="14" t="n">
        <v>42</v>
      </c>
    </row>
    <row r="143" customFormat="false" ht="15" hidden="false" customHeight="false" outlineLevel="0" collapsed="false">
      <c r="A143" s="14" t="s">
        <v>335</v>
      </c>
      <c r="B143" s="14" t="s">
        <v>336</v>
      </c>
      <c r="C143" s="14" t="s">
        <v>16</v>
      </c>
      <c r="D143" s="15" t="n">
        <v>59.95</v>
      </c>
      <c r="E143" s="15" t="n">
        <f aca="false">IFERROR(INDEX(Tiers!$B$4:$B$15,MATCH(C143,Tiers!$A$4:$A$15,0)),D143)</f>
        <v>54.95</v>
      </c>
      <c r="F143" s="16"/>
      <c r="G143" s="17" t="n">
        <f aca="false">IF(F143="",E143,F143)</f>
        <v>54.95</v>
      </c>
      <c r="H143" s="18" t="n">
        <f aca="false">G143-D143</f>
        <v>-5</v>
      </c>
      <c r="I143" s="19" t="n">
        <f aca="false">IFERROR((G143-D143)/D143,0)</f>
        <v>-0.0834028356964137</v>
      </c>
      <c r="J143" s="14" t="str">
        <f aca="false">IF(G143&gt;D143,"Omhoog",IF(G143&lt;D143,"Omlaag","Gelijk"))</f>
        <v>Omlaag</v>
      </c>
      <c r="K143" s="20" t="str">
        <f aca="false">IF(ABS(I143)&gt;=0.2,"controleren","")</f>
        <v/>
      </c>
      <c r="L143" s="21" t="n">
        <f aca="false">G143*Tiers!$B$19</f>
        <v>34.118455</v>
      </c>
      <c r="M143" s="15" t="n">
        <v>119.9</v>
      </c>
      <c r="N143" s="19" t="n">
        <f aca="false">IFERROR(1-D143/M143,0)</f>
        <v>0.5</v>
      </c>
      <c r="O143" s="19" t="n">
        <f aca="false">IF(Tiers!$B$18="ja",Tiers!$B$20,N143)</f>
        <v>0.5</v>
      </c>
      <c r="P143" s="15" t="n">
        <f aca="false">ROUNDUP(G143/(1-O143),0)-0.05</f>
        <v>109.95</v>
      </c>
      <c r="Q143" s="19" t="n">
        <f aca="false">IFERROR(1-G143/P143,0)</f>
        <v>0.500227376080036</v>
      </c>
      <c r="R143" s="14" t="n">
        <v>20</v>
      </c>
    </row>
    <row r="144" customFormat="false" ht="15" hidden="false" customHeight="false" outlineLevel="0" collapsed="false">
      <c r="A144" s="14" t="s">
        <v>337</v>
      </c>
      <c r="B144" s="14" t="s">
        <v>338</v>
      </c>
      <c r="C144" s="14" t="s">
        <v>16</v>
      </c>
      <c r="D144" s="15" t="n">
        <v>59.95</v>
      </c>
      <c r="E144" s="15" t="n">
        <f aca="false">IFERROR(INDEX(Tiers!$B$4:$B$15,MATCH(C144,Tiers!$A$4:$A$15,0)),D144)</f>
        <v>54.95</v>
      </c>
      <c r="F144" s="16"/>
      <c r="G144" s="17" t="n">
        <f aca="false">IF(F144="",E144,F144)</f>
        <v>54.95</v>
      </c>
      <c r="H144" s="18" t="n">
        <f aca="false">G144-D144</f>
        <v>-5</v>
      </c>
      <c r="I144" s="19" t="n">
        <f aca="false">IFERROR((G144-D144)/D144,0)</f>
        <v>-0.0834028356964137</v>
      </c>
      <c r="J144" s="14" t="str">
        <f aca="false">IF(G144&gt;D144,"Omhoog",IF(G144&lt;D144,"Omlaag","Gelijk"))</f>
        <v>Omlaag</v>
      </c>
      <c r="K144" s="20" t="str">
        <f aca="false">IF(ABS(I144)&gt;=0.2,"controleren","")</f>
        <v/>
      </c>
      <c r="L144" s="21" t="n">
        <f aca="false">G144*Tiers!$B$19</f>
        <v>34.118455</v>
      </c>
      <c r="M144" s="15" t="n">
        <v>109</v>
      </c>
      <c r="N144" s="19" t="n">
        <f aca="false">IFERROR(1-D144/M144,0)</f>
        <v>0.45</v>
      </c>
      <c r="O144" s="19" t="n">
        <f aca="false">IF(Tiers!$B$18="ja",Tiers!$B$20,N144)</f>
        <v>0.45</v>
      </c>
      <c r="P144" s="15" t="n">
        <f aca="false">ROUNDUP(G144/(1-O144),0)-0.05</f>
        <v>99.95</v>
      </c>
      <c r="Q144" s="19" t="n">
        <f aca="false">IFERROR(1-G144/P144,0)</f>
        <v>0.450225112556278</v>
      </c>
      <c r="R144" s="14" t="n">
        <v>8</v>
      </c>
    </row>
    <row r="145" customFormat="false" ht="15" hidden="false" customHeight="false" outlineLevel="0" collapsed="false">
      <c r="A145" s="14" t="s">
        <v>339</v>
      </c>
      <c r="B145" s="14" t="s">
        <v>340</v>
      </c>
      <c r="C145" s="14" t="s">
        <v>16</v>
      </c>
      <c r="D145" s="15" t="n">
        <v>59.95</v>
      </c>
      <c r="E145" s="15" t="n">
        <f aca="false">IFERROR(INDEX(Tiers!$B$4:$B$15,MATCH(C145,Tiers!$A$4:$A$15,0)),D145)</f>
        <v>54.95</v>
      </c>
      <c r="F145" s="16"/>
      <c r="G145" s="17" t="n">
        <f aca="false">IF(F145="",E145,F145)</f>
        <v>54.95</v>
      </c>
      <c r="H145" s="18" t="n">
        <f aca="false">G145-D145</f>
        <v>-5</v>
      </c>
      <c r="I145" s="19" t="n">
        <f aca="false">IFERROR((G145-D145)/D145,0)</f>
        <v>-0.0834028356964137</v>
      </c>
      <c r="J145" s="14" t="str">
        <f aca="false">IF(G145&gt;D145,"Omhoog",IF(G145&lt;D145,"Omlaag","Gelijk"))</f>
        <v>Omlaag</v>
      </c>
      <c r="K145" s="20" t="str">
        <f aca="false">IF(ABS(I145)&gt;=0.2,"controleren","")</f>
        <v/>
      </c>
      <c r="L145" s="21" t="n">
        <f aca="false">G145*Tiers!$B$19</f>
        <v>34.118455</v>
      </c>
      <c r="M145" s="15" t="n">
        <v>119.9</v>
      </c>
      <c r="N145" s="19" t="n">
        <f aca="false">IFERROR(1-D145/M145,0)</f>
        <v>0.5</v>
      </c>
      <c r="O145" s="19" t="n">
        <f aca="false">IF(Tiers!$B$18="ja",Tiers!$B$20,N145)</f>
        <v>0.5</v>
      </c>
      <c r="P145" s="15" t="n">
        <f aca="false">ROUNDUP(G145/(1-O145),0)-0.05</f>
        <v>109.95</v>
      </c>
      <c r="Q145" s="19" t="n">
        <f aca="false">IFERROR(1-G145/P145,0)</f>
        <v>0.500227376080036</v>
      </c>
      <c r="R145" s="14" t="n">
        <v>25</v>
      </c>
    </row>
    <row r="146" customFormat="false" ht="15" hidden="false" customHeight="false" outlineLevel="0" collapsed="false">
      <c r="A146" s="14" t="s">
        <v>341</v>
      </c>
      <c r="B146" s="14" t="s">
        <v>342</v>
      </c>
      <c r="C146" s="14" t="s">
        <v>16</v>
      </c>
      <c r="D146" s="15" t="n">
        <v>59.95</v>
      </c>
      <c r="E146" s="15" t="n">
        <f aca="false">IFERROR(INDEX(Tiers!$B$4:$B$15,MATCH(C146,Tiers!$A$4:$A$15,0)),D146)</f>
        <v>54.95</v>
      </c>
      <c r="F146" s="16"/>
      <c r="G146" s="17" t="n">
        <f aca="false">IF(F146="",E146,F146)</f>
        <v>54.95</v>
      </c>
      <c r="H146" s="18" t="n">
        <f aca="false">G146-D146</f>
        <v>-5</v>
      </c>
      <c r="I146" s="19" t="n">
        <f aca="false">IFERROR((G146-D146)/D146,0)</f>
        <v>-0.0834028356964137</v>
      </c>
      <c r="J146" s="14" t="str">
        <f aca="false">IF(G146&gt;D146,"Omhoog",IF(G146&lt;D146,"Omlaag","Gelijk"))</f>
        <v>Omlaag</v>
      </c>
      <c r="K146" s="20" t="str">
        <f aca="false">IF(ABS(I146)&gt;=0.2,"controleren","")</f>
        <v/>
      </c>
      <c r="L146" s="21" t="n">
        <f aca="false">G146*Tiers!$B$19</f>
        <v>34.118455</v>
      </c>
      <c r="M146" s="15" t="n">
        <v>99.92</v>
      </c>
      <c r="N146" s="19" t="n">
        <f aca="false">IFERROR(1-D146/M146,0)</f>
        <v>0.40002001601281</v>
      </c>
      <c r="O146" s="19" t="n">
        <f aca="false">IF(Tiers!$B$18="ja",Tiers!$B$20,N146)</f>
        <v>0.40002001601281</v>
      </c>
      <c r="P146" s="15" t="n">
        <f aca="false">ROUNDUP(G146/(1-O146),0)-0.05</f>
        <v>91.95</v>
      </c>
      <c r="Q146" s="19" t="n">
        <f aca="false">IFERROR(1-G146/P146,0)</f>
        <v>0.402392604676455</v>
      </c>
      <c r="R146" s="14" t="n">
        <v>6</v>
      </c>
    </row>
    <row r="147" customFormat="false" ht="15" hidden="false" customHeight="false" outlineLevel="0" collapsed="false">
      <c r="A147" s="14" t="s">
        <v>343</v>
      </c>
      <c r="B147" s="14" t="s">
        <v>344</v>
      </c>
      <c r="C147" s="14" t="s">
        <v>16</v>
      </c>
      <c r="D147" s="15" t="n">
        <v>59.95</v>
      </c>
      <c r="E147" s="15" t="n">
        <f aca="false">IFERROR(INDEX(Tiers!$B$4:$B$15,MATCH(C147,Tiers!$A$4:$A$15,0)),D147)</f>
        <v>54.95</v>
      </c>
      <c r="F147" s="16"/>
      <c r="G147" s="17" t="n">
        <f aca="false">IF(F147="",E147,F147)</f>
        <v>54.95</v>
      </c>
      <c r="H147" s="18" t="n">
        <f aca="false">G147-D147</f>
        <v>-5</v>
      </c>
      <c r="I147" s="19" t="n">
        <f aca="false">IFERROR((G147-D147)/D147,0)</f>
        <v>-0.0834028356964137</v>
      </c>
      <c r="J147" s="14" t="str">
        <f aca="false">IF(G147&gt;D147,"Omhoog",IF(G147&lt;D147,"Omlaag","Gelijk"))</f>
        <v>Omlaag</v>
      </c>
      <c r="K147" s="20" t="str">
        <f aca="false">IF(ABS(I147)&gt;=0.2,"controleren","")</f>
        <v/>
      </c>
      <c r="L147" s="21" t="n">
        <f aca="false">G147*Tiers!$B$19</f>
        <v>34.118455</v>
      </c>
      <c r="M147" s="15" t="n">
        <v>119.9</v>
      </c>
      <c r="N147" s="19" t="n">
        <f aca="false">IFERROR(1-D147/M147,0)</f>
        <v>0.5</v>
      </c>
      <c r="O147" s="19" t="n">
        <f aca="false">IF(Tiers!$B$18="ja",Tiers!$B$20,N147)</f>
        <v>0.5</v>
      </c>
      <c r="P147" s="15" t="n">
        <f aca="false">ROUNDUP(G147/(1-O147),0)-0.05</f>
        <v>109.95</v>
      </c>
      <c r="Q147" s="19" t="n">
        <f aca="false">IFERROR(1-G147/P147,0)</f>
        <v>0.500227376080036</v>
      </c>
      <c r="R147" s="14" t="n">
        <v>8</v>
      </c>
    </row>
    <row r="148" customFormat="false" ht="15" hidden="false" customHeight="false" outlineLevel="0" collapsed="false">
      <c r="A148" s="14" t="s">
        <v>345</v>
      </c>
      <c r="B148" s="14" t="s">
        <v>346</v>
      </c>
      <c r="C148" s="14" t="s">
        <v>16</v>
      </c>
      <c r="D148" s="15" t="n">
        <v>59.95</v>
      </c>
      <c r="E148" s="15" t="n">
        <f aca="false">IFERROR(INDEX(Tiers!$B$4:$B$15,MATCH(C148,Tiers!$A$4:$A$15,0)),D148)</f>
        <v>54.95</v>
      </c>
      <c r="F148" s="16"/>
      <c r="G148" s="17" t="n">
        <f aca="false">IF(F148="",E148,F148)</f>
        <v>54.95</v>
      </c>
      <c r="H148" s="18" t="n">
        <f aca="false">G148-D148</f>
        <v>-5</v>
      </c>
      <c r="I148" s="19" t="n">
        <f aca="false">IFERROR((G148-D148)/D148,0)</f>
        <v>-0.0834028356964137</v>
      </c>
      <c r="J148" s="14" t="str">
        <f aca="false">IF(G148&gt;D148,"Omhoog",IF(G148&lt;D148,"Omlaag","Gelijk"))</f>
        <v>Omlaag</v>
      </c>
      <c r="K148" s="20" t="str">
        <f aca="false">IF(ABS(I148)&gt;=0.2,"controleren","")</f>
        <v/>
      </c>
      <c r="L148" s="21" t="n">
        <f aca="false">G148*Tiers!$B$19</f>
        <v>34.118455</v>
      </c>
      <c r="M148" s="15" t="n">
        <v>109</v>
      </c>
      <c r="N148" s="19" t="n">
        <f aca="false">IFERROR(1-D148/M148,0)</f>
        <v>0.45</v>
      </c>
      <c r="O148" s="19" t="n">
        <f aca="false">IF(Tiers!$B$18="ja",Tiers!$B$20,N148)</f>
        <v>0.45</v>
      </c>
      <c r="P148" s="15" t="n">
        <f aca="false">ROUNDUP(G148/(1-O148),0)-0.05</f>
        <v>99.95</v>
      </c>
      <c r="Q148" s="19" t="n">
        <f aca="false">IFERROR(1-G148/P148,0)</f>
        <v>0.450225112556278</v>
      </c>
      <c r="R148" s="14" t="n">
        <v>35</v>
      </c>
    </row>
    <row r="149" customFormat="false" ht="15" hidden="false" customHeight="false" outlineLevel="0" collapsed="false">
      <c r="A149" s="14" t="s">
        <v>347</v>
      </c>
      <c r="B149" s="14" t="s">
        <v>348</v>
      </c>
      <c r="C149" s="14" t="s">
        <v>18</v>
      </c>
      <c r="D149" s="15" t="n">
        <v>64.95</v>
      </c>
      <c r="E149" s="15" t="n">
        <f aca="false">IFERROR(INDEX(Tiers!$B$4:$B$15,MATCH(C149,Tiers!$A$4:$A$15,0)),D149)</f>
        <v>54.95</v>
      </c>
      <c r="F149" s="16"/>
      <c r="G149" s="17" t="n">
        <f aca="false">IF(F149="",E149,F149)</f>
        <v>54.95</v>
      </c>
      <c r="H149" s="18" t="n">
        <f aca="false">G149-D149</f>
        <v>-10</v>
      </c>
      <c r="I149" s="19" t="n">
        <f aca="false">IFERROR((G149-D149)/D149,0)</f>
        <v>-0.153964588144727</v>
      </c>
      <c r="J149" s="14" t="str">
        <f aca="false">IF(G149&gt;D149,"Omhoog",IF(G149&lt;D149,"Omlaag","Gelijk"))</f>
        <v>Omlaag</v>
      </c>
      <c r="K149" s="20" t="str">
        <f aca="false">IF(ABS(I149)&gt;=0.2,"controleren","")</f>
        <v/>
      </c>
      <c r="L149" s="21" t="n">
        <f aca="false">G149*Tiers!$B$19</f>
        <v>34.118455</v>
      </c>
      <c r="M149" s="15" t="n">
        <v>118.09</v>
      </c>
      <c r="N149" s="19" t="n">
        <f aca="false">IFERROR(1-D149/M149,0)</f>
        <v>0.449995765941231</v>
      </c>
      <c r="O149" s="19" t="n">
        <f aca="false">IF(Tiers!$B$18="ja",Tiers!$B$20,N149)</f>
        <v>0.449995765941231</v>
      </c>
      <c r="P149" s="15" t="n">
        <f aca="false">ROUNDUP(G149/(1-O149),0)-0.05</f>
        <v>99.95</v>
      </c>
      <c r="Q149" s="19" t="n">
        <f aca="false">IFERROR(1-G149/P149,0)</f>
        <v>0.450225112556278</v>
      </c>
      <c r="R149" s="14" t="n">
        <v>24</v>
      </c>
    </row>
    <row r="150" customFormat="false" ht="15" hidden="false" customHeight="false" outlineLevel="0" collapsed="false">
      <c r="A150" s="14" t="s">
        <v>349</v>
      </c>
      <c r="B150" s="14" t="s">
        <v>350</v>
      </c>
      <c r="C150" s="14" t="s">
        <v>18</v>
      </c>
      <c r="D150" s="15" t="n">
        <v>64.95</v>
      </c>
      <c r="E150" s="15" t="n">
        <f aca="false">IFERROR(INDEX(Tiers!$B$4:$B$15,MATCH(C150,Tiers!$A$4:$A$15,0)),D150)</f>
        <v>54.95</v>
      </c>
      <c r="F150" s="16"/>
      <c r="G150" s="17" t="n">
        <f aca="false">IF(F150="",E150,F150)</f>
        <v>54.95</v>
      </c>
      <c r="H150" s="18" t="n">
        <f aca="false">G150-D150</f>
        <v>-10</v>
      </c>
      <c r="I150" s="19" t="n">
        <f aca="false">IFERROR((G150-D150)/D150,0)</f>
        <v>-0.153964588144727</v>
      </c>
      <c r="J150" s="14" t="str">
        <f aca="false">IF(G150&gt;D150,"Omhoog",IF(G150&lt;D150,"Omlaag","Gelijk"))</f>
        <v>Omlaag</v>
      </c>
      <c r="K150" s="20" t="str">
        <f aca="false">IF(ABS(I150)&gt;=0.2,"controleren","")</f>
        <v/>
      </c>
      <c r="L150" s="21" t="n">
        <f aca="false">G150*Tiers!$B$19</f>
        <v>34.118455</v>
      </c>
      <c r="M150" s="15" t="n">
        <v>108.25</v>
      </c>
      <c r="N150" s="19" t="n">
        <f aca="false">IFERROR(1-D150/M150,0)</f>
        <v>0.4</v>
      </c>
      <c r="O150" s="19" t="n">
        <f aca="false">IF(Tiers!$B$18="ja",Tiers!$B$20,N150)</f>
        <v>0.4</v>
      </c>
      <c r="P150" s="15" t="n">
        <f aca="false">ROUNDUP(G150/(1-O150),0)-0.05</f>
        <v>91.95</v>
      </c>
      <c r="Q150" s="19" t="n">
        <f aca="false">IFERROR(1-G150/P150,0)</f>
        <v>0.402392604676455</v>
      </c>
      <c r="R150" s="14" t="n">
        <v>26</v>
      </c>
    </row>
    <row r="151" customFormat="false" ht="15" hidden="false" customHeight="false" outlineLevel="0" collapsed="false">
      <c r="A151" s="14" t="s">
        <v>351</v>
      </c>
      <c r="B151" s="14" t="s">
        <v>352</v>
      </c>
      <c r="C151" s="14" t="s">
        <v>18</v>
      </c>
      <c r="D151" s="15" t="n">
        <v>64.95</v>
      </c>
      <c r="E151" s="15" t="n">
        <f aca="false">IFERROR(INDEX(Tiers!$B$4:$B$15,MATCH(C151,Tiers!$A$4:$A$15,0)),D151)</f>
        <v>54.95</v>
      </c>
      <c r="F151" s="16"/>
      <c r="G151" s="17" t="n">
        <f aca="false">IF(F151="",E151,F151)</f>
        <v>54.95</v>
      </c>
      <c r="H151" s="18" t="n">
        <f aca="false">G151-D151</f>
        <v>-10</v>
      </c>
      <c r="I151" s="19" t="n">
        <f aca="false">IFERROR((G151-D151)/D151,0)</f>
        <v>-0.153964588144727</v>
      </c>
      <c r="J151" s="14" t="str">
        <f aca="false">IF(G151&gt;D151,"Omhoog",IF(G151&lt;D151,"Omlaag","Gelijk"))</f>
        <v>Omlaag</v>
      </c>
      <c r="K151" s="20" t="str">
        <f aca="false">IF(ABS(I151)&gt;=0.2,"controleren","")</f>
        <v/>
      </c>
      <c r="L151" s="21" t="n">
        <f aca="false">G151*Tiers!$B$19</f>
        <v>34.118455</v>
      </c>
      <c r="M151" s="15" t="n">
        <v>108.25</v>
      </c>
      <c r="N151" s="19" t="n">
        <f aca="false">IFERROR(1-D151/M151,0)</f>
        <v>0.4</v>
      </c>
      <c r="O151" s="19" t="n">
        <f aca="false">IF(Tiers!$B$18="ja",Tiers!$B$20,N151)</f>
        <v>0.4</v>
      </c>
      <c r="P151" s="15" t="n">
        <f aca="false">ROUNDUP(G151/(1-O151),0)-0.05</f>
        <v>91.95</v>
      </c>
      <c r="Q151" s="19" t="n">
        <f aca="false">IFERROR(1-G151/P151,0)</f>
        <v>0.402392604676455</v>
      </c>
      <c r="R151" s="14" t="n">
        <v>48</v>
      </c>
    </row>
    <row r="152" customFormat="false" ht="15" hidden="false" customHeight="false" outlineLevel="0" collapsed="false">
      <c r="A152" s="14" t="s">
        <v>353</v>
      </c>
      <c r="B152" s="14" t="s">
        <v>354</v>
      </c>
      <c r="C152" s="14" t="s">
        <v>18</v>
      </c>
      <c r="D152" s="15" t="n">
        <v>64.95</v>
      </c>
      <c r="E152" s="15" t="n">
        <f aca="false">IFERROR(INDEX(Tiers!$B$4:$B$15,MATCH(C152,Tiers!$A$4:$A$15,0)),D152)</f>
        <v>54.95</v>
      </c>
      <c r="F152" s="16"/>
      <c r="G152" s="17" t="n">
        <f aca="false">IF(F152="",E152,F152)</f>
        <v>54.95</v>
      </c>
      <c r="H152" s="18" t="n">
        <f aca="false">G152-D152</f>
        <v>-10</v>
      </c>
      <c r="I152" s="19" t="n">
        <f aca="false">IFERROR((G152-D152)/D152,0)</f>
        <v>-0.153964588144727</v>
      </c>
      <c r="J152" s="14" t="str">
        <f aca="false">IF(G152&gt;D152,"Omhoog",IF(G152&lt;D152,"Omlaag","Gelijk"))</f>
        <v>Omlaag</v>
      </c>
      <c r="K152" s="20" t="str">
        <f aca="false">IF(ABS(I152)&gt;=0.2,"controleren","")</f>
        <v/>
      </c>
      <c r="L152" s="21" t="n">
        <f aca="false">G152*Tiers!$B$19</f>
        <v>34.118455</v>
      </c>
      <c r="M152" s="15" t="n">
        <v>129.9</v>
      </c>
      <c r="N152" s="19" t="n">
        <f aca="false">IFERROR(1-D152/M152,0)</f>
        <v>0.5</v>
      </c>
      <c r="O152" s="19" t="n">
        <f aca="false">IF(Tiers!$B$18="ja",Tiers!$B$20,N152)</f>
        <v>0.5</v>
      </c>
      <c r="P152" s="15" t="n">
        <f aca="false">ROUNDUP(G152/(1-O152),0)-0.05</f>
        <v>109.95</v>
      </c>
      <c r="Q152" s="19" t="n">
        <f aca="false">IFERROR(1-G152/P152,0)</f>
        <v>0.500227376080036</v>
      </c>
      <c r="R152" s="14" t="n">
        <v>84</v>
      </c>
    </row>
    <row r="153" customFormat="false" ht="15" hidden="false" customHeight="false" outlineLevel="0" collapsed="false">
      <c r="A153" s="14" t="s">
        <v>355</v>
      </c>
      <c r="B153" s="14" t="s">
        <v>356</v>
      </c>
      <c r="C153" s="14" t="s">
        <v>18</v>
      </c>
      <c r="D153" s="15" t="n">
        <v>64.95</v>
      </c>
      <c r="E153" s="15" t="n">
        <f aca="false">IFERROR(INDEX(Tiers!$B$4:$B$15,MATCH(C153,Tiers!$A$4:$A$15,0)),D153)</f>
        <v>54.95</v>
      </c>
      <c r="F153" s="16"/>
      <c r="G153" s="17" t="n">
        <f aca="false">IF(F153="",E153,F153)</f>
        <v>54.95</v>
      </c>
      <c r="H153" s="18" t="n">
        <f aca="false">G153-D153</f>
        <v>-10</v>
      </c>
      <c r="I153" s="19" t="n">
        <f aca="false">IFERROR((G153-D153)/D153,0)</f>
        <v>-0.153964588144727</v>
      </c>
      <c r="J153" s="14" t="str">
        <f aca="false">IF(G153&gt;D153,"Omhoog",IF(G153&lt;D153,"Omlaag","Gelijk"))</f>
        <v>Omlaag</v>
      </c>
      <c r="K153" s="20" t="str">
        <f aca="false">IF(ABS(I153)&gt;=0.2,"controleren","")</f>
        <v/>
      </c>
      <c r="L153" s="21" t="n">
        <f aca="false">G153*Tiers!$B$19</f>
        <v>34.118455</v>
      </c>
      <c r="M153" s="15" t="n">
        <v>129.9</v>
      </c>
      <c r="N153" s="19" t="n">
        <f aca="false">IFERROR(1-D153/M153,0)</f>
        <v>0.5</v>
      </c>
      <c r="O153" s="19" t="n">
        <f aca="false">IF(Tiers!$B$18="ja",Tiers!$B$20,N153)</f>
        <v>0.5</v>
      </c>
      <c r="P153" s="15" t="n">
        <f aca="false">ROUNDUP(G153/(1-O153),0)-0.05</f>
        <v>109.95</v>
      </c>
      <c r="Q153" s="19" t="n">
        <f aca="false">IFERROR(1-G153/P153,0)</f>
        <v>0.500227376080036</v>
      </c>
      <c r="R153" s="14" t="n">
        <v>30</v>
      </c>
    </row>
    <row r="154" customFormat="false" ht="15" hidden="false" customHeight="false" outlineLevel="0" collapsed="false">
      <c r="A154" s="14" t="s">
        <v>357</v>
      </c>
      <c r="B154" s="14" t="s">
        <v>358</v>
      </c>
      <c r="C154" s="14" t="s">
        <v>18</v>
      </c>
      <c r="D154" s="15" t="n">
        <v>59.95</v>
      </c>
      <c r="E154" s="15" t="n">
        <f aca="false">IFERROR(INDEX(Tiers!$B$4:$B$15,MATCH(C154,Tiers!$A$4:$A$15,0)),D154)</f>
        <v>54.95</v>
      </c>
      <c r="F154" s="16"/>
      <c r="G154" s="17" t="n">
        <f aca="false">IF(F154="",E154,F154)</f>
        <v>54.95</v>
      </c>
      <c r="H154" s="18" t="n">
        <f aca="false">G154-D154</f>
        <v>-5</v>
      </c>
      <c r="I154" s="19" t="n">
        <f aca="false">IFERROR((G154-D154)/D154,0)</f>
        <v>-0.0834028356964137</v>
      </c>
      <c r="J154" s="14" t="str">
        <f aca="false">IF(G154&gt;D154,"Omhoog",IF(G154&lt;D154,"Omlaag","Gelijk"))</f>
        <v>Omlaag</v>
      </c>
      <c r="K154" s="20" t="str">
        <f aca="false">IF(ABS(I154)&gt;=0.2,"controleren","")</f>
        <v/>
      </c>
      <c r="L154" s="21" t="n">
        <f aca="false">G154*Tiers!$B$19</f>
        <v>34.118455</v>
      </c>
      <c r="M154" s="15" t="n">
        <v>119.9</v>
      </c>
      <c r="N154" s="19" t="n">
        <f aca="false">IFERROR(1-D154/M154,0)</f>
        <v>0.5</v>
      </c>
      <c r="O154" s="19" t="n">
        <f aca="false">IF(Tiers!$B$18="ja",Tiers!$B$20,N154)</f>
        <v>0.5</v>
      </c>
      <c r="P154" s="15" t="n">
        <f aca="false">ROUNDUP(G154/(1-O154),0)-0.05</f>
        <v>109.95</v>
      </c>
      <c r="Q154" s="19" t="n">
        <f aca="false">IFERROR(1-G154/P154,0)</f>
        <v>0.500227376080036</v>
      </c>
      <c r="R154" s="14" t="n">
        <v>22</v>
      </c>
    </row>
    <row r="155" customFormat="false" ht="15" hidden="false" customHeight="false" outlineLevel="0" collapsed="false">
      <c r="A155" s="14" t="s">
        <v>359</v>
      </c>
      <c r="B155" s="14" t="s">
        <v>360</v>
      </c>
      <c r="C155" s="14" t="s">
        <v>18</v>
      </c>
      <c r="D155" s="15" t="n">
        <v>59.95</v>
      </c>
      <c r="E155" s="15" t="n">
        <f aca="false">IFERROR(INDEX(Tiers!$B$4:$B$15,MATCH(C155,Tiers!$A$4:$A$15,0)),D155)</f>
        <v>54.95</v>
      </c>
      <c r="F155" s="16"/>
      <c r="G155" s="17" t="n">
        <f aca="false">IF(F155="",E155,F155)</f>
        <v>54.95</v>
      </c>
      <c r="H155" s="18" t="n">
        <f aca="false">G155-D155</f>
        <v>-5</v>
      </c>
      <c r="I155" s="19" t="n">
        <f aca="false">IFERROR((G155-D155)/D155,0)</f>
        <v>-0.0834028356964137</v>
      </c>
      <c r="J155" s="14" t="str">
        <f aca="false">IF(G155&gt;D155,"Omhoog",IF(G155&lt;D155,"Omlaag","Gelijk"))</f>
        <v>Omlaag</v>
      </c>
      <c r="K155" s="20" t="str">
        <f aca="false">IF(ABS(I155)&gt;=0.2,"controleren","")</f>
        <v/>
      </c>
      <c r="L155" s="21" t="n">
        <f aca="false">G155*Tiers!$B$19</f>
        <v>34.118455</v>
      </c>
      <c r="M155" s="15" t="n">
        <v>119.9</v>
      </c>
      <c r="N155" s="19" t="n">
        <f aca="false">IFERROR(1-D155/M155,0)</f>
        <v>0.5</v>
      </c>
      <c r="O155" s="19" t="n">
        <f aca="false">IF(Tiers!$B$18="ja",Tiers!$B$20,N155)</f>
        <v>0.5</v>
      </c>
      <c r="P155" s="15" t="n">
        <f aca="false">ROUNDUP(G155/(1-O155),0)-0.05</f>
        <v>109.95</v>
      </c>
      <c r="Q155" s="19" t="n">
        <f aca="false">IFERROR(1-G155/P155,0)</f>
        <v>0.500227376080036</v>
      </c>
      <c r="R155" s="14" t="n">
        <v>48</v>
      </c>
    </row>
    <row r="156" customFormat="false" ht="15" hidden="false" customHeight="false" outlineLevel="0" collapsed="false">
      <c r="A156" s="14" t="s">
        <v>361</v>
      </c>
      <c r="B156" s="14" t="s">
        <v>362</v>
      </c>
      <c r="C156" s="14" t="s">
        <v>18</v>
      </c>
      <c r="D156" s="15" t="n">
        <v>54.95</v>
      </c>
      <c r="E156" s="15" t="n">
        <f aca="false">IFERROR(INDEX(Tiers!$B$4:$B$15,MATCH(C156,Tiers!$A$4:$A$15,0)),D156)</f>
        <v>54.95</v>
      </c>
      <c r="F156" s="16"/>
      <c r="G156" s="17" t="n">
        <f aca="false">IF(F156="",E156,F156)</f>
        <v>54.95</v>
      </c>
      <c r="H156" s="18" t="n">
        <f aca="false">G156-D156</f>
        <v>0</v>
      </c>
      <c r="I156" s="19" t="n">
        <f aca="false">IFERROR((G156-D156)/D156,0)</f>
        <v>0</v>
      </c>
      <c r="J156" s="14" t="str">
        <f aca="false">IF(G156&gt;D156,"Omhoog",IF(G156&lt;D156,"Omlaag","Gelijk"))</f>
        <v>Gelijk</v>
      </c>
      <c r="K156" s="20" t="str">
        <f aca="false">IF(ABS(I156)&gt;=0.2,"controleren","")</f>
        <v/>
      </c>
      <c r="L156" s="21" t="n">
        <f aca="false">G156*Tiers!$B$19</f>
        <v>34.118455</v>
      </c>
      <c r="M156" s="15" t="n">
        <v>109.9</v>
      </c>
      <c r="N156" s="19" t="n">
        <f aca="false">IFERROR(1-D156/M156,0)</f>
        <v>0.5</v>
      </c>
      <c r="O156" s="19" t="n">
        <f aca="false">IF(Tiers!$B$18="ja",Tiers!$B$20,N156)</f>
        <v>0.5</v>
      </c>
      <c r="P156" s="15" t="n">
        <f aca="false">ROUNDUP(G156/(1-O156),0)-0.05</f>
        <v>109.95</v>
      </c>
      <c r="Q156" s="19" t="n">
        <f aca="false">IFERROR(1-G156/P156,0)</f>
        <v>0.500227376080036</v>
      </c>
      <c r="R156" s="14" t="n">
        <v>72</v>
      </c>
    </row>
    <row r="157" customFormat="false" ht="15" hidden="false" customHeight="false" outlineLevel="0" collapsed="false">
      <c r="A157" s="14" t="s">
        <v>363</v>
      </c>
      <c r="B157" s="14" t="s">
        <v>364</v>
      </c>
      <c r="C157" s="14" t="s">
        <v>18</v>
      </c>
      <c r="D157" s="15" t="n">
        <v>59.95</v>
      </c>
      <c r="E157" s="15" t="n">
        <f aca="false">IFERROR(INDEX(Tiers!$B$4:$B$15,MATCH(C157,Tiers!$A$4:$A$15,0)),D157)</f>
        <v>54.95</v>
      </c>
      <c r="F157" s="16"/>
      <c r="G157" s="17" t="n">
        <f aca="false">IF(F157="",E157,F157)</f>
        <v>54.95</v>
      </c>
      <c r="H157" s="18" t="n">
        <f aca="false">G157-D157</f>
        <v>-5</v>
      </c>
      <c r="I157" s="19" t="n">
        <f aca="false">IFERROR((G157-D157)/D157,0)</f>
        <v>-0.0834028356964137</v>
      </c>
      <c r="J157" s="14" t="str">
        <f aca="false">IF(G157&gt;D157,"Omhoog",IF(G157&lt;D157,"Omlaag","Gelijk"))</f>
        <v>Omlaag</v>
      </c>
      <c r="K157" s="20" t="str">
        <f aca="false">IF(ABS(I157)&gt;=0.2,"controleren","")</f>
        <v/>
      </c>
      <c r="L157" s="21" t="n">
        <f aca="false">G157*Tiers!$B$19</f>
        <v>34.118455</v>
      </c>
      <c r="M157" s="15" t="n">
        <v>99.92</v>
      </c>
      <c r="N157" s="19" t="n">
        <f aca="false">IFERROR(1-D157/M157,0)</f>
        <v>0.40002001601281</v>
      </c>
      <c r="O157" s="19" t="n">
        <f aca="false">IF(Tiers!$B$18="ja",Tiers!$B$20,N157)</f>
        <v>0.40002001601281</v>
      </c>
      <c r="P157" s="15" t="n">
        <f aca="false">ROUNDUP(G157/(1-O157),0)-0.05</f>
        <v>91.95</v>
      </c>
      <c r="Q157" s="19" t="n">
        <f aca="false">IFERROR(1-G157/P157,0)</f>
        <v>0.402392604676455</v>
      </c>
      <c r="R157" s="14" t="n">
        <v>14</v>
      </c>
    </row>
    <row r="158" customFormat="false" ht="15" hidden="false" customHeight="false" outlineLevel="0" collapsed="false">
      <c r="A158" s="14" t="s">
        <v>365</v>
      </c>
      <c r="B158" s="14" t="s">
        <v>366</v>
      </c>
      <c r="C158" s="14" t="s">
        <v>18</v>
      </c>
      <c r="D158" s="15" t="n">
        <v>59.95</v>
      </c>
      <c r="E158" s="15" t="n">
        <f aca="false">IFERROR(INDEX(Tiers!$B$4:$B$15,MATCH(C158,Tiers!$A$4:$A$15,0)),D158)</f>
        <v>54.95</v>
      </c>
      <c r="F158" s="16"/>
      <c r="G158" s="17" t="n">
        <f aca="false">IF(F158="",E158,F158)</f>
        <v>54.95</v>
      </c>
      <c r="H158" s="18" t="n">
        <f aca="false">G158-D158</f>
        <v>-5</v>
      </c>
      <c r="I158" s="19" t="n">
        <f aca="false">IFERROR((G158-D158)/D158,0)</f>
        <v>-0.0834028356964137</v>
      </c>
      <c r="J158" s="14" t="str">
        <f aca="false">IF(G158&gt;D158,"Omhoog",IF(G158&lt;D158,"Omlaag","Gelijk"))</f>
        <v>Omlaag</v>
      </c>
      <c r="K158" s="20" t="str">
        <f aca="false">IF(ABS(I158)&gt;=0.2,"controleren","")</f>
        <v/>
      </c>
      <c r="L158" s="21" t="n">
        <f aca="false">G158*Tiers!$B$19</f>
        <v>34.118455</v>
      </c>
      <c r="M158" s="15" t="n">
        <v>99.92</v>
      </c>
      <c r="N158" s="19" t="n">
        <f aca="false">IFERROR(1-D158/M158,0)</f>
        <v>0.40002001601281</v>
      </c>
      <c r="O158" s="19" t="n">
        <f aca="false">IF(Tiers!$B$18="ja",Tiers!$B$20,N158)</f>
        <v>0.40002001601281</v>
      </c>
      <c r="P158" s="15" t="n">
        <f aca="false">ROUNDUP(G158/(1-O158),0)-0.05</f>
        <v>91.95</v>
      </c>
      <c r="Q158" s="19" t="n">
        <f aca="false">IFERROR(1-G158/P158,0)</f>
        <v>0.402392604676455</v>
      </c>
      <c r="R158" s="14" t="n">
        <v>75</v>
      </c>
    </row>
    <row r="159" customFormat="false" ht="15" hidden="false" customHeight="false" outlineLevel="0" collapsed="false">
      <c r="A159" s="14" t="s">
        <v>367</v>
      </c>
      <c r="B159" s="14" t="s">
        <v>368</v>
      </c>
      <c r="C159" s="14" t="s">
        <v>18</v>
      </c>
      <c r="D159" s="15" t="n">
        <v>59.95</v>
      </c>
      <c r="E159" s="15" t="n">
        <f aca="false">IFERROR(INDEX(Tiers!$B$4:$B$15,MATCH(C159,Tiers!$A$4:$A$15,0)),D159)</f>
        <v>54.95</v>
      </c>
      <c r="F159" s="16"/>
      <c r="G159" s="17" t="n">
        <f aca="false">IF(F159="",E159,F159)</f>
        <v>54.95</v>
      </c>
      <c r="H159" s="18" t="n">
        <f aca="false">G159-D159</f>
        <v>-5</v>
      </c>
      <c r="I159" s="19" t="n">
        <f aca="false">IFERROR((G159-D159)/D159,0)</f>
        <v>-0.0834028356964137</v>
      </c>
      <c r="J159" s="14" t="str">
        <f aca="false">IF(G159&gt;D159,"Omhoog",IF(G159&lt;D159,"Omlaag","Gelijk"))</f>
        <v>Omlaag</v>
      </c>
      <c r="K159" s="20" t="str">
        <f aca="false">IF(ABS(I159)&gt;=0.2,"controleren","")</f>
        <v/>
      </c>
      <c r="L159" s="21" t="n">
        <f aca="false">G159*Tiers!$B$19</f>
        <v>34.118455</v>
      </c>
      <c r="M159" s="15" t="n">
        <v>99.92</v>
      </c>
      <c r="N159" s="19" t="n">
        <f aca="false">IFERROR(1-D159/M159,0)</f>
        <v>0.40002001601281</v>
      </c>
      <c r="O159" s="19" t="n">
        <f aca="false">IF(Tiers!$B$18="ja",Tiers!$B$20,N159)</f>
        <v>0.40002001601281</v>
      </c>
      <c r="P159" s="15" t="n">
        <f aca="false">ROUNDUP(G159/(1-O159),0)-0.05</f>
        <v>91.95</v>
      </c>
      <c r="Q159" s="19" t="n">
        <f aca="false">IFERROR(1-G159/P159,0)</f>
        <v>0.402392604676455</v>
      </c>
      <c r="R159" s="14" t="n">
        <v>14</v>
      </c>
    </row>
    <row r="160" customFormat="false" ht="15" hidden="false" customHeight="false" outlineLevel="0" collapsed="false">
      <c r="A160" s="14" t="s">
        <v>369</v>
      </c>
      <c r="B160" s="14" t="s">
        <v>370</v>
      </c>
      <c r="C160" s="14" t="s">
        <v>18</v>
      </c>
      <c r="D160" s="15" t="n">
        <v>59.95</v>
      </c>
      <c r="E160" s="15" t="n">
        <f aca="false">IFERROR(INDEX(Tiers!$B$4:$B$15,MATCH(C160,Tiers!$A$4:$A$15,0)),D160)</f>
        <v>54.95</v>
      </c>
      <c r="F160" s="16"/>
      <c r="G160" s="17" t="n">
        <f aca="false">IF(F160="",E160,F160)</f>
        <v>54.95</v>
      </c>
      <c r="H160" s="18" t="n">
        <f aca="false">G160-D160</f>
        <v>-5</v>
      </c>
      <c r="I160" s="19" t="n">
        <f aca="false">IFERROR((G160-D160)/D160,0)</f>
        <v>-0.0834028356964137</v>
      </c>
      <c r="J160" s="14" t="str">
        <f aca="false">IF(G160&gt;D160,"Omhoog",IF(G160&lt;D160,"Omlaag","Gelijk"))</f>
        <v>Omlaag</v>
      </c>
      <c r="K160" s="20" t="str">
        <f aca="false">IF(ABS(I160)&gt;=0.2,"controleren","")</f>
        <v/>
      </c>
      <c r="L160" s="21" t="n">
        <f aca="false">G160*Tiers!$B$19</f>
        <v>34.118455</v>
      </c>
      <c r="M160" s="15" t="n">
        <v>109</v>
      </c>
      <c r="N160" s="19" t="n">
        <f aca="false">IFERROR(1-D160/M160,0)</f>
        <v>0.45</v>
      </c>
      <c r="O160" s="19" t="n">
        <f aca="false">IF(Tiers!$B$18="ja",Tiers!$B$20,N160)</f>
        <v>0.45</v>
      </c>
      <c r="P160" s="15" t="n">
        <f aca="false">ROUNDUP(G160/(1-O160),0)-0.05</f>
        <v>99.95</v>
      </c>
      <c r="Q160" s="19" t="n">
        <f aca="false">IFERROR(1-G160/P160,0)</f>
        <v>0.450225112556278</v>
      </c>
      <c r="R160" s="14" t="n">
        <v>70</v>
      </c>
    </row>
    <row r="161" customFormat="false" ht="15" hidden="false" customHeight="false" outlineLevel="0" collapsed="false">
      <c r="A161" s="14" t="s">
        <v>371</v>
      </c>
      <c r="B161" s="14" t="s">
        <v>372</v>
      </c>
      <c r="C161" s="14" t="s">
        <v>18</v>
      </c>
      <c r="D161" s="15" t="n">
        <v>64.95</v>
      </c>
      <c r="E161" s="15" t="n">
        <f aca="false">IFERROR(INDEX(Tiers!$B$4:$B$15,MATCH(C161,Tiers!$A$4:$A$15,0)),D161)</f>
        <v>54.95</v>
      </c>
      <c r="F161" s="16"/>
      <c r="G161" s="17" t="n">
        <f aca="false">IF(F161="",E161,F161)</f>
        <v>54.95</v>
      </c>
      <c r="H161" s="18" t="n">
        <f aca="false">G161-D161</f>
        <v>-10</v>
      </c>
      <c r="I161" s="19" t="n">
        <f aca="false">IFERROR((G161-D161)/D161,0)</f>
        <v>-0.153964588144727</v>
      </c>
      <c r="J161" s="14" t="str">
        <f aca="false">IF(G161&gt;D161,"Omhoog",IF(G161&lt;D161,"Omlaag","Gelijk"))</f>
        <v>Omlaag</v>
      </c>
      <c r="K161" s="20" t="str">
        <f aca="false">IF(ABS(I161)&gt;=0.2,"controleren","")</f>
        <v/>
      </c>
      <c r="L161" s="21" t="n">
        <f aca="false">G161*Tiers!$B$19</f>
        <v>34.118455</v>
      </c>
      <c r="M161" s="15" t="n">
        <v>129.9</v>
      </c>
      <c r="N161" s="19" t="n">
        <f aca="false">IFERROR(1-D161/M161,0)</f>
        <v>0.5</v>
      </c>
      <c r="O161" s="19" t="n">
        <f aca="false">IF(Tiers!$B$18="ja",Tiers!$B$20,N161)</f>
        <v>0.5</v>
      </c>
      <c r="P161" s="15" t="n">
        <f aca="false">ROUNDUP(G161/(1-O161),0)-0.05</f>
        <v>109.95</v>
      </c>
      <c r="Q161" s="19" t="n">
        <f aca="false">IFERROR(1-G161/P161,0)</f>
        <v>0.500227376080036</v>
      </c>
      <c r="R161" s="14" t="n">
        <v>39</v>
      </c>
    </row>
    <row r="162" customFormat="false" ht="15" hidden="false" customHeight="false" outlineLevel="0" collapsed="false">
      <c r="A162" s="14" t="s">
        <v>373</v>
      </c>
      <c r="B162" s="14" t="s">
        <v>374</v>
      </c>
      <c r="C162" s="14" t="s">
        <v>18</v>
      </c>
      <c r="D162" s="15" t="n">
        <v>64.95</v>
      </c>
      <c r="E162" s="15" t="n">
        <f aca="false">IFERROR(INDEX(Tiers!$B$4:$B$15,MATCH(C162,Tiers!$A$4:$A$15,0)),D162)</f>
        <v>54.95</v>
      </c>
      <c r="F162" s="16"/>
      <c r="G162" s="17" t="n">
        <f aca="false">IF(F162="",E162,F162)</f>
        <v>54.95</v>
      </c>
      <c r="H162" s="18" t="n">
        <f aca="false">G162-D162</f>
        <v>-10</v>
      </c>
      <c r="I162" s="19" t="n">
        <f aca="false">IFERROR((G162-D162)/D162,0)</f>
        <v>-0.153964588144727</v>
      </c>
      <c r="J162" s="14" t="str">
        <f aca="false">IF(G162&gt;D162,"Omhoog",IF(G162&lt;D162,"Omlaag","Gelijk"))</f>
        <v>Omlaag</v>
      </c>
      <c r="K162" s="20" t="str">
        <f aca="false">IF(ABS(I162)&gt;=0.2,"controleren","")</f>
        <v/>
      </c>
      <c r="L162" s="21" t="n">
        <f aca="false">G162*Tiers!$B$19</f>
        <v>34.118455</v>
      </c>
      <c r="M162" s="15" t="n">
        <v>129.9</v>
      </c>
      <c r="N162" s="19" t="n">
        <f aca="false">IFERROR(1-D162/M162,0)</f>
        <v>0.5</v>
      </c>
      <c r="O162" s="19" t="n">
        <f aca="false">IF(Tiers!$B$18="ja",Tiers!$B$20,N162)</f>
        <v>0.5</v>
      </c>
      <c r="P162" s="15" t="n">
        <f aca="false">ROUNDUP(G162/(1-O162),0)-0.05</f>
        <v>109.95</v>
      </c>
      <c r="Q162" s="19" t="n">
        <f aca="false">IFERROR(1-G162/P162,0)</f>
        <v>0.500227376080036</v>
      </c>
      <c r="R162" s="14" t="n">
        <v>27</v>
      </c>
    </row>
    <row r="163" customFormat="false" ht="15" hidden="false" customHeight="false" outlineLevel="0" collapsed="false">
      <c r="A163" s="14" t="s">
        <v>375</v>
      </c>
      <c r="B163" s="14" t="s">
        <v>376</v>
      </c>
      <c r="C163" s="14" t="s">
        <v>18</v>
      </c>
      <c r="D163" s="15" t="n">
        <v>64.95</v>
      </c>
      <c r="E163" s="15" t="n">
        <f aca="false">IFERROR(INDEX(Tiers!$B$4:$B$15,MATCH(C163,Tiers!$A$4:$A$15,0)),D163)</f>
        <v>54.95</v>
      </c>
      <c r="F163" s="16"/>
      <c r="G163" s="17" t="n">
        <f aca="false">IF(F163="",E163,F163)</f>
        <v>54.95</v>
      </c>
      <c r="H163" s="18" t="n">
        <f aca="false">G163-D163</f>
        <v>-10</v>
      </c>
      <c r="I163" s="19" t="n">
        <f aca="false">IFERROR((G163-D163)/D163,0)</f>
        <v>-0.153964588144727</v>
      </c>
      <c r="J163" s="14" t="str">
        <f aca="false">IF(G163&gt;D163,"Omhoog",IF(G163&lt;D163,"Omlaag","Gelijk"))</f>
        <v>Omlaag</v>
      </c>
      <c r="K163" s="20" t="str">
        <f aca="false">IF(ABS(I163)&gt;=0.2,"controleren","")</f>
        <v/>
      </c>
      <c r="L163" s="21" t="n">
        <f aca="false">G163*Tiers!$B$19</f>
        <v>34.118455</v>
      </c>
      <c r="M163" s="15" t="n">
        <v>108.25</v>
      </c>
      <c r="N163" s="19" t="n">
        <f aca="false">IFERROR(1-D163/M163,0)</f>
        <v>0.4</v>
      </c>
      <c r="O163" s="19" t="n">
        <f aca="false">IF(Tiers!$B$18="ja",Tiers!$B$20,N163)</f>
        <v>0.4</v>
      </c>
      <c r="P163" s="15" t="n">
        <f aca="false">ROUNDUP(G163/(1-O163),0)-0.05</f>
        <v>91.95</v>
      </c>
      <c r="Q163" s="19" t="n">
        <f aca="false">IFERROR(1-G163/P163,0)</f>
        <v>0.402392604676455</v>
      </c>
      <c r="R163" s="14" t="n">
        <v>10</v>
      </c>
    </row>
    <row r="164" customFormat="false" ht="15" hidden="false" customHeight="false" outlineLevel="0" collapsed="false">
      <c r="A164" s="14" t="s">
        <v>377</v>
      </c>
      <c r="B164" s="14" t="s">
        <v>378</v>
      </c>
      <c r="C164" s="14" t="s">
        <v>18</v>
      </c>
      <c r="D164" s="15" t="n">
        <v>64.95</v>
      </c>
      <c r="E164" s="15" t="n">
        <f aca="false">IFERROR(INDEX(Tiers!$B$4:$B$15,MATCH(C164,Tiers!$A$4:$A$15,0)),D164)</f>
        <v>54.95</v>
      </c>
      <c r="F164" s="16"/>
      <c r="G164" s="17" t="n">
        <f aca="false">IF(F164="",E164,F164)</f>
        <v>54.95</v>
      </c>
      <c r="H164" s="18" t="n">
        <f aca="false">G164-D164</f>
        <v>-10</v>
      </c>
      <c r="I164" s="19" t="n">
        <f aca="false">IFERROR((G164-D164)/D164,0)</f>
        <v>-0.153964588144727</v>
      </c>
      <c r="J164" s="14" t="str">
        <f aca="false">IF(G164&gt;D164,"Omhoog",IF(G164&lt;D164,"Omlaag","Gelijk"))</f>
        <v>Omlaag</v>
      </c>
      <c r="K164" s="20" t="str">
        <f aca="false">IF(ABS(I164)&gt;=0.2,"controleren","")</f>
        <v/>
      </c>
      <c r="L164" s="21" t="n">
        <f aca="false">G164*Tiers!$B$19</f>
        <v>34.118455</v>
      </c>
      <c r="M164" s="15" t="n">
        <v>129.9</v>
      </c>
      <c r="N164" s="19" t="n">
        <f aca="false">IFERROR(1-D164/M164,0)</f>
        <v>0.5</v>
      </c>
      <c r="O164" s="19" t="n">
        <f aca="false">IF(Tiers!$B$18="ja",Tiers!$B$20,N164)</f>
        <v>0.5</v>
      </c>
      <c r="P164" s="15" t="n">
        <f aca="false">ROUNDUP(G164/(1-O164),0)-0.05</f>
        <v>109.95</v>
      </c>
      <c r="Q164" s="19" t="n">
        <f aca="false">IFERROR(1-G164/P164,0)</f>
        <v>0.500227376080036</v>
      </c>
      <c r="R164" s="14" t="n">
        <v>11</v>
      </c>
    </row>
    <row r="165" customFormat="false" ht="15" hidden="false" customHeight="false" outlineLevel="0" collapsed="false">
      <c r="A165" s="14" t="s">
        <v>379</v>
      </c>
      <c r="B165" s="14" t="s">
        <v>380</v>
      </c>
      <c r="C165" s="14" t="s">
        <v>18</v>
      </c>
      <c r="D165" s="15" t="n">
        <v>64.95</v>
      </c>
      <c r="E165" s="15" t="n">
        <f aca="false">IFERROR(INDEX(Tiers!$B$4:$B$15,MATCH(C165,Tiers!$A$4:$A$15,0)),D165)</f>
        <v>54.95</v>
      </c>
      <c r="F165" s="16"/>
      <c r="G165" s="17" t="n">
        <f aca="false">IF(F165="",E165,F165)</f>
        <v>54.95</v>
      </c>
      <c r="H165" s="18" t="n">
        <f aca="false">G165-D165</f>
        <v>-10</v>
      </c>
      <c r="I165" s="19" t="n">
        <f aca="false">IFERROR((G165-D165)/D165,0)</f>
        <v>-0.153964588144727</v>
      </c>
      <c r="J165" s="14" t="str">
        <f aca="false">IF(G165&gt;D165,"Omhoog",IF(G165&lt;D165,"Omlaag","Gelijk"))</f>
        <v>Omlaag</v>
      </c>
      <c r="K165" s="20" t="str">
        <f aca="false">IF(ABS(I165)&gt;=0.2,"controleren","")</f>
        <v/>
      </c>
      <c r="L165" s="21" t="n">
        <f aca="false">G165*Tiers!$B$19</f>
        <v>34.118455</v>
      </c>
      <c r="M165" s="15" t="n">
        <v>108.25</v>
      </c>
      <c r="N165" s="19" t="n">
        <f aca="false">IFERROR(1-D165/M165,0)</f>
        <v>0.4</v>
      </c>
      <c r="O165" s="19" t="n">
        <f aca="false">IF(Tiers!$B$18="ja",Tiers!$B$20,N165)</f>
        <v>0.4</v>
      </c>
      <c r="P165" s="15" t="n">
        <f aca="false">ROUNDUP(G165/(1-O165),0)-0.05</f>
        <v>91.95</v>
      </c>
      <c r="Q165" s="19" t="n">
        <f aca="false">IFERROR(1-G165/P165,0)</f>
        <v>0.402392604676455</v>
      </c>
      <c r="R165" s="14" t="n">
        <v>18</v>
      </c>
    </row>
    <row r="166" customFormat="false" ht="15" hidden="false" customHeight="false" outlineLevel="0" collapsed="false">
      <c r="A166" s="14" t="s">
        <v>381</v>
      </c>
      <c r="B166" s="14" t="s">
        <v>382</v>
      </c>
      <c r="C166" s="14" t="s">
        <v>18</v>
      </c>
      <c r="D166" s="15" t="n">
        <v>64.95</v>
      </c>
      <c r="E166" s="15" t="n">
        <f aca="false">IFERROR(INDEX(Tiers!$B$4:$B$15,MATCH(C166,Tiers!$A$4:$A$15,0)),D166)</f>
        <v>54.95</v>
      </c>
      <c r="F166" s="16"/>
      <c r="G166" s="17" t="n">
        <f aca="false">IF(F166="",E166,F166)</f>
        <v>54.95</v>
      </c>
      <c r="H166" s="18" t="n">
        <f aca="false">G166-D166</f>
        <v>-10</v>
      </c>
      <c r="I166" s="19" t="n">
        <f aca="false">IFERROR((G166-D166)/D166,0)</f>
        <v>-0.153964588144727</v>
      </c>
      <c r="J166" s="14" t="str">
        <f aca="false">IF(G166&gt;D166,"Omhoog",IF(G166&lt;D166,"Omlaag","Gelijk"))</f>
        <v>Omlaag</v>
      </c>
      <c r="K166" s="20" t="str">
        <f aca="false">IF(ABS(I166)&gt;=0.2,"controleren","")</f>
        <v/>
      </c>
      <c r="L166" s="21" t="n">
        <f aca="false">G166*Tiers!$B$19</f>
        <v>34.118455</v>
      </c>
      <c r="M166" s="15" t="n">
        <v>118.09</v>
      </c>
      <c r="N166" s="19" t="n">
        <f aca="false">IFERROR(1-D166/M166,0)</f>
        <v>0.449995765941231</v>
      </c>
      <c r="O166" s="19" t="n">
        <f aca="false">IF(Tiers!$B$18="ja",Tiers!$B$20,N166)</f>
        <v>0.449995765941231</v>
      </c>
      <c r="P166" s="15" t="n">
        <f aca="false">ROUNDUP(G166/(1-O166),0)-0.05</f>
        <v>99.95</v>
      </c>
      <c r="Q166" s="19" t="n">
        <f aca="false">IFERROR(1-G166/P166,0)</f>
        <v>0.450225112556278</v>
      </c>
      <c r="R166" s="14" t="n">
        <v>28</v>
      </c>
    </row>
    <row r="167" customFormat="false" ht="15" hidden="false" customHeight="false" outlineLevel="0" collapsed="false">
      <c r="A167" s="14" t="s">
        <v>383</v>
      </c>
      <c r="B167" s="14" t="s">
        <v>384</v>
      </c>
      <c r="C167" s="14" t="s">
        <v>18</v>
      </c>
      <c r="D167" s="15" t="n">
        <v>64.95</v>
      </c>
      <c r="E167" s="15" t="n">
        <f aca="false">IFERROR(INDEX(Tiers!$B$4:$B$15,MATCH(C167,Tiers!$A$4:$A$15,0)),D167)</f>
        <v>54.95</v>
      </c>
      <c r="F167" s="16"/>
      <c r="G167" s="17" t="n">
        <f aca="false">IF(F167="",E167,F167)</f>
        <v>54.95</v>
      </c>
      <c r="H167" s="18" t="n">
        <f aca="false">G167-D167</f>
        <v>-10</v>
      </c>
      <c r="I167" s="19" t="n">
        <f aca="false">IFERROR((G167-D167)/D167,0)</f>
        <v>-0.153964588144727</v>
      </c>
      <c r="J167" s="14" t="str">
        <f aca="false">IF(G167&gt;D167,"Omhoog",IF(G167&lt;D167,"Omlaag","Gelijk"))</f>
        <v>Omlaag</v>
      </c>
      <c r="K167" s="20" t="str">
        <f aca="false">IF(ABS(I167)&gt;=0.2,"controleren","")</f>
        <v/>
      </c>
      <c r="L167" s="21" t="n">
        <f aca="false">G167*Tiers!$B$19</f>
        <v>34.118455</v>
      </c>
      <c r="M167" s="15" t="n">
        <v>129.9</v>
      </c>
      <c r="N167" s="19" t="n">
        <f aca="false">IFERROR(1-D167/M167,0)</f>
        <v>0.5</v>
      </c>
      <c r="O167" s="19" t="n">
        <f aca="false">IF(Tiers!$B$18="ja",Tiers!$B$20,N167)</f>
        <v>0.5</v>
      </c>
      <c r="P167" s="15" t="n">
        <f aca="false">ROUNDUP(G167/(1-O167),0)-0.05</f>
        <v>109.95</v>
      </c>
      <c r="Q167" s="19" t="n">
        <f aca="false">IFERROR(1-G167/P167,0)</f>
        <v>0.500227376080036</v>
      </c>
      <c r="R167" s="14" t="n">
        <v>13</v>
      </c>
    </row>
    <row r="168" customFormat="false" ht="15" hidden="false" customHeight="false" outlineLevel="0" collapsed="false">
      <c r="A168" s="14" t="s">
        <v>385</v>
      </c>
      <c r="B168" s="14" t="s">
        <v>386</v>
      </c>
      <c r="C168" s="14" t="s">
        <v>18</v>
      </c>
      <c r="D168" s="15" t="n">
        <v>64.95</v>
      </c>
      <c r="E168" s="15" t="n">
        <f aca="false">IFERROR(INDEX(Tiers!$B$4:$B$15,MATCH(C168,Tiers!$A$4:$A$15,0)),D168)</f>
        <v>54.95</v>
      </c>
      <c r="F168" s="16"/>
      <c r="G168" s="17" t="n">
        <f aca="false">IF(F168="",E168,F168)</f>
        <v>54.95</v>
      </c>
      <c r="H168" s="18" t="n">
        <f aca="false">G168-D168</f>
        <v>-10</v>
      </c>
      <c r="I168" s="19" t="n">
        <f aca="false">IFERROR((G168-D168)/D168,0)</f>
        <v>-0.153964588144727</v>
      </c>
      <c r="J168" s="14" t="str">
        <f aca="false">IF(G168&gt;D168,"Omhoog",IF(G168&lt;D168,"Omlaag","Gelijk"))</f>
        <v>Omlaag</v>
      </c>
      <c r="K168" s="20" t="str">
        <f aca="false">IF(ABS(I168)&gt;=0.2,"controleren","")</f>
        <v/>
      </c>
      <c r="L168" s="21" t="n">
        <f aca="false">G168*Tiers!$B$19</f>
        <v>34.118455</v>
      </c>
      <c r="M168" s="15" t="n">
        <v>118.09</v>
      </c>
      <c r="N168" s="19" t="n">
        <f aca="false">IFERROR(1-D168/M168,0)</f>
        <v>0.449995765941231</v>
      </c>
      <c r="O168" s="19" t="n">
        <f aca="false">IF(Tiers!$B$18="ja",Tiers!$B$20,N168)</f>
        <v>0.449995765941231</v>
      </c>
      <c r="P168" s="15" t="n">
        <f aca="false">ROUNDUP(G168/(1-O168),0)-0.05</f>
        <v>99.95</v>
      </c>
      <c r="Q168" s="19" t="n">
        <f aca="false">IFERROR(1-G168/P168,0)</f>
        <v>0.450225112556278</v>
      </c>
      <c r="R168" s="14" t="n">
        <v>33</v>
      </c>
    </row>
    <row r="169" customFormat="false" ht="15" hidden="false" customHeight="false" outlineLevel="0" collapsed="false">
      <c r="A169" s="14" t="s">
        <v>387</v>
      </c>
      <c r="B169" s="14" t="s">
        <v>388</v>
      </c>
      <c r="C169" s="14" t="s">
        <v>18</v>
      </c>
      <c r="D169" s="15" t="n">
        <v>64.95</v>
      </c>
      <c r="E169" s="15" t="n">
        <f aca="false">IFERROR(INDEX(Tiers!$B$4:$B$15,MATCH(C169,Tiers!$A$4:$A$15,0)),D169)</f>
        <v>54.95</v>
      </c>
      <c r="F169" s="16"/>
      <c r="G169" s="17" t="n">
        <f aca="false">IF(F169="",E169,F169)</f>
        <v>54.95</v>
      </c>
      <c r="H169" s="18" t="n">
        <f aca="false">G169-D169</f>
        <v>-10</v>
      </c>
      <c r="I169" s="19" t="n">
        <f aca="false">IFERROR((G169-D169)/D169,0)</f>
        <v>-0.153964588144727</v>
      </c>
      <c r="J169" s="14" t="str">
        <f aca="false">IF(G169&gt;D169,"Omhoog",IF(G169&lt;D169,"Omlaag","Gelijk"))</f>
        <v>Omlaag</v>
      </c>
      <c r="K169" s="20" t="str">
        <f aca="false">IF(ABS(I169)&gt;=0.2,"controleren","")</f>
        <v/>
      </c>
      <c r="L169" s="21" t="n">
        <f aca="false">G169*Tiers!$B$19</f>
        <v>34.118455</v>
      </c>
      <c r="M169" s="15" t="n">
        <v>118.09</v>
      </c>
      <c r="N169" s="19" t="n">
        <f aca="false">IFERROR(1-D169/M169,0)</f>
        <v>0.449995765941231</v>
      </c>
      <c r="O169" s="19" t="n">
        <f aca="false">IF(Tiers!$B$18="ja",Tiers!$B$20,N169)</f>
        <v>0.449995765941231</v>
      </c>
      <c r="P169" s="15" t="n">
        <f aca="false">ROUNDUP(G169/(1-O169),0)-0.05</f>
        <v>99.95</v>
      </c>
      <c r="Q169" s="19" t="n">
        <f aca="false">IFERROR(1-G169/P169,0)</f>
        <v>0.450225112556278</v>
      </c>
      <c r="R169" s="14" t="n">
        <v>18</v>
      </c>
    </row>
    <row r="170" customFormat="false" ht="15" hidden="false" customHeight="false" outlineLevel="0" collapsed="false">
      <c r="A170" s="14" t="s">
        <v>389</v>
      </c>
      <c r="B170" s="14" t="s">
        <v>390</v>
      </c>
      <c r="C170" s="14" t="s">
        <v>18</v>
      </c>
      <c r="D170" s="15" t="n">
        <v>64.95</v>
      </c>
      <c r="E170" s="15" t="n">
        <f aca="false">IFERROR(INDEX(Tiers!$B$4:$B$15,MATCH(C170,Tiers!$A$4:$A$15,0)),D170)</f>
        <v>54.95</v>
      </c>
      <c r="F170" s="16"/>
      <c r="G170" s="17" t="n">
        <f aca="false">IF(F170="",E170,F170)</f>
        <v>54.95</v>
      </c>
      <c r="H170" s="18" t="n">
        <f aca="false">G170-D170</f>
        <v>-10</v>
      </c>
      <c r="I170" s="19" t="n">
        <f aca="false">IFERROR((G170-D170)/D170,0)</f>
        <v>-0.153964588144727</v>
      </c>
      <c r="J170" s="14" t="str">
        <f aca="false">IF(G170&gt;D170,"Omhoog",IF(G170&lt;D170,"Omlaag","Gelijk"))</f>
        <v>Omlaag</v>
      </c>
      <c r="K170" s="20" t="str">
        <f aca="false">IF(ABS(I170)&gt;=0.2,"controleren","")</f>
        <v/>
      </c>
      <c r="L170" s="21" t="n">
        <f aca="false">G170*Tiers!$B$19</f>
        <v>34.118455</v>
      </c>
      <c r="M170" s="15" t="n">
        <v>108.25</v>
      </c>
      <c r="N170" s="19" t="n">
        <f aca="false">IFERROR(1-D170/M170,0)</f>
        <v>0.4</v>
      </c>
      <c r="O170" s="19" t="n">
        <f aca="false">IF(Tiers!$B$18="ja",Tiers!$B$20,N170)</f>
        <v>0.4</v>
      </c>
      <c r="P170" s="15" t="n">
        <f aca="false">ROUNDUP(G170/(1-O170),0)-0.05</f>
        <v>91.95</v>
      </c>
      <c r="Q170" s="19" t="n">
        <f aca="false">IFERROR(1-G170/P170,0)</f>
        <v>0.402392604676455</v>
      </c>
      <c r="R170" s="14" t="n">
        <v>39</v>
      </c>
    </row>
    <row r="171" customFormat="false" ht="15" hidden="false" customHeight="false" outlineLevel="0" collapsed="false">
      <c r="A171" s="14" t="s">
        <v>391</v>
      </c>
      <c r="B171" s="14" t="s">
        <v>392</v>
      </c>
      <c r="C171" s="14" t="s">
        <v>18</v>
      </c>
      <c r="D171" s="15" t="n">
        <v>54.95</v>
      </c>
      <c r="E171" s="15" t="n">
        <f aca="false">IFERROR(INDEX(Tiers!$B$4:$B$15,MATCH(C171,Tiers!$A$4:$A$15,0)),D171)</f>
        <v>54.95</v>
      </c>
      <c r="F171" s="16"/>
      <c r="G171" s="17" t="n">
        <f aca="false">IF(F171="",E171,F171)</f>
        <v>54.95</v>
      </c>
      <c r="H171" s="18" t="n">
        <f aca="false">G171-D171</f>
        <v>0</v>
      </c>
      <c r="I171" s="19" t="n">
        <f aca="false">IFERROR((G171-D171)/D171,0)</f>
        <v>0</v>
      </c>
      <c r="J171" s="14" t="str">
        <f aca="false">IF(G171&gt;D171,"Omhoog",IF(G171&lt;D171,"Omlaag","Gelijk"))</f>
        <v>Gelijk</v>
      </c>
      <c r="K171" s="20" t="str">
        <f aca="false">IF(ABS(I171)&gt;=0.2,"controleren","")</f>
        <v/>
      </c>
      <c r="L171" s="21" t="n">
        <f aca="false">G171*Tiers!$B$19</f>
        <v>34.118455</v>
      </c>
      <c r="M171" s="15" t="n">
        <v>99.91</v>
      </c>
      <c r="N171" s="19" t="n">
        <f aca="false">IFERROR(1-D171/M171,0)</f>
        <v>0.450005004504054</v>
      </c>
      <c r="O171" s="19" t="n">
        <f aca="false">IF(Tiers!$B$18="ja",Tiers!$B$20,N171)</f>
        <v>0.450005004504054</v>
      </c>
      <c r="P171" s="15" t="n">
        <f aca="false">ROUNDUP(G171/(1-O171),0)-0.05</f>
        <v>99.95</v>
      </c>
      <c r="Q171" s="19" t="n">
        <f aca="false">IFERROR(1-G171/P171,0)</f>
        <v>0.450225112556278</v>
      </c>
      <c r="R171" s="14" t="n">
        <v>30</v>
      </c>
    </row>
    <row r="172" customFormat="false" ht="15" hidden="false" customHeight="false" outlineLevel="0" collapsed="false">
      <c r="A172" s="14" t="s">
        <v>393</v>
      </c>
      <c r="B172" s="14" t="s">
        <v>394</v>
      </c>
      <c r="C172" s="14" t="s">
        <v>18</v>
      </c>
      <c r="D172" s="15" t="n">
        <v>64.95</v>
      </c>
      <c r="E172" s="15" t="n">
        <f aca="false">IFERROR(INDEX(Tiers!$B$4:$B$15,MATCH(C172,Tiers!$A$4:$A$15,0)),D172)</f>
        <v>54.95</v>
      </c>
      <c r="F172" s="16"/>
      <c r="G172" s="17" t="n">
        <f aca="false">IF(F172="",E172,F172)</f>
        <v>54.95</v>
      </c>
      <c r="H172" s="18" t="n">
        <f aca="false">G172-D172</f>
        <v>-10</v>
      </c>
      <c r="I172" s="19" t="n">
        <f aca="false">IFERROR((G172-D172)/D172,0)</f>
        <v>-0.153964588144727</v>
      </c>
      <c r="J172" s="14" t="str">
        <f aca="false">IF(G172&gt;D172,"Omhoog",IF(G172&lt;D172,"Omlaag","Gelijk"))</f>
        <v>Omlaag</v>
      </c>
      <c r="K172" s="20" t="str">
        <f aca="false">IF(ABS(I172)&gt;=0.2,"controleren","")</f>
        <v/>
      </c>
      <c r="L172" s="21" t="n">
        <f aca="false">G172*Tiers!$B$19</f>
        <v>34.118455</v>
      </c>
      <c r="M172" s="15" t="n">
        <v>108.25</v>
      </c>
      <c r="N172" s="19" t="n">
        <f aca="false">IFERROR(1-D172/M172,0)</f>
        <v>0.4</v>
      </c>
      <c r="O172" s="19" t="n">
        <f aca="false">IF(Tiers!$B$18="ja",Tiers!$B$20,N172)</f>
        <v>0.4</v>
      </c>
      <c r="P172" s="15" t="n">
        <f aca="false">ROUNDUP(G172/(1-O172),0)-0.05</f>
        <v>91.95</v>
      </c>
      <c r="Q172" s="19" t="n">
        <f aca="false">IFERROR(1-G172/P172,0)</f>
        <v>0.402392604676455</v>
      </c>
      <c r="R172" s="14" t="n">
        <v>36</v>
      </c>
    </row>
    <row r="173" customFormat="false" ht="15" hidden="false" customHeight="false" outlineLevel="0" collapsed="false">
      <c r="A173" s="14" t="s">
        <v>395</v>
      </c>
      <c r="B173" s="14" t="s">
        <v>396</v>
      </c>
      <c r="C173" s="14" t="s">
        <v>20</v>
      </c>
      <c r="D173" s="15" t="n">
        <v>69.95</v>
      </c>
      <c r="E173" s="15" t="n">
        <f aca="false">IFERROR(INDEX(Tiers!$B$4:$B$15,MATCH(C173,Tiers!$A$4:$A$15,0)),D173)</f>
        <v>59.95</v>
      </c>
      <c r="F173" s="16"/>
      <c r="G173" s="17" t="n">
        <f aca="false">IF(F173="",E173,F173)</f>
        <v>59.95</v>
      </c>
      <c r="H173" s="18" t="n">
        <f aca="false">G173-D173</f>
        <v>-10</v>
      </c>
      <c r="I173" s="19" t="n">
        <f aca="false">IFERROR((G173-D173)/D173,0)</f>
        <v>-0.142959256611866</v>
      </c>
      <c r="J173" s="14" t="str">
        <f aca="false">IF(G173&gt;D173,"Omhoog",IF(G173&lt;D173,"Omlaag","Gelijk"))</f>
        <v>Omlaag</v>
      </c>
      <c r="K173" s="20" t="str">
        <f aca="false">IF(ABS(I173)&gt;=0.2,"controleren","")</f>
        <v/>
      </c>
      <c r="L173" s="21" t="n">
        <f aca="false">G173*Tiers!$B$19</f>
        <v>37.222955</v>
      </c>
      <c r="M173" s="15" t="n">
        <v>127.18</v>
      </c>
      <c r="N173" s="19" t="n">
        <f aca="false">IFERROR(1-D173/M173,0)</f>
        <v>0.449992137128479</v>
      </c>
      <c r="O173" s="19" t="n">
        <f aca="false">IF(Tiers!$B$18="ja",Tiers!$B$20,N173)</f>
        <v>0.449992137128479</v>
      </c>
      <c r="P173" s="15" t="n">
        <f aca="false">ROUNDUP(G173/(1-O173),0)-0.05</f>
        <v>108.95</v>
      </c>
      <c r="Q173" s="19" t="n">
        <f aca="false">IFERROR(1-G173/P173,0)</f>
        <v>0.449747590637907</v>
      </c>
      <c r="R173" s="14" t="n">
        <v>1</v>
      </c>
    </row>
    <row r="174" customFormat="false" ht="15" hidden="false" customHeight="false" outlineLevel="0" collapsed="false">
      <c r="A174" s="14" t="s">
        <v>397</v>
      </c>
      <c r="B174" s="14" t="s">
        <v>398</v>
      </c>
      <c r="C174" s="14" t="s">
        <v>20</v>
      </c>
      <c r="D174" s="15" t="n">
        <v>69.95</v>
      </c>
      <c r="E174" s="15" t="n">
        <f aca="false">IFERROR(INDEX(Tiers!$B$4:$B$15,MATCH(C174,Tiers!$A$4:$A$15,0)),D174)</f>
        <v>59.95</v>
      </c>
      <c r="F174" s="16"/>
      <c r="G174" s="17" t="n">
        <f aca="false">IF(F174="",E174,F174)</f>
        <v>59.95</v>
      </c>
      <c r="H174" s="18" t="n">
        <f aca="false">G174-D174</f>
        <v>-10</v>
      </c>
      <c r="I174" s="19" t="n">
        <f aca="false">IFERROR((G174-D174)/D174,0)</f>
        <v>-0.142959256611866</v>
      </c>
      <c r="J174" s="14" t="str">
        <f aca="false">IF(G174&gt;D174,"Omhoog",IF(G174&lt;D174,"Omlaag","Gelijk"))</f>
        <v>Omlaag</v>
      </c>
      <c r="K174" s="20" t="str">
        <f aca="false">IF(ABS(I174)&gt;=0.2,"controleren","")</f>
        <v/>
      </c>
      <c r="L174" s="21" t="n">
        <f aca="false">G174*Tiers!$B$19</f>
        <v>37.222955</v>
      </c>
      <c r="M174" s="15" t="n">
        <v>139.9</v>
      </c>
      <c r="N174" s="19" t="n">
        <f aca="false">IFERROR(1-D174/M174,0)</f>
        <v>0.5</v>
      </c>
      <c r="O174" s="19" t="n">
        <f aca="false">IF(Tiers!$B$18="ja",Tiers!$B$20,N174)</f>
        <v>0.5</v>
      </c>
      <c r="P174" s="15" t="n">
        <f aca="false">ROUNDUP(G174/(1-O174),0)-0.05</f>
        <v>119.95</v>
      </c>
      <c r="Q174" s="19" t="n">
        <f aca="false">IFERROR(1-G174/P174,0)</f>
        <v>0.500208420175073</v>
      </c>
      <c r="R174" s="14" t="n">
        <v>8</v>
      </c>
    </row>
    <row r="175" customFormat="false" ht="15" hidden="false" customHeight="false" outlineLevel="0" collapsed="false">
      <c r="A175" s="14" t="s">
        <v>399</v>
      </c>
      <c r="B175" s="14" t="s">
        <v>400</v>
      </c>
      <c r="C175" s="14" t="s">
        <v>20</v>
      </c>
      <c r="D175" s="15" t="n">
        <v>69.95</v>
      </c>
      <c r="E175" s="15" t="n">
        <f aca="false">IFERROR(INDEX(Tiers!$B$4:$B$15,MATCH(C175,Tiers!$A$4:$A$15,0)),D175)</f>
        <v>59.95</v>
      </c>
      <c r="F175" s="16"/>
      <c r="G175" s="17" t="n">
        <f aca="false">IF(F175="",E175,F175)</f>
        <v>59.95</v>
      </c>
      <c r="H175" s="18" t="n">
        <f aca="false">G175-D175</f>
        <v>-10</v>
      </c>
      <c r="I175" s="19" t="n">
        <f aca="false">IFERROR((G175-D175)/D175,0)</f>
        <v>-0.142959256611866</v>
      </c>
      <c r="J175" s="14" t="str">
        <f aca="false">IF(G175&gt;D175,"Omhoog",IF(G175&lt;D175,"Omlaag","Gelijk"))</f>
        <v>Omlaag</v>
      </c>
      <c r="K175" s="20" t="str">
        <f aca="false">IF(ABS(I175)&gt;=0.2,"controleren","")</f>
        <v/>
      </c>
      <c r="L175" s="21" t="n">
        <f aca="false">G175*Tiers!$B$19</f>
        <v>37.222955</v>
      </c>
      <c r="M175" s="15" t="n">
        <v>127.18</v>
      </c>
      <c r="N175" s="19" t="n">
        <f aca="false">IFERROR(1-D175/M175,0)</f>
        <v>0.449992137128479</v>
      </c>
      <c r="O175" s="19" t="n">
        <f aca="false">IF(Tiers!$B$18="ja",Tiers!$B$20,N175)</f>
        <v>0.449992137128479</v>
      </c>
      <c r="P175" s="15" t="n">
        <f aca="false">ROUNDUP(G175/(1-O175),0)-0.05</f>
        <v>108.95</v>
      </c>
      <c r="Q175" s="19" t="n">
        <f aca="false">IFERROR(1-G175/P175,0)</f>
        <v>0.449747590637907</v>
      </c>
      <c r="R175" s="14" t="n">
        <v>16</v>
      </c>
    </row>
    <row r="176" customFormat="false" ht="15" hidden="false" customHeight="false" outlineLevel="0" collapsed="false">
      <c r="A176" s="14" t="s">
        <v>401</v>
      </c>
      <c r="B176" s="14" t="s">
        <v>402</v>
      </c>
      <c r="C176" s="14" t="s">
        <v>20</v>
      </c>
      <c r="D176" s="15" t="n">
        <v>64.95</v>
      </c>
      <c r="E176" s="15" t="n">
        <f aca="false">IFERROR(INDEX(Tiers!$B$4:$B$15,MATCH(C176,Tiers!$A$4:$A$15,0)),D176)</f>
        <v>59.95</v>
      </c>
      <c r="F176" s="16"/>
      <c r="G176" s="17" t="n">
        <f aca="false">IF(F176="",E176,F176)</f>
        <v>59.95</v>
      </c>
      <c r="H176" s="18" t="n">
        <f aca="false">G176-D176</f>
        <v>-5</v>
      </c>
      <c r="I176" s="19" t="n">
        <f aca="false">IFERROR((G176-D176)/D176,0)</f>
        <v>-0.0769822940723634</v>
      </c>
      <c r="J176" s="14" t="str">
        <f aca="false">IF(G176&gt;D176,"Omhoog",IF(G176&lt;D176,"Omlaag","Gelijk"))</f>
        <v>Omlaag</v>
      </c>
      <c r="K176" s="20" t="str">
        <f aca="false">IF(ABS(I176)&gt;=0.2,"controleren","")</f>
        <v/>
      </c>
      <c r="L176" s="21" t="n">
        <f aca="false">G176*Tiers!$B$19</f>
        <v>37.222955</v>
      </c>
      <c r="M176" s="15" t="n">
        <v>129.9</v>
      </c>
      <c r="N176" s="19" t="n">
        <f aca="false">IFERROR(1-D176/M176,0)</f>
        <v>0.5</v>
      </c>
      <c r="O176" s="19" t="n">
        <f aca="false">IF(Tiers!$B$18="ja",Tiers!$B$20,N176)</f>
        <v>0.5</v>
      </c>
      <c r="P176" s="15" t="n">
        <f aca="false">ROUNDUP(G176/(1-O176),0)-0.05</f>
        <v>119.95</v>
      </c>
      <c r="Q176" s="19" t="n">
        <f aca="false">IFERROR(1-G176/P176,0)</f>
        <v>0.500208420175073</v>
      </c>
      <c r="R176" s="14" t="n">
        <v>30</v>
      </c>
    </row>
    <row r="177" customFormat="false" ht="15" hidden="false" customHeight="false" outlineLevel="0" collapsed="false">
      <c r="A177" s="14" t="s">
        <v>403</v>
      </c>
      <c r="B177" s="14" t="s">
        <v>404</v>
      </c>
      <c r="C177" s="14" t="s">
        <v>20</v>
      </c>
      <c r="D177" s="15" t="n">
        <v>69.95</v>
      </c>
      <c r="E177" s="15" t="n">
        <f aca="false">IFERROR(INDEX(Tiers!$B$4:$B$15,MATCH(C177,Tiers!$A$4:$A$15,0)),D177)</f>
        <v>59.95</v>
      </c>
      <c r="F177" s="16"/>
      <c r="G177" s="17" t="n">
        <f aca="false">IF(F177="",E177,F177)</f>
        <v>59.95</v>
      </c>
      <c r="H177" s="18" t="n">
        <f aca="false">G177-D177</f>
        <v>-10</v>
      </c>
      <c r="I177" s="19" t="n">
        <f aca="false">IFERROR((G177-D177)/D177,0)</f>
        <v>-0.142959256611866</v>
      </c>
      <c r="J177" s="14" t="str">
        <f aca="false">IF(G177&gt;D177,"Omhoog",IF(G177&lt;D177,"Omlaag","Gelijk"))</f>
        <v>Omlaag</v>
      </c>
      <c r="K177" s="20" t="str">
        <f aca="false">IF(ABS(I177)&gt;=0.2,"controleren","")</f>
        <v/>
      </c>
      <c r="L177" s="21" t="n">
        <f aca="false">G177*Tiers!$B$19</f>
        <v>37.222955</v>
      </c>
      <c r="M177" s="15" t="n">
        <v>116.58</v>
      </c>
      <c r="N177" s="19" t="n">
        <f aca="false">IFERROR(1-D177/M177,0)</f>
        <v>0.399982844398696</v>
      </c>
      <c r="O177" s="19" t="n">
        <f aca="false">IF(Tiers!$B$18="ja",Tiers!$B$20,N177)</f>
        <v>0.399982844398696</v>
      </c>
      <c r="P177" s="15" t="n">
        <f aca="false">ROUNDUP(G177/(1-O177),0)-0.05</f>
        <v>99.95</v>
      </c>
      <c r="Q177" s="19" t="n">
        <f aca="false">IFERROR(1-G177/P177,0)</f>
        <v>0.400200100050025</v>
      </c>
      <c r="R177" s="14" t="n">
        <v>70</v>
      </c>
    </row>
    <row r="178" customFormat="false" ht="15" hidden="false" customHeight="false" outlineLevel="0" collapsed="false">
      <c r="A178" s="14" t="s">
        <v>405</v>
      </c>
      <c r="B178" s="14" t="s">
        <v>406</v>
      </c>
      <c r="C178" s="14" t="s">
        <v>20</v>
      </c>
      <c r="D178" s="15" t="n">
        <v>69.95</v>
      </c>
      <c r="E178" s="15" t="n">
        <f aca="false">IFERROR(INDEX(Tiers!$B$4:$B$15,MATCH(C178,Tiers!$A$4:$A$15,0)),D178)</f>
        <v>59.95</v>
      </c>
      <c r="F178" s="16"/>
      <c r="G178" s="17" t="n">
        <f aca="false">IF(F178="",E178,F178)</f>
        <v>59.95</v>
      </c>
      <c r="H178" s="18" t="n">
        <f aca="false">G178-D178</f>
        <v>-10</v>
      </c>
      <c r="I178" s="19" t="n">
        <f aca="false">IFERROR((G178-D178)/D178,0)</f>
        <v>-0.142959256611866</v>
      </c>
      <c r="J178" s="14" t="str">
        <f aca="false">IF(G178&gt;D178,"Omhoog",IF(G178&lt;D178,"Omlaag","Gelijk"))</f>
        <v>Omlaag</v>
      </c>
      <c r="K178" s="20" t="str">
        <f aca="false">IF(ABS(I178)&gt;=0.2,"controleren","")</f>
        <v/>
      </c>
      <c r="L178" s="21" t="n">
        <f aca="false">G178*Tiers!$B$19</f>
        <v>37.222955</v>
      </c>
      <c r="M178" s="15" t="n">
        <v>127.18</v>
      </c>
      <c r="N178" s="19" t="n">
        <f aca="false">IFERROR(1-D178/M178,0)</f>
        <v>0.449992137128479</v>
      </c>
      <c r="O178" s="19" t="n">
        <f aca="false">IF(Tiers!$B$18="ja",Tiers!$B$20,N178)</f>
        <v>0.449992137128479</v>
      </c>
      <c r="P178" s="15" t="n">
        <f aca="false">ROUNDUP(G178/(1-O178),0)-0.05</f>
        <v>108.95</v>
      </c>
      <c r="Q178" s="19" t="n">
        <f aca="false">IFERROR(1-G178/P178,0)</f>
        <v>0.449747590637907</v>
      </c>
      <c r="R178" s="14" t="n">
        <v>30</v>
      </c>
    </row>
    <row r="179" customFormat="false" ht="15" hidden="false" customHeight="false" outlineLevel="0" collapsed="false">
      <c r="A179" s="14" t="s">
        <v>407</v>
      </c>
      <c r="B179" s="14" t="s">
        <v>408</v>
      </c>
      <c r="C179" s="14" t="s">
        <v>20</v>
      </c>
      <c r="D179" s="15" t="n">
        <v>49.95</v>
      </c>
      <c r="E179" s="15" t="n">
        <f aca="false">IFERROR(INDEX(Tiers!$B$4:$B$15,MATCH(C179,Tiers!$A$4:$A$15,0)),D179)</f>
        <v>59.95</v>
      </c>
      <c r="F179" s="16"/>
      <c r="G179" s="17" t="n">
        <f aca="false">IF(F179="",E179,F179)</f>
        <v>59.95</v>
      </c>
      <c r="H179" s="18" t="n">
        <f aca="false">G179-D179</f>
        <v>10</v>
      </c>
      <c r="I179" s="19" t="n">
        <f aca="false">IFERROR((G179-D179)/D179,0)</f>
        <v>0.2002002002002</v>
      </c>
      <c r="J179" s="14" t="str">
        <f aca="false">IF(G179&gt;D179,"Omhoog",IF(G179&lt;D179,"Omlaag","Gelijk"))</f>
        <v>Omhoog</v>
      </c>
      <c r="K179" s="20" t="str">
        <f aca="false">IF(ABS(I179)&gt;=0.2,"controleren","")</f>
        <v>controleren</v>
      </c>
      <c r="L179" s="21" t="n">
        <f aca="false">G179*Tiers!$B$19</f>
        <v>37.222955</v>
      </c>
      <c r="M179" s="15" t="n">
        <v>83.25</v>
      </c>
      <c r="N179" s="19" t="n">
        <f aca="false">IFERROR(1-D179/M179,0)</f>
        <v>0.4</v>
      </c>
      <c r="O179" s="19" t="n">
        <f aca="false">IF(Tiers!$B$18="ja",Tiers!$B$20,N179)</f>
        <v>0.4</v>
      </c>
      <c r="P179" s="15" t="n">
        <f aca="false">ROUNDUP(G179/(1-O179),0)-0.05</f>
        <v>99.95</v>
      </c>
      <c r="Q179" s="19" t="n">
        <f aca="false">IFERROR(1-G179/P179,0)</f>
        <v>0.400200100050025</v>
      </c>
      <c r="R179" s="14" t="n">
        <v>40</v>
      </c>
    </row>
    <row r="180" customFormat="false" ht="15" hidden="false" customHeight="false" outlineLevel="0" collapsed="false">
      <c r="A180" s="14" t="s">
        <v>409</v>
      </c>
      <c r="B180" s="14" t="s">
        <v>410</v>
      </c>
      <c r="C180" s="14" t="s">
        <v>20</v>
      </c>
      <c r="D180" s="15" t="n">
        <v>69.95</v>
      </c>
      <c r="E180" s="15" t="n">
        <f aca="false">IFERROR(INDEX(Tiers!$B$4:$B$15,MATCH(C180,Tiers!$A$4:$A$15,0)),D180)</f>
        <v>59.95</v>
      </c>
      <c r="F180" s="16"/>
      <c r="G180" s="17" t="n">
        <f aca="false">IF(F180="",E180,F180)</f>
        <v>59.95</v>
      </c>
      <c r="H180" s="18" t="n">
        <f aca="false">G180-D180</f>
        <v>-10</v>
      </c>
      <c r="I180" s="19" t="n">
        <f aca="false">IFERROR((G180-D180)/D180,0)</f>
        <v>-0.142959256611866</v>
      </c>
      <c r="J180" s="14" t="str">
        <f aca="false">IF(G180&gt;D180,"Omhoog",IF(G180&lt;D180,"Omlaag","Gelijk"))</f>
        <v>Omlaag</v>
      </c>
      <c r="K180" s="20" t="str">
        <f aca="false">IF(ABS(I180)&gt;=0.2,"controleren","")</f>
        <v/>
      </c>
      <c r="L180" s="21" t="n">
        <f aca="false">G180*Tiers!$B$19</f>
        <v>37.222955</v>
      </c>
      <c r="M180" s="15" t="n">
        <v>116.58</v>
      </c>
      <c r="N180" s="19" t="n">
        <f aca="false">IFERROR(1-D180/M180,0)</f>
        <v>0.399982844398696</v>
      </c>
      <c r="O180" s="19" t="n">
        <f aca="false">IF(Tiers!$B$18="ja",Tiers!$B$20,N180)</f>
        <v>0.399982844398696</v>
      </c>
      <c r="P180" s="15" t="n">
        <f aca="false">ROUNDUP(G180/(1-O180),0)-0.05</f>
        <v>99.95</v>
      </c>
      <c r="Q180" s="19" t="n">
        <f aca="false">IFERROR(1-G180/P180,0)</f>
        <v>0.400200100050025</v>
      </c>
      <c r="R180" s="14" t="n">
        <v>42</v>
      </c>
    </row>
    <row r="181" customFormat="false" ht="15" hidden="false" customHeight="false" outlineLevel="0" collapsed="false">
      <c r="A181" s="14" t="s">
        <v>411</v>
      </c>
      <c r="B181" s="14" t="s">
        <v>412</v>
      </c>
      <c r="C181" s="14" t="s">
        <v>20</v>
      </c>
      <c r="D181" s="15" t="n">
        <v>69.95</v>
      </c>
      <c r="E181" s="15" t="n">
        <f aca="false">IFERROR(INDEX(Tiers!$B$4:$B$15,MATCH(C181,Tiers!$A$4:$A$15,0)),D181)</f>
        <v>59.95</v>
      </c>
      <c r="F181" s="16"/>
      <c r="G181" s="17" t="n">
        <f aca="false">IF(F181="",E181,F181)</f>
        <v>59.95</v>
      </c>
      <c r="H181" s="18" t="n">
        <f aca="false">G181-D181</f>
        <v>-10</v>
      </c>
      <c r="I181" s="19" t="n">
        <f aca="false">IFERROR((G181-D181)/D181,0)</f>
        <v>-0.142959256611866</v>
      </c>
      <c r="J181" s="14" t="str">
        <f aca="false">IF(G181&gt;D181,"Omhoog",IF(G181&lt;D181,"Omlaag","Gelijk"))</f>
        <v>Omlaag</v>
      </c>
      <c r="K181" s="20" t="str">
        <f aca="false">IF(ABS(I181)&gt;=0.2,"controleren","")</f>
        <v/>
      </c>
      <c r="L181" s="21" t="n">
        <f aca="false">G181*Tiers!$B$19</f>
        <v>37.222955</v>
      </c>
      <c r="M181" s="15" t="n">
        <v>116.58</v>
      </c>
      <c r="N181" s="19" t="n">
        <f aca="false">IFERROR(1-D181/M181,0)</f>
        <v>0.399982844398696</v>
      </c>
      <c r="O181" s="19" t="n">
        <f aca="false">IF(Tiers!$B$18="ja",Tiers!$B$20,N181)</f>
        <v>0.399982844398696</v>
      </c>
      <c r="P181" s="15" t="n">
        <f aca="false">ROUNDUP(G181/(1-O181),0)-0.05</f>
        <v>99.95</v>
      </c>
      <c r="Q181" s="19" t="n">
        <f aca="false">IFERROR(1-G181/P181,0)</f>
        <v>0.400200100050025</v>
      </c>
      <c r="R181" s="14" t="n">
        <v>5</v>
      </c>
    </row>
    <row r="182" customFormat="false" ht="15" hidden="false" customHeight="false" outlineLevel="0" collapsed="false">
      <c r="A182" s="14" t="s">
        <v>413</v>
      </c>
      <c r="B182" s="14" t="s">
        <v>414</v>
      </c>
      <c r="C182" s="14" t="s">
        <v>20</v>
      </c>
      <c r="D182" s="15" t="n">
        <v>69.95</v>
      </c>
      <c r="E182" s="15" t="n">
        <f aca="false">IFERROR(INDEX(Tiers!$B$4:$B$15,MATCH(C182,Tiers!$A$4:$A$15,0)),D182)</f>
        <v>59.95</v>
      </c>
      <c r="F182" s="16"/>
      <c r="G182" s="17" t="n">
        <f aca="false">IF(F182="",E182,F182)</f>
        <v>59.95</v>
      </c>
      <c r="H182" s="18" t="n">
        <f aca="false">G182-D182</f>
        <v>-10</v>
      </c>
      <c r="I182" s="19" t="n">
        <f aca="false">IFERROR((G182-D182)/D182,0)</f>
        <v>-0.142959256611866</v>
      </c>
      <c r="J182" s="14" t="str">
        <f aca="false">IF(G182&gt;D182,"Omhoog",IF(G182&lt;D182,"Omlaag","Gelijk"))</f>
        <v>Omlaag</v>
      </c>
      <c r="K182" s="20" t="str">
        <f aca="false">IF(ABS(I182)&gt;=0.2,"controleren","")</f>
        <v/>
      </c>
      <c r="L182" s="21" t="n">
        <f aca="false">G182*Tiers!$B$19</f>
        <v>37.222955</v>
      </c>
      <c r="M182" s="15" t="n">
        <v>116.58</v>
      </c>
      <c r="N182" s="19" t="n">
        <f aca="false">IFERROR(1-D182/M182,0)</f>
        <v>0.399982844398696</v>
      </c>
      <c r="O182" s="19" t="n">
        <f aca="false">IF(Tiers!$B$18="ja",Tiers!$B$20,N182)</f>
        <v>0.399982844398696</v>
      </c>
      <c r="P182" s="15" t="n">
        <f aca="false">ROUNDUP(G182/(1-O182),0)-0.05</f>
        <v>99.95</v>
      </c>
      <c r="Q182" s="19" t="n">
        <f aca="false">IFERROR(1-G182/P182,0)</f>
        <v>0.400200100050025</v>
      </c>
      <c r="R182" s="14" t="n">
        <v>12</v>
      </c>
    </row>
    <row r="183" customFormat="false" ht="15" hidden="false" customHeight="false" outlineLevel="0" collapsed="false">
      <c r="A183" s="14" t="s">
        <v>415</v>
      </c>
      <c r="B183" s="14" t="s">
        <v>416</v>
      </c>
      <c r="C183" s="14" t="s">
        <v>20</v>
      </c>
      <c r="D183" s="15" t="n">
        <v>69.95</v>
      </c>
      <c r="E183" s="15" t="n">
        <f aca="false">IFERROR(INDEX(Tiers!$B$4:$B$15,MATCH(C183,Tiers!$A$4:$A$15,0)),D183)</f>
        <v>59.95</v>
      </c>
      <c r="F183" s="16"/>
      <c r="G183" s="17" t="n">
        <f aca="false">IF(F183="",E183,F183)</f>
        <v>59.95</v>
      </c>
      <c r="H183" s="18" t="n">
        <f aca="false">G183-D183</f>
        <v>-10</v>
      </c>
      <c r="I183" s="19" t="n">
        <f aca="false">IFERROR((G183-D183)/D183,0)</f>
        <v>-0.142959256611866</v>
      </c>
      <c r="J183" s="14" t="str">
        <f aca="false">IF(G183&gt;D183,"Omhoog",IF(G183&lt;D183,"Omlaag","Gelijk"))</f>
        <v>Omlaag</v>
      </c>
      <c r="K183" s="20" t="str">
        <f aca="false">IF(ABS(I183)&gt;=0.2,"controleren","")</f>
        <v/>
      </c>
      <c r="L183" s="21" t="n">
        <f aca="false">G183*Tiers!$B$19</f>
        <v>37.222955</v>
      </c>
      <c r="M183" s="15" t="n">
        <v>139.9</v>
      </c>
      <c r="N183" s="19" t="n">
        <f aca="false">IFERROR(1-D183/M183,0)</f>
        <v>0.5</v>
      </c>
      <c r="O183" s="19" t="n">
        <f aca="false">IF(Tiers!$B$18="ja",Tiers!$B$20,N183)</f>
        <v>0.5</v>
      </c>
      <c r="P183" s="15" t="n">
        <f aca="false">ROUNDUP(G183/(1-O183),0)-0.05</f>
        <v>119.95</v>
      </c>
      <c r="Q183" s="19" t="n">
        <f aca="false">IFERROR(1-G183/P183,0)</f>
        <v>0.500208420175073</v>
      </c>
      <c r="R183" s="14" t="n">
        <v>30</v>
      </c>
    </row>
    <row r="184" customFormat="false" ht="15" hidden="false" customHeight="false" outlineLevel="0" collapsed="false">
      <c r="A184" s="14" t="s">
        <v>417</v>
      </c>
      <c r="B184" s="14" t="s">
        <v>418</v>
      </c>
      <c r="C184" s="14" t="s">
        <v>20</v>
      </c>
      <c r="D184" s="15" t="n">
        <v>69.95</v>
      </c>
      <c r="E184" s="15" t="n">
        <f aca="false">IFERROR(INDEX(Tiers!$B$4:$B$15,MATCH(C184,Tiers!$A$4:$A$15,0)),D184)</f>
        <v>59.95</v>
      </c>
      <c r="F184" s="16"/>
      <c r="G184" s="17" t="n">
        <f aca="false">IF(F184="",E184,F184)</f>
        <v>59.95</v>
      </c>
      <c r="H184" s="18" t="n">
        <f aca="false">G184-D184</f>
        <v>-10</v>
      </c>
      <c r="I184" s="19" t="n">
        <f aca="false">IFERROR((G184-D184)/D184,0)</f>
        <v>-0.142959256611866</v>
      </c>
      <c r="J184" s="14" t="str">
        <f aca="false">IF(G184&gt;D184,"Omhoog",IF(G184&lt;D184,"Omlaag","Gelijk"))</f>
        <v>Omlaag</v>
      </c>
      <c r="K184" s="20" t="str">
        <f aca="false">IF(ABS(I184)&gt;=0.2,"controleren","")</f>
        <v/>
      </c>
      <c r="L184" s="21" t="n">
        <f aca="false">G184*Tiers!$B$19</f>
        <v>37.222955</v>
      </c>
      <c r="M184" s="15" t="n">
        <v>139.9</v>
      </c>
      <c r="N184" s="19" t="n">
        <f aca="false">IFERROR(1-D184/M184,0)</f>
        <v>0.5</v>
      </c>
      <c r="O184" s="19" t="n">
        <f aca="false">IF(Tiers!$B$18="ja",Tiers!$B$20,N184)</f>
        <v>0.5</v>
      </c>
      <c r="P184" s="15" t="n">
        <f aca="false">ROUNDUP(G184/(1-O184),0)-0.05</f>
        <v>119.95</v>
      </c>
      <c r="Q184" s="19" t="n">
        <f aca="false">IFERROR(1-G184/P184,0)</f>
        <v>0.500208420175073</v>
      </c>
      <c r="R184" s="14" t="n">
        <v>42</v>
      </c>
    </row>
    <row r="185" customFormat="false" ht="15" hidden="false" customHeight="false" outlineLevel="0" collapsed="false">
      <c r="A185" s="14" t="s">
        <v>419</v>
      </c>
      <c r="B185" s="14" t="s">
        <v>420</v>
      </c>
      <c r="C185" s="14" t="s">
        <v>20</v>
      </c>
      <c r="D185" s="15" t="n">
        <v>69.95</v>
      </c>
      <c r="E185" s="15" t="n">
        <f aca="false">IFERROR(INDEX(Tiers!$B$4:$B$15,MATCH(C185,Tiers!$A$4:$A$15,0)),D185)</f>
        <v>59.95</v>
      </c>
      <c r="F185" s="16"/>
      <c r="G185" s="17" t="n">
        <f aca="false">IF(F185="",E185,F185)</f>
        <v>59.95</v>
      </c>
      <c r="H185" s="18" t="n">
        <f aca="false">G185-D185</f>
        <v>-10</v>
      </c>
      <c r="I185" s="19" t="n">
        <f aca="false">IFERROR((G185-D185)/D185,0)</f>
        <v>-0.142959256611866</v>
      </c>
      <c r="J185" s="14" t="str">
        <f aca="false">IF(G185&gt;D185,"Omhoog",IF(G185&lt;D185,"Omlaag","Gelijk"))</f>
        <v>Omlaag</v>
      </c>
      <c r="K185" s="20" t="str">
        <f aca="false">IF(ABS(I185)&gt;=0.2,"controleren","")</f>
        <v/>
      </c>
      <c r="L185" s="21" t="n">
        <f aca="false">G185*Tiers!$B$19</f>
        <v>37.222955</v>
      </c>
      <c r="M185" s="15" t="n">
        <v>139.9</v>
      </c>
      <c r="N185" s="19" t="n">
        <f aca="false">IFERROR(1-D185/M185,0)</f>
        <v>0.5</v>
      </c>
      <c r="O185" s="19" t="n">
        <f aca="false">IF(Tiers!$B$18="ja",Tiers!$B$20,N185)</f>
        <v>0.5</v>
      </c>
      <c r="P185" s="15" t="n">
        <f aca="false">ROUNDUP(G185/(1-O185),0)-0.05</f>
        <v>119.95</v>
      </c>
      <c r="Q185" s="19" t="n">
        <f aca="false">IFERROR(1-G185/P185,0)</f>
        <v>0.500208420175073</v>
      </c>
      <c r="R185" s="14" t="n">
        <v>30</v>
      </c>
    </row>
    <row r="186" customFormat="false" ht="15" hidden="false" customHeight="false" outlineLevel="0" collapsed="false">
      <c r="A186" s="14" t="s">
        <v>421</v>
      </c>
      <c r="B186" s="14" t="s">
        <v>422</v>
      </c>
      <c r="C186" s="14" t="s">
        <v>20</v>
      </c>
      <c r="D186" s="15" t="n">
        <v>69.95</v>
      </c>
      <c r="E186" s="15" t="n">
        <f aca="false">IFERROR(INDEX(Tiers!$B$4:$B$15,MATCH(C186,Tiers!$A$4:$A$15,0)),D186)</f>
        <v>59.95</v>
      </c>
      <c r="F186" s="16"/>
      <c r="G186" s="17" t="n">
        <f aca="false">IF(F186="",E186,F186)</f>
        <v>59.95</v>
      </c>
      <c r="H186" s="18" t="n">
        <f aca="false">G186-D186</f>
        <v>-10</v>
      </c>
      <c r="I186" s="19" t="n">
        <f aca="false">IFERROR((G186-D186)/D186,0)</f>
        <v>-0.142959256611866</v>
      </c>
      <c r="J186" s="14" t="str">
        <f aca="false">IF(G186&gt;D186,"Omhoog",IF(G186&lt;D186,"Omlaag","Gelijk"))</f>
        <v>Omlaag</v>
      </c>
      <c r="K186" s="20" t="str">
        <f aca="false">IF(ABS(I186)&gt;=0.2,"controleren","")</f>
        <v/>
      </c>
      <c r="L186" s="21" t="n">
        <f aca="false">G186*Tiers!$B$19</f>
        <v>37.222955</v>
      </c>
      <c r="M186" s="15" t="n">
        <v>116.58</v>
      </c>
      <c r="N186" s="19" t="n">
        <f aca="false">IFERROR(1-D186/M186,0)</f>
        <v>0.399982844398696</v>
      </c>
      <c r="O186" s="19" t="n">
        <f aca="false">IF(Tiers!$B$18="ja",Tiers!$B$20,N186)</f>
        <v>0.399982844398696</v>
      </c>
      <c r="P186" s="15" t="n">
        <f aca="false">ROUNDUP(G186/(1-O186),0)-0.05</f>
        <v>99.95</v>
      </c>
      <c r="Q186" s="19" t="n">
        <f aca="false">IFERROR(1-G186/P186,0)</f>
        <v>0.400200100050025</v>
      </c>
      <c r="R186" s="14" t="n">
        <v>16</v>
      </c>
    </row>
    <row r="187" customFormat="false" ht="15" hidden="false" customHeight="false" outlineLevel="0" collapsed="false">
      <c r="A187" s="14" t="s">
        <v>423</v>
      </c>
      <c r="B187" s="14" t="s">
        <v>424</v>
      </c>
      <c r="C187" s="14" t="s">
        <v>20</v>
      </c>
      <c r="D187" s="15" t="n">
        <v>69.95</v>
      </c>
      <c r="E187" s="15" t="n">
        <f aca="false">IFERROR(INDEX(Tiers!$B$4:$B$15,MATCH(C187,Tiers!$A$4:$A$15,0)),D187)</f>
        <v>59.95</v>
      </c>
      <c r="F187" s="16"/>
      <c r="G187" s="17" t="n">
        <f aca="false">IF(F187="",E187,F187)</f>
        <v>59.95</v>
      </c>
      <c r="H187" s="18" t="n">
        <f aca="false">G187-D187</f>
        <v>-10</v>
      </c>
      <c r="I187" s="19" t="n">
        <f aca="false">IFERROR((G187-D187)/D187,0)</f>
        <v>-0.142959256611866</v>
      </c>
      <c r="J187" s="14" t="str">
        <f aca="false">IF(G187&gt;D187,"Omhoog",IF(G187&lt;D187,"Omlaag","Gelijk"))</f>
        <v>Omlaag</v>
      </c>
      <c r="K187" s="20" t="str">
        <f aca="false">IF(ABS(I187)&gt;=0.2,"controleren","")</f>
        <v/>
      </c>
      <c r="L187" s="21" t="n">
        <f aca="false">G187*Tiers!$B$19</f>
        <v>37.222955</v>
      </c>
      <c r="M187" s="15" t="n">
        <v>139.9</v>
      </c>
      <c r="N187" s="19" t="n">
        <f aca="false">IFERROR(1-D187/M187,0)</f>
        <v>0.5</v>
      </c>
      <c r="O187" s="19" t="n">
        <f aca="false">IF(Tiers!$B$18="ja",Tiers!$B$20,N187)</f>
        <v>0.5</v>
      </c>
      <c r="P187" s="15" t="n">
        <f aca="false">ROUNDUP(G187/(1-O187),0)-0.05</f>
        <v>119.95</v>
      </c>
      <c r="Q187" s="19" t="n">
        <f aca="false">IFERROR(1-G187/P187,0)</f>
        <v>0.500208420175073</v>
      </c>
      <c r="R187" s="14" t="n">
        <v>30</v>
      </c>
    </row>
    <row r="188" customFormat="false" ht="15" hidden="false" customHeight="false" outlineLevel="0" collapsed="false">
      <c r="A188" s="14" t="s">
        <v>425</v>
      </c>
      <c r="B188" s="14" t="s">
        <v>426</v>
      </c>
      <c r="C188" s="14" t="s">
        <v>20</v>
      </c>
      <c r="D188" s="15" t="n">
        <v>69.95</v>
      </c>
      <c r="E188" s="15" t="n">
        <f aca="false">IFERROR(INDEX(Tiers!$B$4:$B$15,MATCH(C188,Tiers!$A$4:$A$15,0)),D188)</f>
        <v>59.95</v>
      </c>
      <c r="F188" s="16"/>
      <c r="G188" s="17" t="n">
        <f aca="false">IF(F188="",E188,F188)</f>
        <v>59.95</v>
      </c>
      <c r="H188" s="18" t="n">
        <f aca="false">G188-D188</f>
        <v>-10</v>
      </c>
      <c r="I188" s="19" t="n">
        <f aca="false">IFERROR((G188-D188)/D188,0)</f>
        <v>-0.142959256611866</v>
      </c>
      <c r="J188" s="14" t="str">
        <f aca="false">IF(G188&gt;D188,"Omhoog",IF(G188&lt;D188,"Omlaag","Gelijk"))</f>
        <v>Omlaag</v>
      </c>
      <c r="K188" s="20" t="str">
        <f aca="false">IF(ABS(I188)&gt;=0.2,"controleren","")</f>
        <v/>
      </c>
      <c r="L188" s="21" t="n">
        <f aca="false">G188*Tiers!$B$19</f>
        <v>37.222955</v>
      </c>
      <c r="M188" s="15" t="n">
        <v>116.58</v>
      </c>
      <c r="N188" s="19" t="n">
        <f aca="false">IFERROR(1-D188/M188,0)</f>
        <v>0.399982844398696</v>
      </c>
      <c r="O188" s="19" t="n">
        <f aca="false">IF(Tiers!$B$18="ja",Tiers!$B$20,N188)</f>
        <v>0.399982844398696</v>
      </c>
      <c r="P188" s="15" t="n">
        <f aca="false">ROUNDUP(G188/(1-O188),0)-0.05</f>
        <v>99.95</v>
      </c>
      <c r="Q188" s="19" t="n">
        <f aca="false">IFERROR(1-G188/P188,0)</f>
        <v>0.400200100050025</v>
      </c>
      <c r="R188" s="14" t="n">
        <v>21</v>
      </c>
    </row>
    <row r="189" customFormat="false" ht="15" hidden="false" customHeight="false" outlineLevel="0" collapsed="false">
      <c r="A189" s="14" t="s">
        <v>427</v>
      </c>
      <c r="B189" s="14" t="s">
        <v>428</v>
      </c>
      <c r="C189" s="14" t="s">
        <v>20</v>
      </c>
      <c r="D189" s="15" t="n">
        <v>69.95</v>
      </c>
      <c r="E189" s="15" t="n">
        <f aca="false">IFERROR(INDEX(Tiers!$B$4:$B$15,MATCH(C189,Tiers!$A$4:$A$15,0)),D189)</f>
        <v>59.95</v>
      </c>
      <c r="F189" s="16"/>
      <c r="G189" s="17" t="n">
        <f aca="false">IF(F189="",E189,F189)</f>
        <v>59.95</v>
      </c>
      <c r="H189" s="18" t="n">
        <f aca="false">G189-D189</f>
        <v>-10</v>
      </c>
      <c r="I189" s="19" t="n">
        <f aca="false">IFERROR((G189-D189)/D189,0)</f>
        <v>-0.142959256611866</v>
      </c>
      <c r="J189" s="14" t="str">
        <f aca="false">IF(G189&gt;D189,"Omhoog",IF(G189&lt;D189,"Omlaag","Gelijk"))</f>
        <v>Omlaag</v>
      </c>
      <c r="K189" s="20" t="str">
        <f aca="false">IF(ABS(I189)&gt;=0.2,"controleren","")</f>
        <v/>
      </c>
      <c r="L189" s="21" t="n">
        <f aca="false">G189*Tiers!$B$19</f>
        <v>37.222955</v>
      </c>
      <c r="M189" s="15" t="n">
        <v>127.18</v>
      </c>
      <c r="N189" s="19" t="n">
        <f aca="false">IFERROR(1-D189/M189,0)</f>
        <v>0.449992137128479</v>
      </c>
      <c r="O189" s="19" t="n">
        <f aca="false">IF(Tiers!$B$18="ja",Tiers!$B$20,N189)</f>
        <v>0.449992137128479</v>
      </c>
      <c r="P189" s="15" t="n">
        <f aca="false">ROUNDUP(G189/(1-O189),0)-0.05</f>
        <v>108.95</v>
      </c>
      <c r="Q189" s="19" t="n">
        <f aca="false">IFERROR(1-G189/P189,0)</f>
        <v>0.449747590637907</v>
      </c>
      <c r="R189" s="14" t="n">
        <v>21</v>
      </c>
    </row>
    <row r="190" customFormat="false" ht="15" hidden="false" customHeight="false" outlineLevel="0" collapsed="false">
      <c r="A190" s="14" t="s">
        <v>429</v>
      </c>
      <c r="B190" s="14" t="s">
        <v>430</v>
      </c>
      <c r="C190" s="14" t="s">
        <v>20</v>
      </c>
      <c r="D190" s="15" t="n">
        <v>69.95</v>
      </c>
      <c r="E190" s="15" t="n">
        <f aca="false">IFERROR(INDEX(Tiers!$B$4:$B$15,MATCH(C190,Tiers!$A$4:$A$15,0)),D190)</f>
        <v>59.95</v>
      </c>
      <c r="F190" s="16"/>
      <c r="G190" s="17" t="n">
        <f aca="false">IF(F190="",E190,F190)</f>
        <v>59.95</v>
      </c>
      <c r="H190" s="18" t="n">
        <f aca="false">G190-D190</f>
        <v>-10</v>
      </c>
      <c r="I190" s="19" t="n">
        <f aca="false">IFERROR((G190-D190)/D190,0)</f>
        <v>-0.142959256611866</v>
      </c>
      <c r="J190" s="14" t="str">
        <f aca="false">IF(G190&gt;D190,"Omhoog",IF(G190&lt;D190,"Omlaag","Gelijk"))</f>
        <v>Omlaag</v>
      </c>
      <c r="K190" s="20" t="str">
        <f aca="false">IF(ABS(I190)&gt;=0.2,"controleren","")</f>
        <v/>
      </c>
      <c r="L190" s="21" t="n">
        <f aca="false">G190*Tiers!$B$19</f>
        <v>37.222955</v>
      </c>
      <c r="M190" s="15" t="n">
        <v>116.58</v>
      </c>
      <c r="N190" s="19" t="n">
        <f aca="false">IFERROR(1-D190/M190,0)</f>
        <v>0.399982844398696</v>
      </c>
      <c r="O190" s="19" t="n">
        <f aca="false">IF(Tiers!$B$18="ja",Tiers!$B$20,N190)</f>
        <v>0.399982844398696</v>
      </c>
      <c r="P190" s="15" t="n">
        <f aca="false">ROUNDUP(G190/(1-O190),0)-0.05</f>
        <v>99.95</v>
      </c>
      <c r="Q190" s="19" t="n">
        <f aca="false">IFERROR(1-G190/P190,0)</f>
        <v>0.400200100050025</v>
      </c>
      <c r="R190" s="14" t="n">
        <v>35</v>
      </c>
    </row>
    <row r="191" customFormat="false" ht="15" hidden="false" customHeight="false" outlineLevel="0" collapsed="false">
      <c r="A191" s="14" t="s">
        <v>431</v>
      </c>
      <c r="B191" s="14" t="s">
        <v>432</v>
      </c>
      <c r="C191" s="14" t="s">
        <v>20</v>
      </c>
      <c r="D191" s="15" t="n">
        <v>69.95</v>
      </c>
      <c r="E191" s="15" t="n">
        <f aca="false">IFERROR(INDEX(Tiers!$B$4:$B$15,MATCH(C191,Tiers!$A$4:$A$15,0)),D191)</f>
        <v>59.95</v>
      </c>
      <c r="F191" s="16"/>
      <c r="G191" s="17" t="n">
        <f aca="false">IF(F191="",E191,F191)</f>
        <v>59.95</v>
      </c>
      <c r="H191" s="18" t="n">
        <f aca="false">G191-D191</f>
        <v>-10</v>
      </c>
      <c r="I191" s="19" t="n">
        <f aca="false">IFERROR((G191-D191)/D191,0)</f>
        <v>-0.142959256611866</v>
      </c>
      <c r="J191" s="14" t="str">
        <f aca="false">IF(G191&gt;D191,"Omhoog",IF(G191&lt;D191,"Omlaag","Gelijk"))</f>
        <v>Omlaag</v>
      </c>
      <c r="K191" s="20" t="str">
        <f aca="false">IF(ABS(I191)&gt;=0.2,"controleren","")</f>
        <v/>
      </c>
      <c r="L191" s="21" t="n">
        <f aca="false">G191*Tiers!$B$19</f>
        <v>37.222955</v>
      </c>
      <c r="M191" s="15" t="n">
        <v>116.58</v>
      </c>
      <c r="N191" s="19" t="n">
        <f aca="false">IFERROR(1-D191/M191,0)</f>
        <v>0.399982844398696</v>
      </c>
      <c r="O191" s="19" t="n">
        <f aca="false">IF(Tiers!$B$18="ja",Tiers!$B$20,N191)</f>
        <v>0.399982844398696</v>
      </c>
      <c r="P191" s="15" t="n">
        <f aca="false">ROUNDUP(G191/(1-O191),0)-0.05</f>
        <v>99.95</v>
      </c>
      <c r="Q191" s="19" t="n">
        <f aca="false">IFERROR(1-G191/P191,0)</f>
        <v>0.400200100050025</v>
      </c>
      <c r="R191" s="14" t="n">
        <v>24</v>
      </c>
    </row>
    <row r="192" customFormat="false" ht="15" hidden="false" customHeight="false" outlineLevel="0" collapsed="false">
      <c r="A192" s="14" t="s">
        <v>433</v>
      </c>
      <c r="B192" s="14" t="s">
        <v>434</v>
      </c>
      <c r="C192" s="14" t="s">
        <v>20</v>
      </c>
      <c r="D192" s="15" t="n">
        <v>69.95</v>
      </c>
      <c r="E192" s="15" t="n">
        <f aca="false">IFERROR(INDEX(Tiers!$B$4:$B$15,MATCH(C192,Tiers!$A$4:$A$15,0)),D192)</f>
        <v>59.95</v>
      </c>
      <c r="F192" s="16"/>
      <c r="G192" s="17" t="n">
        <f aca="false">IF(F192="",E192,F192)</f>
        <v>59.95</v>
      </c>
      <c r="H192" s="18" t="n">
        <f aca="false">G192-D192</f>
        <v>-10</v>
      </c>
      <c r="I192" s="19" t="n">
        <f aca="false">IFERROR((G192-D192)/D192,0)</f>
        <v>-0.142959256611866</v>
      </c>
      <c r="J192" s="14" t="str">
        <f aca="false">IF(G192&gt;D192,"Omhoog",IF(G192&lt;D192,"Omlaag","Gelijk"))</f>
        <v>Omlaag</v>
      </c>
      <c r="K192" s="20" t="str">
        <f aca="false">IF(ABS(I192)&gt;=0.2,"controleren","")</f>
        <v/>
      </c>
      <c r="L192" s="21" t="n">
        <f aca="false">G192*Tiers!$B$19</f>
        <v>37.222955</v>
      </c>
      <c r="M192" s="15" t="n">
        <v>116.58</v>
      </c>
      <c r="N192" s="19" t="n">
        <f aca="false">IFERROR(1-D192/M192,0)</f>
        <v>0.399982844398696</v>
      </c>
      <c r="O192" s="19" t="n">
        <f aca="false">IF(Tiers!$B$18="ja",Tiers!$B$20,N192)</f>
        <v>0.399982844398696</v>
      </c>
      <c r="P192" s="15" t="n">
        <f aca="false">ROUNDUP(G192/(1-O192),0)-0.05</f>
        <v>99.95</v>
      </c>
      <c r="Q192" s="19" t="n">
        <f aca="false">IFERROR(1-G192/P192,0)</f>
        <v>0.400200100050025</v>
      </c>
      <c r="R192" s="14" t="n">
        <v>6</v>
      </c>
    </row>
    <row r="193" customFormat="false" ht="15" hidden="false" customHeight="false" outlineLevel="0" collapsed="false">
      <c r="A193" s="14" t="s">
        <v>435</v>
      </c>
      <c r="B193" s="14" t="s">
        <v>436</v>
      </c>
      <c r="C193" s="14" t="s">
        <v>20</v>
      </c>
      <c r="D193" s="15" t="n">
        <v>69.95</v>
      </c>
      <c r="E193" s="15" t="n">
        <f aca="false">IFERROR(INDEX(Tiers!$B$4:$B$15,MATCH(C193,Tiers!$A$4:$A$15,0)),D193)</f>
        <v>59.95</v>
      </c>
      <c r="F193" s="16"/>
      <c r="G193" s="17" t="n">
        <f aca="false">IF(F193="",E193,F193)</f>
        <v>59.95</v>
      </c>
      <c r="H193" s="18" t="n">
        <f aca="false">G193-D193</f>
        <v>-10</v>
      </c>
      <c r="I193" s="19" t="n">
        <f aca="false">IFERROR((G193-D193)/D193,0)</f>
        <v>-0.142959256611866</v>
      </c>
      <c r="J193" s="14" t="str">
        <f aca="false">IF(G193&gt;D193,"Omhoog",IF(G193&lt;D193,"Omlaag","Gelijk"))</f>
        <v>Omlaag</v>
      </c>
      <c r="K193" s="20" t="str">
        <f aca="false">IF(ABS(I193)&gt;=0.2,"controleren","")</f>
        <v/>
      </c>
      <c r="L193" s="21" t="n">
        <f aca="false">G193*Tiers!$B$19</f>
        <v>37.222955</v>
      </c>
      <c r="M193" s="15" t="n">
        <v>116.58</v>
      </c>
      <c r="N193" s="19" t="n">
        <f aca="false">IFERROR(1-D193/M193,0)</f>
        <v>0.399982844398696</v>
      </c>
      <c r="O193" s="19" t="n">
        <f aca="false">IF(Tiers!$B$18="ja",Tiers!$B$20,N193)</f>
        <v>0.399982844398696</v>
      </c>
      <c r="P193" s="15" t="n">
        <f aca="false">ROUNDUP(G193/(1-O193),0)-0.05</f>
        <v>99.95</v>
      </c>
      <c r="Q193" s="19" t="n">
        <f aca="false">IFERROR(1-G193/P193,0)</f>
        <v>0.400200100050025</v>
      </c>
      <c r="R193" s="14" t="n">
        <v>21</v>
      </c>
    </row>
    <row r="194" customFormat="false" ht="15" hidden="false" customHeight="false" outlineLevel="0" collapsed="false">
      <c r="A194" s="14" t="s">
        <v>437</v>
      </c>
      <c r="B194" s="14" t="s">
        <v>438</v>
      </c>
      <c r="C194" s="14" t="s">
        <v>20</v>
      </c>
      <c r="D194" s="15" t="n">
        <v>64.95</v>
      </c>
      <c r="E194" s="15" t="n">
        <f aca="false">IFERROR(INDEX(Tiers!$B$4:$B$15,MATCH(C194,Tiers!$A$4:$A$15,0)),D194)</f>
        <v>59.95</v>
      </c>
      <c r="F194" s="16"/>
      <c r="G194" s="17" t="n">
        <f aca="false">IF(F194="",E194,F194)</f>
        <v>59.95</v>
      </c>
      <c r="H194" s="18" t="n">
        <f aca="false">G194-D194</f>
        <v>-5</v>
      </c>
      <c r="I194" s="19" t="n">
        <f aca="false">IFERROR((G194-D194)/D194,0)</f>
        <v>-0.0769822940723634</v>
      </c>
      <c r="J194" s="14" t="str">
        <f aca="false">IF(G194&gt;D194,"Omhoog",IF(G194&lt;D194,"Omlaag","Gelijk"))</f>
        <v>Omlaag</v>
      </c>
      <c r="K194" s="20" t="str">
        <f aca="false">IF(ABS(I194)&gt;=0.2,"controleren","")</f>
        <v/>
      </c>
      <c r="L194" s="21" t="n">
        <f aca="false">G194*Tiers!$B$19</f>
        <v>37.222955</v>
      </c>
      <c r="M194" s="15" t="n">
        <v>118.09</v>
      </c>
      <c r="N194" s="19" t="n">
        <f aca="false">IFERROR(1-D194/M194,0)</f>
        <v>0.449995765941231</v>
      </c>
      <c r="O194" s="19" t="n">
        <f aca="false">IF(Tiers!$B$18="ja",Tiers!$B$20,N194)</f>
        <v>0.449995765941231</v>
      </c>
      <c r="P194" s="15" t="n">
        <f aca="false">ROUNDUP(G194/(1-O194),0)-0.05</f>
        <v>108.95</v>
      </c>
      <c r="Q194" s="19" t="n">
        <f aca="false">IFERROR(1-G194/P194,0)</f>
        <v>0.449747590637907</v>
      </c>
      <c r="R194" s="14" t="n">
        <v>24</v>
      </c>
    </row>
    <row r="195" customFormat="false" ht="15" hidden="false" customHeight="false" outlineLevel="0" collapsed="false">
      <c r="A195" s="14" t="s">
        <v>439</v>
      </c>
      <c r="B195" s="14" t="s">
        <v>440</v>
      </c>
      <c r="C195" s="14" t="s">
        <v>20</v>
      </c>
      <c r="D195" s="15" t="n">
        <v>69.95</v>
      </c>
      <c r="E195" s="15" t="n">
        <f aca="false">IFERROR(INDEX(Tiers!$B$4:$B$15,MATCH(C195,Tiers!$A$4:$A$15,0)),D195)</f>
        <v>59.95</v>
      </c>
      <c r="F195" s="16"/>
      <c r="G195" s="17" t="n">
        <f aca="false">IF(F195="",E195,F195)</f>
        <v>59.95</v>
      </c>
      <c r="H195" s="18" t="n">
        <f aca="false">G195-D195</f>
        <v>-10</v>
      </c>
      <c r="I195" s="19" t="n">
        <f aca="false">IFERROR((G195-D195)/D195,0)</f>
        <v>-0.142959256611866</v>
      </c>
      <c r="J195" s="14" t="str">
        <f aca="false">IF(G195&gt;D195,"Omhoog",IF(G195&lt;D195,"Omlaag","Gelijk"))</f>
        <v>Omlaag</v>
      </c>
      <c r="K195" s="20" t="str">
        <f aca="false">IF(ABS(I195)&gt;=0.2,"controleren","")</f>
        <v/>
      </c>
      <c r="L195" s="21" t="n">
        <f aca="false">G195*Tiers!$B$19</f>
        <v>37.222955</v>
      </c>
      <c r="M195" s="15" t="n">
        <v>139.9</v>
      </c>
      <c r="N195" s="19" t="n">
        <f aca="false">IFERROR(1-D195/M195,0)</f>
        <v>0.5</v>
      </c>
      <c r="O195" s="19" t="n">
        <f aca="false">IF(Tiers!$B$18="ja",Tiers!$B$20,N195)</f>
        <v>0.5</v>
      </c>
      <c r="P195" s="15" t="n">
        <f aca="false">ROUNDUP(G195/(1-O195),0)-0.05</f>
        <v>119.95</v>
      </c>
      <c r="Q195" s="19" t="n">
        <f aca="false">IFERROR(1-G195/P195,0)</f>
        <v>0.500208420175073</v>
      </c>
      <c r="R195" s="14" t="n">
        <v>80</v>
      </c>
    </row>
    <row r="196" customFormat="false" ht="15" hidden="false" customHeight="false" outlineLevel="0" collapsed="false">
      <c r="A196" s="14" t="s">
        <v>441</v>
      </c>
      <c r="B196" s="14" t="s">
        <v>442</v>
      </c>
      <c r="C196" s="14" t="s">
        <v>20</v>
      </c>
      <c r="D196" s="15" t="n">
        <v>69.95</v>
      </c>
      <c r="E196" s="15" t="n">
        <f aca="false">IFERROR(INDEX(Tiers!$B$4:$B$15,MATCH(C196,Tiers!$A$4:$A$15,0)),D196)</f>
        <v>59.95</v>
      </c>
      <c r="F196" s="16"/>
      <c r="G196" s="17" t="n">
        <f aca="false">IF(F196="",E196,F196)</f>
        <v>59.95</v>
      </c>
      <c r="H196" s="18" t="n">
        <f aca="false">G196-D196</f>
        <v>-10</v>
      </c>
      <c r="I196" s="19" t="n">
        <f aca="false">IFERROR((G196-D196)/D196,0)</f>
        <v>-0.142959256611866</v>
      </c>
      <c r="J196" s="14" t="str">
        <f aca="false">IF(G196&gt;D196,"Omhoog",IF(G196&lt;D196,"Omlaag","Gelijk"))</f>
        <v>Omlaag</v>
      </c>
      <c r="K196" s="20" t="str">
        <f aca="false">IF(ABS(I196)&gt;=0.2,"controleren","")</f>
        <v/>
      </c>
      <c r="L196" s="21" t="n">
        <f aca="false">G196*Tiers!$B$19</f>
        <v>37.222955</v>
      </c>
      <c r="M196" s="15" t="n">
        <v>139.9</v>
      </c>
      <c r="N196" s="19" t="n">
        <f aca="false">IFERROR(1-D196/M196,0)</f>
        <v>0.5</v>
      </c>
      <c r="O196" s="19" t="n">
        <f aca="false">IF(Tiers!$B$18="ja",Tiers!$B$20,N196)</f>
        <v>0.5</v>
      </c>
      <c r="P196" s="15" t="n">
        <f aca="false">ROUNDUP(G196/(1-O196),0)-0.05</f>
        <v>119.95</v>
      </c>
      <c r="Q196" s="19" t="n">
        <f aca="false">IFERROR(1-G196/P196,0)</f>
        <v>0.500208420175073</v>
      </c>
      <c r="R196" s="14" t="n">
        <v>8</v>
      </c>
    </row>
    <row r="197" customFormat="false" ht="15" hidden="false" customHeight="false" outlineLevel="0" collapsed="false">
      <c r="A197" s="14" t="s">
        <v>443</v>
      </c>
      <c r="B197" s="14" t="s">
        <v>444</v>
      </c>
      <c r="C197" s="14" t="s">
        <v>20</v>
      </c>
      <c r="D197" s="15" t="n">
        <v>69.95</v>
      </c>
      <c r="E197" s="15" t="n">
        <f aca="false">IFERROR(INDEX(Tiers!$B$4:$B$15,MATCH(C197,Tiers!$A$4:$A$15,0)),D197)</f>
        <v>59.95</v>
      </c>
      <c r="F197" s="16"/>
      <c r="G197" s="17" t="n">
        <f aca="false">IF(F197="",E197,F197)</f>
        <v>59.95</v>
      </c>
      <c r="H197" s="18" t="n">
        <f aca="false">G197-D197</f>
        <v>-10</v>
      </c>
      <c r="I197" s="19" t="n">
        <f aca="false">IFERROR((G197-D197)/D197,0)</f>
        <v>-0.142959256611866</v>
      </c>
      <c r="J197" s="14" t="str">
        <f aca="false">IF(G197&gt;D197,"Omhoog",IF(G197&lt;D197,"Omlaag","Gelijk"))</f>
        <v>Omlaag</v>
      </c>
      <c r="K197" s="20" t="str">
        <f aca="false">IF(ABS(I197)&gt;=0.2,"controleren","")</f>
        <v/>
      </c>
      <c r="L197" s="21" t="n">
        <f aca="false">G197*Tiers!$B$19</f>
        <v>37.222955</v>
      </c>
      <c r="M197" s="15" t="n">
        <v>127.18</v>
      </c>
      <c r="N197" s="19" t="n">
        <f aca="false">IFERROR(1-D197/M197,0)</f>
        <v>0.449992137128479</v>
      </c>
      <c r="O197" s="19" t="n">
        <f aca="false">IF(Tiers!$B$18="ja",Tiers!$B$20,N197)</f>
        <v>0.449992137128479</v>
      </c>
      <c r="P197" s="15" t="n">
        <f aca="false">ROUNDUP(G197/(1-O197),0)-0.05</f>
        <v>108.95</v>
      </c>
      <c r="Q197" s="19" t="n">
        <f aca="false">IFERROR(1-G197/P197,0)</f>
        <v>0.449747590637907</v>
      </c>
      <c r="R197" s="14" t="n">
        <v>30</v>
      </c>
    </row>
    <row r="198" customFormat="false" ht="15" hidden="false" customHeight="false" outlineLevel="0" collapsed="false">
      <c r="A198" s="14" t="s">
        <v>445</v>
      </c>
      <c r="B198" s="14" t="s">
        <v>446</v>
      </c>
      <c r="C198" s="14" t="s">
        <v>20</v>
      </c>
      <c r="D198" s="15" t="n">
        <v>69.95</v>
      </c>
      <c r="E198" s="15" t="n">
        <f aca="false">IFERROR(INDEX(Tiers!$B$4:$B$15,MATCH(C198,Tiers!$A$4:$A$15,0)),D198)</f>
        <v>59.95</v>
      </c>
      <c r="F198" s="16"/>
      <c r="G198" s="17" t="n">
        <f aca="false">IF(F198="",E198,F198)</f>
        <v>59.95</v>
      </c>
      <c r="H198" s="18" t="n">
        <f aca="false">G198-D198</f>
        <v>-10</v>
      </c>
      <c r="I198" s="19" t="n">
        <f aca="false">IFERROR((G198-D198)/D198,0)</f>
        <v>-0.142959256611866</v>
      </c>
      <c r="J198" s="14" t="str">
        <f aca="false">IF(G198&gt;D198,"Omhoog",IF(G198&lt;D198,"Omlaag","Gelijk"))</f>
        <v>Omlaag</v>
      </c>
      <c r="K198" s="20" t="str">
        <f aca="false">IF(ABS(I198)&gt;=0.2,"controleren","")</f>
        <v/>
      </c>
      <c r="L198" s="21" t="n">
        <f aca="false">G198*Tiers!$B$19</f>
        <v>37.222955</v>
      </c>
      <c r="M198" s="15" t="n">
        <v>139.9</v>
      </c>
      <c r="N198" s="19" t="n">
        <f aca="false">IFERROR(1-D198/M198,0)</f>
        <v>0.5</v>
      </c>
      <c r="O198" s="19" t="n">
        <f aca="false">IF(Tiers!$B$18="ja",Tiers!$B$20,N198)</f>
        <v>0.5</v>
      </c>
      <c r="P198" s="15" t="n">
        <f aca="false">ROUNDUP(G198/(1-O198),0)-0.05</f>
        <v>119.95</v>
      </c>
      <c r="Q198" s="19" t="n">
        <f aca="false">IFERROR(1-G198/P198,0)</f>
        <v>0.500208420175073</v>
      </c>
      <c r="R198" s="14" t="n">
        <v>21</v>
      </c>
    </row>
    <row r="199" customFormat="false" ht="15" hidden="false" customHeight="false" outlineLevel="0" collapsed="false">
      <c r="A199" s="14" t="s">
        <v>447</v>
      </c>
      <c r="B199" s="14" t="s">
        <v>448</v>
      </c>
      <c r="C199" s="14" t="s">
        <v>20</v>
      </c>
      <c r="D199" s="15" t="n">
        <v>69.95</v>
      </c>
      <c r="E199" s="15" t="n">
        <f aca="false">IFERROR(INDEX(Tiers!$B$4:$B$15,MATCH(C199,Tiers!$A$4:$A$15,0)),D199)</f>
        <v>59.95</v>
      </c>
      <c r="F199" s="16"/>
      <c r="G199" s="17" t="n">
        <f aca="false">IF(F199="",E199,F199)</f>
        <v>59.95</v>
      </c>
      <c r="H199" s="18" t="n">
        <f aca="false">G199-D199</f>
        <v>-10</v>
      </c>
      <c r="I199" s="19" t="n">
        <f aca="false">IFERROR((G199-D199)/D199,0)</f>
        <v>-0.142959256611866</v>
      </c>
      <c r="J199" s="14" t="str">
        <f aca="false">IF(G199&gt;D199,"Omhoog",IF(G199&lt;D199,"Omlaag","Gelijk"))</f>
        <v>Omlaag</v>
      </c>
      <c r="K199" s="20" t="str">
        <f aca="false">IF(ABS(I199)&gt;=0.2,"controleren","")</f>
        <v/>
      </c>
      <c r="L199" s="21" t="n">
        <f aca="false">G199*Tiers!$B$19</f>
        <v>37.222955</v>
      </c>
      <c r="M199" s="15" t="n">
        <v>116.58</v>
      </c>
      <c r="N199" s="19" t="n">
        <f aca="false">IFERROR(1-D199/M199,0)</f>
        <v>0.399982844398696</v>
      </c>
      <c r="O199" s="19" t="n">
        <f aca="false">IF(Tiers!$B$18="ja",Tiers!$B$20,N199)</f>
        <v>0.399982844398696</v>
      </c>
      <c r="P199" s="15" t="n">
        <f aca="false">ROUNDUP(G199/(1-O199),0)-0.05</f>
        <v>99.95</v>
      </c>
      <c r="Q199" s="19" t="n">
        <f aca="false">IFERROR(1-G199/P199,0)</f>
        <v>0.400200100050025</v>
      </c>
      <c r="R199" s="14" t="n">
        <v>28</v>
      </c>
    </row>
    <row r="200" customFormat="false" ht="15" hidden="false" customHeight="false" outlineLevel="0" collapsed="false">
      <c r="A200" s="14" t="s">
        <v>449</v>
      </c>
      <c r="B200" s="14" t="s">
        <v>450</v>
      </c>
      <c r="C200" s="14" t="s">
        <v>20</v>
      </c>
      <c r="D200" s="15" t="n">
        <v>69.95</v>
      </c>
      <c r="E200" s="15" t="n">
        <f aca="false">IFERROR(INDEX(Tiers!$B$4:$B$15,MATCH(C200,Tiers!$A$4:$A$15,0)),D200)</f>
        <v>59.95</v>
      </c>
      <c r="F200" s="16"/>
      <c r="G200" s="17" t="n">
        <f aca="false">IF(F200="",E200,F200)</f>
        <v>59.95</v>
      </c>
      <c r="H200" s="18" t="n">
        <f aca="false">G200-D200</f>
        <v>-10</v>
      </c>
      <c r="I200" s="19" t="n">
        <f aca="false">IFERROR((G200-D200)/D200,0)</f>
        <v>-0.142959256611866</v>
      </c>
      <c r="J200" s="14" t="str">
        <f aca="false">IF(G200&gt;D200,"Omhoog",IF(G200&lt;D200,"Omlaag","Gelijk"))</f>
        <v>Omlaag</v>
      </c>
      <c r="K200" s="20" t="str">
        <f aca="false">IF(ABS(I200)&gt;=0.2,"controleren","")</f>
        <v/>
      </c>
      <c r="L200" s="21" t="n">
        <f aca="false">G200*Tiers!$B$19</f>
        <v>37.222955</v>
      </c>
      <c r="M200" s="15" t="n">
        <v>139.9</v>
      </c>
      <c r="N200" s="19" t="n">
        <f aca="false">IFERROR(1-D200/M200,0)</f>
        <v>0.5</v>
      </c>
      <c r="O200" s="19" t="n">
        <f aca="false">IF(Tiers!$B$18="ja",Tiers!$B$20,N200)</f>
        <v>0.5</v>
      </c>
      <c r="P200" s="15" t="n">
        <f aca="false">ROUNDUP(G200/(1-O200),0)-0.05</f>
        <v>119.95</v>
      </c>
      <c r="Q200" s="19" t="n">
        <f aca="false">IFERROR(1-G200/P200,0)</f>
        <v>0.500208420175073</v>
      </c>
      <c r="R200" s="14" t="n">
        <v>18</v>
      </c>
    </row>
    <row r="201" customFormat="false" ht="15" hidden="false" customHeight="false" outlineLevel="0" collapsed="false">
      <c r="A201" s="14" t="s">
        <v>451</v>
      </c>
      <c r="B201" s="14" t="s">
        <v>452</v>
      </c>
      <c r="C201" s="14" t="s">
        <v>20</v>
      </c>
      <c r="D201" s="15" t="n">
        <v>69.95</v>
      </c>
      <c r="E201" s="15" t="n">
        <f aca="false">IFERROR(INDEX(Tiers!$B$4:$B$15,MATCH(C201,Tiers!$A$4:$A$15,0)),D201)</f>
        <v>59.95</v>
      </c>
      <c r="F201" s="16"/>
      <c r="G201" s="17" t="n">
        <f aca="false">IF(F201="",E201,F201)</f>
        <v>59.95</v>
      </c>
      <c r="H201" s="18" t="n">
        <f aca="false">G201-D201</f>
        <v>-10</v>
      </c>
      <c r="I201" s="19" t="n">
        <f aca="false">IFERROR((G201-D201)/D201,0)</f>
        <v>-0.142959256611866</v>
      </c>
      <c r="J201" s="14" t="str">
        <f aca="false">IF(G201&gt;D201,"Omhoog",IF(G201&lt;D201,"Omlaag","Gelijk"))</f>
        <v>Omlaag</v>
      </c>
      <c r="K201" s="20" t="str">
        <f aca="false">IF(ABS(I201)&gt;=0.2,"controleren","")</f>
        <v/>
      </c>
      <c r="L201" s="21" t="n">
        <f aca="false">G201*Tiers!$B$19</f>
        <v>37.222955</v>
      </c>
      <c r="M201" s="15" t="n">
        <v>139.9</v>
      </c>
      <c r="N201" s="19" t="n">
        <f aca="false">IFERROR(1-D201/M201,0)</f>
        <v>0.5</v>
      </c>
      <c r="O201" s="19" t="n">
        <f aca="false">IF(Tiers!$B$18="ja",Tiers!$B$20,N201)</f>
        <v>0.5</v>
      </c>
      <c r="P201" s="15" t="n">
        <f aca="false">ROUNDUP(G201/(1-O201),0)-0.05</f>
        <v>119.95</v>
      </c>
      <c r="Q201" s="19" t="n">
        <f aca="false">IFERROR(1-G201/P201,0)</f>
        <v>0.500208420175073</v>
      </c>
      <c r="R201" s="14" t="n">
        <v>32</v>
      </c>
    </row>
    <row r="202" customFormat="false" ht="15" hidden="false" customHeight="false" outlineLevel="0" collapsed="false">
      <c r="A202" s="14" t="s">
        <v>453</v>
      </c>
      <c r="B202" s="14" t="s">
        <v>454</v>
      </c>
      <c r="C202" s="14" t="s">
        <v>20</v>
      </c>
      <c r="D202" s="15" t="n">
        <v>69.95</v>
      </c>
      <c r="E202" s="15" t="n">
        <f aca="false">IFERROR(INDEX(Tiers!$B$4:$B$15,MATCH(C202,Tiers!$A$4:$A$15,0)),D202)</f>
        <v>59.95</v>
      </c>
      <c r="F202" s="16"/>
      <c r="G202" s="17" t="n">
        <f aca="false">IF(F202="",E202,F202)</f>
        <v>59.95</v>
      </c>
      <c r="H202" s="18" t="n">
        <f aca="false">G202-D202</f>
        <v>-10</v>
      </c>
      <c r="I202" s="19" t="n">
        <f aca="false">IFERROR((G202-D202)/D202,0)</f>
        <v>-0.142959256611866</v>
      </c>
      <c r="J202" s="14" t="str">
        <f aca="false">IF(G202&gt;D202,"Omhoog",IF(G202&lt;D202,"Omlaag","Gelijk"))</f>
        <v>Omlaag</v>
      </c>
      <c r="K202" s="20" t="str">
        <f aca="false">IF(ABS(I202)&gt;=0.2,"controleren","")</f>
        <v/>
      </c>
      <c r="L202" s="21" t="n">
        <f aca="false">G202*Tiers!$B$19</f>
        <v>37.222955</v>
      </c>
      <c r="M202" s="15" t="n">
        <v>127.18</v>
      </c>
      <c r="N202" s="19" t="n">
        <f aca="false">IFERROR(1-D202/M202,0)</f>
        <v>0.449992137128479</v>
      </c>
      <c r="O202" s="19" t="n">
        <f aca="false">IF(Tiers!$B$18="ja",Tiers!$B$20,N202)</f>
        <v>0.449992137128479</v>
      </c>
      <c r="P202" s="15" t="n">
        <f aca="false">ROUNDUP(G202/(1-O202),0)-0.05</f>
        <v>108.95</v>
      </c>
      <c r="Q202" s="19" t="n">
        <f aca="false">IFERROR(1-G202/P202,0)</f>
        <v>0.449747590637907</v>
      </c>
      <c r="R202" s="14" t="n">
        <v>30</v>
      </c>
    </row>
    <row r="203" customFormat="false" ht="15" hidden="false" customHeight="false" outlineLevel="0" collapsed="false">
      <c r="A203" s="14" t="s">
        <v>455</v>
      </c>
      <c r="B203" s="14" t="s">
        <v>456</v>
      </c>
      <c r="C203" s="14" t="s">
        <v>20</v>
      </c>
      <c r="D203" s="15" t="n">
        <v>69.95</v>
      </c>
      <c r="E203" s="15" t="n">
        <f aca="false">IFERROR(INDEX(Tiers!$B$4:$B$15,MATCH(C203,Tiers!$A$4:$A$15,0)),D203)</f>
        <v>59.95</v>
      </c>
      <c r="F203" s="16"/>
      <c r="G203" s="17" t="n">
        <f aca="false">IF(F203="",E203,F203)</f>
        <v>59.95</v>
      </c>
      <c r="H203" s="18" t="n">
        <f aca="false">G203-D203</f>
        <v>-10</v>
      </c>
      <c r="I203" s="19" t="n">
        <f aca="false">IFERROR((G203-D203)/D203,0)</f>
        <v>-0.142959256611866</v>
      </c>
      <c r="J203" s="14" t="str">
        <f aca="false">IF(G203&gt;D203,"Omhoog",IF(G203&lt;D203,"Omlaag","Gelijk"))</f>
        <v>Omlaag</v>
      </c>
      <c r="K203" s="20" t="str">
        <f aca="false">IF(ABS(I203)&gt;=0.2,"controleren","")</f>
        <v/>
      </c>
      <c r="L203" s="21" t="n">
        <f aca="false">G203*Tiers!$B$19</f>
        <v>37.222955</v>
      </c>
      <c r="M203" s="15" t="n">
        <v>116.58</v>
      </c>
      <c r="N203" s="19" t="n">
        <f aca="false">IFERROR(1-D203/M203,0)</f>
        <v>0.399982844398696</v>
      </c>
      <c r="O203" s="19" t="n">
        <f aca="false">IF(Tiers!$B$18="ja",Tiers!$B$20,N203)</f>
        <v>0.399982844398696</v>
      </c>
      <c r="P203" s="15" t="n">
        <f aca="false">ROUNDUP(G203/(1-O203),0)-0.05</f>
        <v>99.95</v>
      </c>
      <c r="Q203" s="19" t="n">
        <f aca="false">IFERROR(1-G203/P203,0)</f>
        <v>0.400200100050025</v>
      </c>
      <c r="R203" s="14" t="n">
        <v>42</v>
      </c>
    </row>
    <row r="204" customFormat="false" ht="15" hidden="false" customHeight="false" outlineLevel="0" collapsed="false">
      <c r="A204" s="14" t="s">
        <v>457</v>
      </c>
      <c r="B204" s="14" t="s">
        <v>458</v>
      </c>
      <c r="C204" s="14" t="s">
        <v>20</v>
      </c>
      <c r="D204" s="15" t="n">
        <v>64.95</v>
      </c>
      <c r="E204" s="15" t="n">
        <f aca="false">IFERROR(INDEX(Tiers!$B$4:$B$15,MATCH(C204,Tiers!$A$4:$A$15,0)),D204)</f>
        <v>59.95</v>
      </c>
      <c r="F204" s="16"/>
      <c r="G204" s="17" t="n">
        <f aca="false">IF(F204="",E204,F204)</f>
        <v>59.95</v>
      </c>
      <c r="H204" s="18" t="n">
        <f aca="false">G204-D204</f>
        <v>-5</v>
      </c>
      <c r="I204" s="19" t="n">
        <f aca="false">IFERROR((G204-D204)/D204,0)</f>
        <v>-0.0769822940723634</v>
      </c>
      <c r="J204" s="14" t="str">
        <f aca="false">IF(G204&gt;D204,"Omhoog",IF(G204&lt;D204,"Omlaag","Gelijk"))</f>
        <v>Omlaag</v>
      </c>
      <c r="K204" s="20" t="str">
        <f aca="false">IF(ABS(I204)&gt;=0.2,"controleren","")</f>
        <v/>
      </c>
      <c r="L204" s="21" t="n">
        <f aca="false">G204*Tiers!$B$19</f>
        <v>37.222955</v>
      </c>
      <c r="M204" s="15" t="n">
        <v>108.25</v>
      </c>
      <c r="N204" s="19" t="n">
        <f aca="false">IFERROR(1-D204/M204,0)</f>
        <v>0.4</v>
      </c>
      <c r="O204" s="19" t="n">
        <f aca="false">IF(Tiers!$B$18="ja",Tiers!$B$20,N204)</f>
        <v>0.4</v>
      </c>
      <c r="P204" s="15" t="n">
        <f aca="false">ROUNDUP(G204/(1-O204),0)-0.05</f>
        <v>99.95</v>
      </c>
      <c r="Q204" s="19" t="n">
        <f aca="false">IFERROR(1-G204/P204,0)</f>
        <v>0.400200100050025</v>
      </c>
      <c r="R204" s="14" t="n">
        <v>30</v>
      </c>
    </row>
    <row r="205" customFormat="false" ht="15" hidden="false" customHeight="false" outlineLevel="0" collapsed="false">
      <c r="A205" s="14" t="s">
        <v>459</v>
      </c>
      <c r="B205" s="14" t="s">
        <v>460</v>
      </c>
      <c r="C205" s="14" t="s">
        <v>20</v>
      </c>
      <c r="D205" s="15" t="n">
        <v>49.95</v>
      </c>
      <c r="E205" s="15" t="n">
        <f aca="false">IFERROR(INDEX(Tiers!$B$4:$B$15,MATCH(C205,Tiers!$A$4:$A$15,0)),D205)</f>
        <v>59.95</v>
      </c>
      <c r="F205" s="16"/>
      <c r="G205" s="17" t="n">
        <f aca="false">IF(F205="",E205,F205)</f>
        <v>59.95</v>
      </c>
      <c r="H205" s="18" t="n">
        <f aca="false">G205-D205</f>
        <v>10</v>
      </c>
      <c r="I205" s="19" t="n">
        <f aca="false">IFERROR((G205-D205)/D205,0)</f>
        <v>0.2002002002002</v>
      </c>
      <c r="J205" s="14" t="str">
        <f aca="false">IF(G205&gt;D205,"Omhoog",IF(G205&lt;D205,"Omlaag","Gelijk"))</f>
        <v>Omhoog</v>
      </c>
      <c r="K205" s="20" t="str">
        <f aca="false">IF(ABS(I205)&gt;=0.2,"controleren","")</f>
        <v>controleren</v>
      </c>
      <c r="L205" s="21" t="n">
        <f aca="false">G205*Tiers!$B$19</f>
        <v>37.222955</v>
      </c>
      <c r="M205" s="15" t="n">
        <v>90.82</v>
      </c>
      <c r="N205" s="19" t="n">
        <f aca="false">IFERROR(1-D205/M205,0)</f>
        <v>0.450011010790575</v>
      </c>
      <c r="O205" s="19" t="n">
        <f aca="false">IF(Tiers!$B$18="ja",Tiers!$B$20,N205)</f>
        <v>0.450011010790575</v>
      </c>
      <c r="P205" s="15" t="n">
        <f aca="false">ROUNDUP(G205/(1-O205),0)-0.05</f>
        <v>109.95</v>
      </c>
      <c r="Q205" s="19" t="n">
        <f aca="false">IFERROR(1-G205/P205,0)</f>
        <v>0.45475216007276</v>
      </c>
      <c r="R205" s="14" t="n">
        <v>48</v>
      </c>
    </row>
    <row r="206" customFormat="false" ht="15" hidden="false" customHeight="false" outlineLevel="0" collapsed="false">
      <c r="A206" s="14" t="s">
        <v>461</v>
      </c>
      <c r="B206" s="14" t="s">
        <v>462</v>
      </c>
      <c r="C206" s="14" t="s">
        <v>20</v>
      </c>
      <c r="D206" s="15" t="n">
        <v>69.95</v>
      </c>
      <c r="E206" s="15" t="n">
        <f aca="false">IFERROR(INDEX(Tiers!$B$4:$B$15,MATCH(C206,Tiers!$A$4:$A$15,0)),D206)</f>
        <v>59.95</v>
      </c>
      <c r="F206" s="16"/>
      <c r="G206" s="17" t="n">
        <f aca="false">IF(F206="",E206,F206)</f>
        <v>59.95</v>
      </c>
      <c r="H206" s="18" t="n">
        <f aca="false">G206-D206</f>
        <v>-10</v>
      </c>
      <c r="I206" s="19" t="n">
        <f aca="false">IFERROR((G206-D206)/D206,0)</f>
        <v>-0.142959256611866</v>
      </c>
      <c r="J206" s="14" t="str">
        <f aca="false">IF(G206&gt;D206,"Omhoog",IF(G206&lt;D206,"Omlaag","Gelijk"))</f>
        <v>Omlaag</v>
      </c>
      <c r="K206" s="20" t="str">
        <f aca="false">IF(ABS(I206)&gt;=0.2,"controleren","")</f>
        <v/>
      </c>
      <c r="L206" s="21" t="n">
        <f aca="false">G206*Tiers!$B$19</f>
        <v>37.222955</v>
      </c>
      <c r="M206" s="15" t="n">
        <v>127.18</v>
      </c>
      <c r="N206" s="19" t="n">
        <f aca="false">IFERROR(1-D206/M206,0)</f>
        <v>0.449992137128479</v>
      </c>
      <c r="O206" s="19" t="n">
        <f aca="false">IF(Tiers!$B$18="ja",Tiers!$B$20,N206)</f>
        <v>0.449992137128479</v>
      </c>
      <c r="P206" s="15" t="n">
        <f aca="false">ROUNDUP(G206/(1-O206),0)-0.05</f>
        <v>108.95</v>
      </c>
      <c r="Q206" s="19" t="n">
        <f aca="false">IFERROR(1-G206/P206,0)</f>
        <v>0.449747590637907</v>
      </c>
      <c r="R206" s="14" t="n">
        <v>24</v>
      </c>
    </row>
    <row r="207" customFormat="false" ht="15" hidden="false" customHeight="false" outlineLevel="0" collapsed="false">
      <c r="A207" s="14" t="s">
        <v>463</v>
      </c>
      <c r="B207" s="14" t="s">
        <v>464</v>
      </c>
      <c r="C207" s="14" t="s">
        <v>20</v>
      </c>
      <c r="D207" s="15" t="n">
        <v>64.95</v>
      </c>
      <c r="E207" s="15" t="n">
        <f aca="false">IFERROR(INDEX(Tiers!$B$4:$B$15,MATCH(C207,Tiers!$A$4:$A$15,0)),D207)</f>
        <v>59.95</v>
      </c>
      <c r="F207" s="16"/>
      <c r="G207" s="17" t="n">
        <f aca="false">IF(F207="",E207,F207)</f>
        <v>59.95</v>
      </c>
      <c r="H207" s="18" t="n">
        <f aca="false">G207-D207</f>
        <v>-5</v>
      </c>
      <c r="I207" s="19" t="n">
        <f aca="false">IFERROR((G207-D207)/D207,0)</f>
        <v>-0.0769822940723634</v>
      </c>
      <c r="J207" s="14" t="str">
        <f aca="false">IF(G207&gt;D207,"Omhoog",IF(G207&lt;D207,"Omlaag","Gelijk"))</f>
        <v>Omlaag</v>
      </c>
      <c r="K207" s="20" t="str">
        <f aca="false">IF(ABS(I207)&gt;=0.2,"controleren","")</f>
        <v/>
      </c>
      <c r="L207" s="21" t="n">
        <f aca="false">G207*Tiers!$B$19</f>
        <v>37.222955</v>
      </c>
      <c r="M207" s="15" t="n">
        <v>108.25</v>
      </c>
      <c r="N207" s="19" t="n">
        <f aca="false">IFERROR(1-D207/M207,0)</f>
        <v>0.4</v>
      </c>
      <c r="O207" s="19" t="n">
        <f aca="false">IF(Tiers!$B$18="ja",Tiers!$B$20,N207)</f>
        <v>0.4</v>
      </c>
      <c r="P207" s="15" t="n">
        <f aca="false">ROUNDUP(G207/(1-O207),0)-0.05</f>
        <v>99.95</v>
      </c>
      <c r="Q207" s="19" t="n">
        <f aca="false">IFERROR(1-G207/P207,0)</f>
        <v>0.400200100050025</v>
      </c>
      <c r="R207" s="14" t="n">
        <v>5</v>
      </c>
    </row>
    <row r="208" customFormat="false" ht="15" hidden="false" customHeight="false" outlineLevel="0" collapsed="false">
      <c r="A208" s="14" t="s">
        <v>465</v>
      </c>
      <c r="B208" s="14" t="s">
        <v>466</v>
      </c>
      <c r="C208" s="14" t="s">
        <v>20</v>
      </c>
      <c r="D208" s="15" t="n">
        <v>69.95</v>
      </c>
      <c r="E208" s="15" t="n">
        <f aca="false">IFERROR(INDEX(Tiers!$B$4:$B$15,MATCH(C208,Tiers!$A$4:$A$15,0)),D208)</f>
        <v>59.95</v>
      </c>
      <c r="F208" s="16"/>
      <c r="G208" s="17" t="n">
        <f aca="false">IF(F208="",E208,F208)</f>
        <v>59.95</v>
      </c>
      <c r="H208" s="18" t="n">
        <f aca="false">G208-D208</f>
        <v>-10</v>
      </c>
      <c r="I208" s="19" t="n">
        <f aca="false">IFERROR((G208-D208)/D208,0)</f>
        <v>-0.142959256611866</v>
      </c>
      <c r="J208" s="14" t="str">
        <f aca="false">IF(G208&gt;D208,"Omhoog",IF(G208&lt;D208,"Omlaag","Gelijk"))</f>
        <v>Omlaag</v>
      </c>
      <c r="K208" s="20" t="str">
        <f aca="false">IF(ABS(I208)&gt;=0.2,"controleren","")</f>
        <v/>
      </c>
      <c r="L208" s="21" t="n">
        <f aca="false">G208*Tiers!$B$19</f>
        <v>37.222955</v>
      </c>
      <c r="M208" s="15" t="n">
        <v>116.58</v>
      </c>
      <c r="N208" s="19" t="n">
        <f aca="false">IFERROR(1-D208/M208,0)</f>
        <v>0.399982844398696</v>
      </c>
      <c r="O208" s="19" t="n">
        <f aca="false">IF(Tiers!$B$18="ja",Tiers!$B$20,N208)</f>
        <v>0.399982844398696</v>
      </c>
      <c r="P208" s="15" t="n">
        <f aca="false">ROUNDUP(G208/(1-O208),0)-0.05</f>
        <v>99.95</v>
      </c>
      <c r="Q208" s="19" t="n">
        <f aca="false">IFERROR(1-G208/P208,0)</f>
        <v>0.400200100050025</v>
      </c>
      <c r="R208" s="14" t="n">
        <v>28</v>
      </c>
    </row>
    <row r="209" customFormat="false" ht="15" hidden="false" customHeight="false" outlineLevel="0" collapsed="false">
      <c r="A209" s="14" t="s">
        <v>467</v>
      </c>
      <c r="B209" s="14" t="s">
        <v>468</v>
      </c>
      <c r="C209" s="14" t="s">
        <v>20</v>
      </c>
      <c r="D209" s="15" t="n">
        <v>69.95</v>
      </c>
      <c r="E209" s="15" t="n">
        <f aca="false">IFERROR(INDEX(Tiers!$B$4:$B$15,MATCH(C209,Tiers!$A$4:$A$15,0)),D209)</f>
        <v>59.95</v>
      </c>
      <c r="F209" s="16"/>
      <c r="G209" s="17" t="n">
        <f aca="false">IF(F209="",E209,F209)</f>
        <v>59.95</v>
      </c>
      <c r="H209" s="18" t="n">
        <f aca="false">G209-D209</f>
        <v>-10</v>
      </c>
      <c r="I209" s="19" t="n">
        <f aca="false">IFERROR((G209-D209)/D209,0)</f>
        <v>-0.142959256611866</v>
      </c>
      <c r="J209" s="14" t="str">
        <f aca="false">IF(G209&gt;D209,"Omhoog",IF(G209&lt;D209,"Omlaag","Gelijk"))</f>
        <v>Omlaag</v>
      </c>
      <c r="K209" s="20" t="str">
        <f aca="false">IF(ABS(I209)&gt;=0.2,"controleren","")</f>
        <v/>
      </c>
      <c r="L209" s="21" t="n">
        <f aca="false">G209*Tiers!$B$19</f>
        <v>37.222955</v>
      </c>
      <c r="M209" s="15" t="n">
        <v>116.58</v>
      </c>
      <c r="N209" s="19" t="n">
        <f aca="false">IFERROR(1-D209/M209,0)</f>
        <v>0.399982844398696</v>
      </c>
      <c r="O209" s="19" t="n">
        <f aca="false">IF(Tiers!$B$18="ja",Tiers!$B$20,N209)</f>
        <v>0.399982844398696</v>
      </c>
      <c r="P209" s="15" t="n">
        <f aca="false">ROUNDUP(G209/(1-O209),0)-0.05</f>
        <v>99.95</v>
      </c>
      <c r="Q209" s="19" t="n">
        <f aca="false">IFERROR(1-G209/P209,0)</f>
        <v>0.400200100050025</v>
      </c>
      <c r="R209" s="14" t="n">
        <v>15</v>
      </c>
    </row>
    <row r="210" customFormat="false" ht="15" hidden="false" customHeight="false" outlineLevel="0" collapsed="false">
      <c r="A210" s="14" t="s">
        <v>469</v>
      </c>
      <c r="B210" s="14" t="s">
        <v>470</v>
      </c>
      <c r="C210" s="14" t="s">
        <v>20</v>
      </c>
      <c r="D210" s="15" t="n">
        <v>69.95</v>
      </c>
      <c r="E210" s="15" t="n">
        <f aca="false">IFERROR(INDEX(Tiers!$B$4:$B$15,MATCH(C210,Tiers!$A$4:$A$15,0)),D210)</f>
        <v>59.95</v>
      </c>
      <c r="F210" s="16"/>
      <c r="G210" s="17" t="n">
        <f aca="false">IF(F210="",E210,F210)</f>
        <v>59.95</v>
      </c>
      <c r="H210" s="18" t="n">
        <f aca="false">G210-D210</f>
        <v>-10</v>
      </c>
      <c r="I210" s="19" t="n">
        <f aca="false">IFERROR((G210-D210)/D210,0)</f>
        <v>-0.142959256611866</v>
      </c>
      <c r="J210" s="14" t="str">
        <f aca="false">IF(G210&gt;D210,"Omhoog",IF(G210&lt;D210,"Omlaag","Gelijk"))</f>
        <v>Omlaag</v>
      </c>
      <c r="K210" s="20" t="str">
        <f aca="false">IF(ABS(I210)&gt;=0.2,"controleren","")</f>
        <v/>
      </c>
      <c r="L210" s="21" t="n">
        <f aca="false">G210*Tiers!$B$19</f>
        <v>37.222955</v>
      </c>
      <c r="M210" s="15" t="n">
        <v>139.9</v>
      </c>
      <c r="N210" s="19" t="n">
        <f aca="false">IFERROR(1-D210/M210,0)</f>
        <v>0.5</v>
      </c>
      <c r="O210" s="19" t="n">
        <f aca="false">IF(Tiers!$B$18="ja",Tiers!$B$20,N210)</f>
        <v>0.5</v>
      </c>
      <c r="P210" s="15" t="n">
        <f aca="false">ROUNDUP(G210/(1-O210),0)-0.05</f>
        <v>119.95</v>
      </c>
      <c r="Q210" s="19" t="n">
        <f aca="false">IFERROR(1-G210/P210,0)</f>
        <v>0.500208420175073</v>
      </c>
      <c r="R210" s="14" t="n">
        <v>20</v>
      </c>
    </row>
    <row r="211" customFormat="false" ht="15" hidden="false" customHeight="false" outlineLevel="0" collapsed="false">
      <c r="A211" s="14" t="s">
        <v>471</v>
      </c>
      <c r="B211" s="14" t="s">
        <v>472</v>
      </c>
      <c r="C211" s="14" t="s">
        <v>20</v>
      </c>
      <c r="D211" s="15" t="n">
        <v>69.95</v>
      </c>
      <c r="E211" s="15" t="n">
        <f aca="false">IFERROR(INDEX(Tiers!$B$4:$B$15,MATCH(C211,Tiers!$A$4:$A$15,0)),D211)</f>
        <v>59.95</v>
      </c>
      <c r="F211" s="16"/>
      <c r="G211" s="17" t="n">
        <f aca="false">IF(F211="",E211,F211)</f>
        <v>59.95</v>
      </c>
      <c r="H211" s="18" t="n">
        <f aca="false">G211-D211</f>
        <v>-10</v>
      </c>
      <c r="I211" s="19" t="n">
        <f aca="false">IFERROR((G211-D211)/D211,0)</f>
        <v>-0.142959256611866</v>
      </c>
      <c r="J211" s="14" t="str">
        <f aca="false">IF(G211&gt;D211,"Omhoog",IF(G211&lt;D211,"Omlaag","Gelijk"))</f>
        <v>Omlaag</v>
      </c>
      <c r="K211" s="20" t="str">
        <f aca="false">IF(ABS(I211)&gt;=0.2,"controleren","")</f>
        <v/>
      </c>
      <c r="L211" s="21" t="n">
        <f aca="false">G211*Tiers!$B$19</f>
        <v>37.222955</v>
      </c>
      <c r="M211" s="15" t="n">
        <v>127.18</v>
      </c>
      <c r="N211" s="19" t="n">
        <f aca="false">IFERROR(1-D211/M211,0)</f>
        <v>0.449992137128479</v>
      </c>
      <c r="O211" s="19" t="n">
        <f aca="false">IF(Tiers!$B$18="ja",Tiers!$B$20,N211)</f>
        <v>0.449992137128479</v>
      </c>
      <c r="P211" s="15" t="n">
        <f aca="false">ROUNDUP(G211/(1-O211),0)-0.05</f>
        <v>108.95</v>
      </c>
      <c r="Q211" s="19" t="n">
        <f aca="false">IFERROR(1-G211/P211,0)</f>
        <v>0.449747590637907</v>
      </c>
      <c r="R211" s="14" t="n">
        <v>30</v>
      </c>
    </row>
    <row r="212" customFormat="false" ht="15" hidden="false" customHeight="false" outlineLevel="0" collapsed="false">
      <c r="A212" s="14" t="s">
        <v>473</v>
      </c>
      <c r="B212" s="14" t="s">
        <v>474</v>
      </c>
      <c r="C212" s="14" t="s">
        <v>20</v>
      </c>
      <c r="D212" s="15" t="n">
        <v>69.95</v>
      </c>
      <c r="E212" s="15" t="n">
        <f aca="false">IFERROR(INDEX(Tiers!$B$4:$B$15,MATCH(C212,Tiers!$A$4:$A$15,0)),D212)</f>
        <v>59.95</v>
      </c>
      <c r="F212" s="16"/>
      <c r="G212" s="17" t="n">
        <f aca="false">IF(F212="",E212,F212)</f>
        <v>59.95</v>
      </c>
      <c r="H212" s="18" t="n">
        <f aca="false">G212-D212</f>
        <v>-10</v>
      </c>
      <c r="I212" s="19" t="n">
        <f aca="false">IFERROR((G212-D212)/D212,0)</f>
        <v>-0.142959256611866</v>
      </c>
      <c r="J212" s="14" t="str">
        <f aca="false">IF(G212&gt;D212,"Omhoog",IF(G212&lt;D212,"Omlaag","Gelijk"))</f>
        <v>Omlaag</v>
      </c>
      <c r="K212" s="20" t="str">
        <f aca="false">IF(ABS(I212)&gt;=0.2,"controleren","")</f>
        <v/>
      </c>
      <c r="L212" s="21" t="n">
        <f aca="false">G212*Tiers!$B$19</f>
        <v>37.222955</v>
      </c>
      <c r="M212" s="15" t="n">
        <v>116.58</v>
      </c>
      <c r="N212" s="19" t="n">
        <f aca="false">IFERROR(1-D212/M212,0)</f>
        <v>0.399982844398696</v>
      </c>
      <c r="O212" s="19" t="n">
        <f aca="false">IF(Tiers!$B$18="ja",Tiers!$B$20,N212)</f>
        <v>0.399982844398696</v>
      </c>
      <c r="P212" s="15" t="n">
        <f aca="false">ROUNDUP(G212/(1-O212),0)-0.05</f>
        <v>99.95</v>
      </c>
      <c r="Q212" s="19" t="n">
        <f aca="false">IFERROR(1-G212/P212,0)</f>
        <v>0.400200100050025</v>
      </c>
      <c r="R212" s="14" t="n">
        <v>42</v>
      </c>
    </row>
    <row r="213" customFormat="false" ht="15" hidden="false" customHeight="false" outlineLevel="0" collapsed="false">
      <c r="A213" s="14" t="s">
        <v>475</v>
      </c>
      <c r="B213" s="14" t="s">
        <v>476</v>
      </c>
      <c r="C213" s="14" t="s">
        <v>20</v>
      </c>
      <c r="D213" s="15" t="n">
        <v>69.95</v>
      </c>
      <c r="E213" s="15" t="n">
        <f aca="false">IFERROR(INDEX(Tiers!$B$4:$B$15,MATCH(C213,Tiers!$A$4:$A$15,0)),D213)</f>
        <v>59.95</v>
      </c>
      <c r="F213" s="16"/>
      <c r="G213" s="17" t="n">
        <f aca="false">IF(F213="",E213,F213)</f>
        <v>59.95</v>
      </c>
      <c r="H213" s="18" t="n">
        <f aca="false">G213-D213</f>
        <v>-10</v>
      </c>
      <c r="I213" s="19" t="n">
        <f aca="false">IFERROR((G213-D213)/D213,0)</f>
        <v>-0.142959256611866</v>
      </c>
      <c r="J213" s="14" t="str">
        <f aca="false">IF(G213&gt;D213,"Omhoog",IF(G213&lt;D213,"Omlaag","Gelijk"))</f>
        <v>Omlaag</v>
      </c>
      <c r="K213" s="20" t="str">
        <f aca="false">IF(ABS(I213)&gt;=0.2,"controleren","")</f>
        <v/>
      </c>
      <c r="L213" s="21" t="n">
        <f aca="false">G213*Tiers!$B$19</f>
        <v>37.222955</v>
      </c>
      <c r="M213" s="15" t="n">
        <v>127.18</v>
      </c>
      <c r="N213" s="19" t="n">
        <f aca="false">IFERROR(1-D213/M213,0)</f>
        <v>0.449992137128479</v>
      </c>
      <c r="O213" s="19" t="n">
        <f aca="false">IF(Tiers!$B$18="ja",Tiers!$B$20,N213)</f>
        <v>0.449992137128479</v>
      </c>
      <c r="P213" s="15" t="n">
        <f aca="false">ROUNDUP(G213/(1-O213),0)-0.05</f>
        <v>108.95</v>
      </c>
      <c r="Q213" s="19" t="n">
        <f aca="false">IFERROR(1-G213/P213,0)</f>
        <v>0.449747590637907</v>
      </c>
      <c r="R213" s="14" t="n">
        <v>54</v>
      </c>
    </row>
    <row r="214" customFormat="false" ht="15" hidden="false" customHeight="false" outlineLevel="0" collapsed="false">
      <c r="A214" s="14" t="s">
        <v>477</v>
      </c>
      <c r="B214" s="14" t="s">
        <v>478</v>
      </c>
      <c r="C214" s="14" t="s">
        <v>20</v>
      </c>
      <c r="D214" s="15" t="n">
        <v>69.95</v>
      </c>
      <c r="E214" s="15" t="n">
        <f aca="false">IFERROR(INDEX(Tiers!$B$4:$B$15,MATCH(C214,Tiers!$A$4:$A$15,0)),D214)</f>
        <v>59.95</v>
      </c>
      <c r="F214" s="16"/>
      <c r="G214" s="17" t="n">
        <f aca="false">IF(F214="",E214,F214)</f>
        <v>59.95</v>
      </c>
      <c r="H214" s="18" t="n">
        <f aca="false">G214-D214</f>
        <v>-10</v>
      </c>
      <c r="I214" s="19" t="n">
        <f aca="false">IFERROR((G214-D214)/D214,0)</f>
        <v>-0.142959256611866</v>
      </c>
      <c r="J214" s="14" t="str">
        <f aca="false">IF(G214&gt;D214,"Omhoog",IF(G214&lt;D214,"Omlaag","Gelijk"))</f>
        <v>Omlaag</v>
      </c>
      <c r="K214" s="20" t="str">
        <f aca="false">IF(ABS(I214)&gt;=0.2,"controleren","")</f>
        <v/>
      </c>
      <c r="L214" s="21" t="n">
        <f aca="false">G214*Tiers!$B$19</f>
        <v>37.222955</v>
      </c>
      <c r="M214" s="15" t="n">
        <v>139.9</v>
      </c>
      <c r="N214" s="19" t="n">
        <f aca="false">IFERROR(1-D214/M214,0)</f>
        <v>0.5</v>
      </c>
      <c r="O214" s="19" t="n">
        <f aca="false">IF(Tiers!$B$18="ja",Tiers!$B$20,N214)</f>
        <v>0.5</v>
      </c>
      <c r="P214" s="15" t="n">
        <f aca="false">ROUNDUP(G214/(1-O214),0)-0.05</f>
        <v>119.95</v>
      </c>
      <c r="Q214" s="19" t="n">
        <f aca="false">IFERROR(1-G214/P214,0)</f>
        <v>0.500208420175073</v>
      </c>
      <c r="R214" s="14" t="n">
        <v>18</v>
      </c>
    </row>
    <row r="215" customFormat="false" ht="15" hidden="false" customHeight="false" outlineLevel="0" collapsed="false">
      <c r="A215" s="14" t="s">
        <v>479</v>
      </c>
      <c r="B215" s="14" t="s">
        <v>480</v>
      </c>
      <c r="C215" s="14" t="s">
        <v>20</v>
      </c>
      <c r="D215" s="15" t="n">
        <v>64.95</v>
      </c>
      <c r="E215" s="15" t="n">
        <f aca="false">IFERROR(INDEX(Tiers!$B$4:$B$15,MATCH(C215,Tiers!$A$4:$A$15,0)),D215)</f>
        <v>59.95</v>
      </c>
      <c r="F215" s="16"/>
      <c r="G215" s="17" t="n">
        <f aca="false">IF(F215="",E215,F215)</f>
        <v>59.95</v>
      </c>
      <c r="H215" s="18" t="n">
        <f aca="false">G215-D215</f>
        <v>-5</v>
      </c>
      <c r="I215" s="19" t="n">
        <f aca="false">IFERROR((G215-D215)/D215,0)</f>
        <v>-0.0769822940723634</v>
      </c>
      <c r="J215" s="14" t="str">
        <f aca="false">IF(G215&gt;D215,"Omhoog",IF(G215&lt;D215,"Omlaag","Gelijk"))</f>
        <v>Omlaag</v>
      </c>
      <c r="K215" s="20" t="str">
        <f aca="false">IF(ABS(I215)&gt;=0.2,"controleren","")</f>
        <v/>
      </c>
      <c r="L215" s="21" t="n">
        <f aca="false">G215*Tiers!$B$19</f>
        <v>37.222955</v>
      </c>
      <c r="M215" s="15" t="n">
        <v>108.25</v>
      </c>
      <c r="N215" s="19" t="n">
        <f aca="false">IFERROR(1-D215/M215,0)</f>
        <v>0.4</v>
      </c>
      <c r="O215" s="19" t="n">
        <f aca="false">IF(Tiers!$B$18="ja",Tiers!$B$20,N215)</f>
        <v>0.4</v>
      </c>
      <c r="P215" s="15" t="n">
        <f aca="false">ROUNDUP(G215/(1-O215),0)-0.05</f>
        <v>99.95</v>
      </c>
      <c r="Q215" s="19" t="n">
        <f aca="false">IFERROR(1-G215/P215,0)</f>
        <v>0.400200100050025</v>
      </c>
      <c r="R215" s="14" t="n">
        <v>16</v>
      </c>
    </row>
    <row r="216" customFormat="false" ht="15" hidden="false" customHeight="false" outlineLevel="0" collapsed="false">
      <c r="A216" s="14" t="s">
        <v>481</v>
      </c>
      <c r="B216" s="14" t="s">
        <v>482</v>
      </c>
      <c r="C216" s="14" t="s">
        <v>20</v>
      </c>
      <c r="D216" s="15" t="n">
        <v>69.95</v>
      </c>
      <c r="E216" s="15" t="n">
        <f aca="false">IFERROR(INDEX(Tiers!$B$4:$B$15,MATCH(C216,Tiers!$A$4:$A$15,0)),D216)</f>
        <v>59.95</v>
      </c>
      <c r="F216" s="16"/>
      <c r="G216" s="17" t="n">
        <f aca="false">IF(F216="",E216,F216)</f>
        <v>59.95</v>
      </c>
      <c r="H216" s="18" t="n">
        <f aca="false">G216-D216</f>
        <v>-10</v>
      </c>
      <c r="I216" s="19" t="n">
        <f aca="false">IFERROR((G216-D216)/D216,0)</f>
        <v>-0.142959256611866</v>
      </c>
      <c r="J216" s="14" t="str">
        <f aca="false">IF(G216&gt;D216,"Omhoog",IF(G216&lt;D216,"Omlaag","Gelijk"))</f>
        <v>Omlaag</v>
      </c>
      <c r="K216" s="20" t="str">
        <f aca="false">IF(ABS(I216)&gt;=0.2,"controleren","")</f>
        <v/>
      </c>
      <c r="L216" s="21" t="n">
        <f aca="false">G216*Tiers!$B$19</f>
        <v>37.222955</v>
      </c>
      <c r="M216" s="15" t="n">
        <v>139.9</v>
      </c>
      <c r="N216" s="19" t="n">
        <f aca="false">IFERROR(1-D216/M216,0)</f>
        <v>0.5</v>
      </c>
      <c r="O216" s="19" t="n">
        <f aca="false">IF(Tiers!$B$18="ja",Tiers!$B$20,N216)</f>
        <v>0.5</v>
      </c>
      <c r="P216" s="15" t="n">
        <f aca="false">ROUNDUP(G216/(1-O216),0)-0.05</f>
        <v>119.95</v>
      </c>
      <c r="Q216" s="19" t="n">
        <f aca="false">IFERROR(1-G216/P216,0)</f>
        <v>0.500208420175073</v>
      </c>
      <c r="R216" s="14" t="n">
        <v>25</v>
      </c>
    </row>
    <row r="217" customFormat="false" ht="15" hidden="false" customHeight="false" outlineLevel="0" collapsed="false">
      <c r="A217" s="14" t="s">
        <v>483</v>
      </c>
      <c r="B217" s="14" t="s">
        <v>484</v>
      </c>
      <c r="C217" s="14" t="s">
        <v>20</v>
      </c>
      <c r="D217" s="15" t="n">
        <v>69.95</v>
      </c>
      <c r="E217" s="15" t="n">
        <f aca="false">IFERROR(INDEX(Tiers!$B$4:$B$15,MATCH(C217,Tiers!$A$4:$A$15,0)),D217)</f>
        <v>59.95</v>
      </c>
      <c r="F217" s="16"/>
      <c r="G217" s="17" t="n">
        <f aca="false">IF(F217="",E217,F217)</f>
        <v>59.95</v>
      </c>
      <c r="H217" s="18" t="n">
        <f aca="false">G217-D217</f>
        <v>-10</v>
      </c>
      <c r="I217" s="19" t="n">
        <f aca="false">IFERROR((G217-D217)/D217,0)</f>
        <v>-0.142959256611866</v>
      </c>
      <c r="J217" s="14" t="str">
        <f aca="false">IF(G217&gt;D217,"Omhoog",IF(G217&lt;D217,"Omlaag","Gelijk"))</f>
        <v>Omlaag</v>
      </c>
      <c r="K217" s="20" t="str">
        <f aca="false">IF(ABS(I217)&gt;=0.2,"controleren","")</f>
        <v/>
      </c>
      <c r="L217" s="21" t="n">
        <f aca="false">G217*Tiers!$B$19</f>
        <v>37.222955</v>
      </c>
      <c r="M217" s="15" t="n">
        <v>127.18</v>
      </c>
      <c r="N217" s="19" t="n">
        <f aca="false">IFERROR(1-D217/M217,0)</f>
        <v>0.449992137128479</v>
      </c>
      <c r="O217" s="19" t="n">
        <f aca="false">IF(Tiers!$B$18="ja",Tiers!$B$20,N217)</f>
        <v>0.449992137128479</v>
      </c>
      <c r="P217" s="15" t="n">
        <f aca="false">ROUNDUP(G217/(1-O217),0)-0.05</f>
        <v>108.95</v>
      </c>
      <c r="Q217" s="19" t="n">
        <f aca="false">IFERROR(1-G217/P217,0)</f>
        <v>0.449747590637907</v>
      </c>
      <c r="R217" s="14" t="n">
        <v>40</v>
      </c>
    </row>
    <row r="218" customFormat="false" ht="15" hidden="false" customHeight="false" outlineLevel="0" collapsed="false">
      <c r="A218" s="14" t="s">
        <v>485</v>
      </c>
      <c r="B218" s="14" t="s">
        <v>486</v>
      </c>
      <c r="C218" s="14" t="s">
        <v>20</v>
      </c>
      <c r="D218" s="15" t="n">
        <v>69.95</v>
      </c>
      <c r="E218" s="15" t="n">
        <f aca="false">IFERROR(INDEX(Tiers!$B$4:$B$15,MATCH(C218,Tiers!$A$4:$A$15,0)),D218)</f>
        <v>59.95</v>
      </c>
      <c r="F218" s="16"/>
      <c r="G218" s="17" t="n">
        <f aca="false">IF(F218="",E218,F218)</f>
        <v>59.95</v>
      </c>
      <c r="H218" s="18" t="n">
        <f aca="false">G218-D218</f>
        <v>-10</v>
      </c>
      <c r="I218" s="19" t="n">
        <f aca="false">IFERROR((G218-D218)/D218,0)</f>
        <v>-0.142959256611866</v>
      </c>
      <c r="J218" s="14" t="str">
        <f aca="false">IF(G218&gt;D218,"Omhoog",IF(G218&lt;D218,"Omlaag","Gelijk"))</f>
        <v>Omlaag</v>
      </c>
      <c r="K218" s="20" t="str">
        <f aca="false">IF(ABS(I218)&gt;=0.2,"controleren","")</f>
        <v/>
      </c>
      <c r="L218" s="21" t="n">
        <f aca="false">G218*Tiers!$B$19</f>
        <v>37.222955</v>
      </c>
      <c r="M218" s="15" t="n">
        <v>116.58</v>
      </c>
      <c r="N218" s="19" t="n">
        <f aca="false">IFERROR(1-D218/M218,0)</f>
        <v>0.399982844398696</v>
      </c>
      <c r="O218" s="19" t="n">
        <f aca="false">IF(Tiers!$B$18="ja",Tiers!$B$20,N218)</f>
        <v>0.399982844398696</v>
      </c>
      <c r="P218" s="15" t="n">
        <f aca="false">ROUNDUP(G218/(1-O218),0)-0.05</f>
        <v>99.95</v>
      </c>
      <c r="Q218" s="19" t="n">
        <f aca="false">IFERROR(1-G218/P218,0)</f>
        <v>0.400200100050025</v>
      </c>
      <c r="R218" s="14" t="n">
        <v>30</v>
      </c>
    </row>
    <row r="219" customFormat="false" ht="15" hidden="false" customHeight="false" outlineLevel="0" collapsed="false">
      <c r="A219" s="14" t="s">
        <v>487</v>
      </c>
      <c r="B219" s="14" t="s">
        <v>488</v>
      </c>
      <c r="C219" s="14" t="s">
        <v>20</v>
      </c>
      <c r="D219" s="15" t="n">
        <v>49.95</v>
      </c>
      <c r="E219" s="15" t="n">
        <f aca="false">IFERROR(INDEX(Tiers!$B$4:$B$15,MATCH(C219,Tiers!$A$4:$A$15,0)),D219)</f>
        <v>59.95</v>
      </c>
      <c r="F219" s="16"/>
      <c r="G219" s="17" t="n">
        <f aca="false">IF(F219="",E219,F219)</f>
        <v>59.95</v>
      </c>
      <c r="H219" s="18" t="n">
        <f aca="false">G219-D219</f>
        <v>10</v>
      </c>
      <c r="I219" s="19" t="n">
        <f aca="false">IFERROR((G219-D219)/D219,0)</f>
        <v>0.2002002002002</v>
      </c>
      <c r="J219" s="14" t="str">
        <f aca="false">IF(G219&gt;D219,"Omhoog",IF(G219&lt;D219,"Omlaag","Gelijk"))</f>
        <v>Omhoog</v>
      </c>
      <c r="K219" s="20" t="str">
        <f aca="false">IF(ABS(I219)&gt;=0.2,"controleren","")</f>
        <v>controleren</v>
      </c>
      <c r="L219" s="21" t="n">
        <f aca="false">G219*Tiers!$B$19</f>
        <v>37.222955</v>
      </c>
      <c r="M219" s="15" t="n">
        <v>83.25</v>
      </c>
      <c r="N219" s="19" t="n">
        <f aca="false">IFERROR(1-D219/M219,0)</f>
        <v>0.4</v>
      </c>
      <c r="O219" s="19" t="n">
        <f aca="false">IF(Tiers!$B$18="ja",Tiers!$B$20,N219)</f>
        <v>0.4</v>
      </c>
      <c r="P219" s="15" t="n">
        <f aca="false">ROUNDUP(G219/(1-O219),0)-0.05</f>
        <v>99.95</v>
      </c>
      <c r="Q219" s="19" t="n">
        <f aca="false">IFERROR(1-G219/P219,0)</f>
        <v>0.400200100050025</v>
      </c>
      <c r="R219" s="14" t="n">
        <v>36</v>
      </c>
    </row>
    <row r="220" customFormat="false" ht="15" hidden="false" customHeight="false" outlineLevel="0" collapsed="false">
      <c r="A220" s="14" t="s">
        <v>489</v>
      </c>
      <c r="B220" s="14" t="s">
        <v>490</v>
      </c>
      <c r="C220" s="14" t="s">
        <v>20</v>
      </c>
      <c r="D220" s="15" t="n">
        <v>69.95</v>
      </c>
      <c r="E220" s="15" t="n">
        <f aca="false">IFERROR(INDEX(Tiers!$B$4:$B$15,MATCH(C220,Tiers!$A$4:$A$15,0)),D220)</f>
        <v>59.95</v>
      </c>
      <c r="F220" s="16"/>
      <c r="G220" s="17" t="n">
        <f aca="false">IF(F220="",E220,F220)</f>
        <v>59.95</v>
      </c>
      <c r="H220" s="18" t="n">
        <f aca="false">G220-D220</f>
        <v>-10</v>
      </c>
      <c r="I220" s="19" t="n">
        <f aca="false">IFERROR((G220-D220)/D220,0)</f>
        <v>-0.142959256611866</v>
      </c>
      <c r="J220" s="14" t="str">
        <f aca="false">IF(G220&gt;D220,"Omhoog",IF(G220&lt;D220,"Omlaag","Gelijk"))</f>
        <v>Omlaag</v>
      </c>
      <c r="K220" s="20" t="str">
        <f aca="false">IF(ABS(I220)&gt;=0.2,"controleren","")</f>
        <v/>
      </c>
      <c r="L220" s="21" t="n">
        <f aca="false">G220*Tiers!$B$19</f>
        <v>37.222955</v>
      </c>
      <c r="M220" s="15" t="n">
        <v>116.58</v>
      </c>
      <c r="N220" s="19" t="n">
        <f aca="false">IFERROR(1-D220/M220,0)</f>
        <v>0.399982844398696</v>
      </c>
      <c r="O220" s="19" t="n">
        <f aca="false">IF(Tiers!$B$18="ja",Tiers!$B$20,N220)</f>
        <v>0.399982844398696</v>
      </c>
      <c r="P220" s="15" t="n">
        <f aca="false">ROUNDUP(G220/(1-O220),0)-0.05</f>
        <v>99.95</v>
      </c>
      <c r="Q220" s="19" t="n">
        <f aca="false">IFERROR(1-G220/P220,0)</f>
        <v>0.400200100050025</v>
      </c>
      <c r="R220" s="14" t="n">
        <v>84</v>
      </c>
    </row>
    <row r="221" customFormat="false" ht="15" hidden="false" customHeight="false" outlineLevel="0" collapsed="false">
      <c r="A221" s="14" t="s">
        <v>491</v>
      </c>
      <c r="B221" s="14" t="s">
        <v>492</v>
      </c>
      <c r="C221" s="14" t="s">
        <v>20</v>
      </c>
      <c r="D221" s="15" t="n">
        <v>69.95</v>
      </c>
      <c r="E221" s="15" t="n">
        <f aca="false">IFERROR(INDEX(Tiers!$B$4:$B$15,MATCH(C221,Tiers!$A$4:$A$15,0)),D221)</f>
        <v>59.95</v>
      </c>
      <c r="F221" s="16"/>
      <c r="G221" s="17" t="n">
        <f aca="false">IF(F221="",E221,F221)</f>
        <v>59.95</v>
      </c>
      <c r="H221" s="18" t="n">
        <f aca="false">G221-D221</f>
        <v>-10</v>
      </c>
      <c r="I221" s="19" t="n">
        <f aca="false">IFERROR((G221-D221)/D221,0)</f>
        <v>-0.142959256611866</v>
      </c>
      <c r="J221" s="14" t="str">
        <f aca="false">IF(G221&gt;D221,"Omhoog",IF(G221&lt;D221,"Omlaag","Gelijk"))</f>
        <v>Omlaag</v>
      </c>
      <c r="K221" s="20" t="str">
        <f aca="false">IF(ABS(I221)&gt;=0.2,"controleren","")</f>
        <v/>
      </c>
      <c r="L221" s="21" t="n">
        <f aca="false">G221*Tiers!$B$19</f>
        <v>37.222955</v>
      </c>
      <c r="M221" s="15" t="n">
        <v>116.58</v>
      </c>
      <c r="N221" s="19" t="n">
        <f aca="false">IFERROR(1-D221/M221,0)</f>
        <v>0.399982844398696</v>
      </c>
      <c r="O221" s="19" t="n">
        <f aca="false">IF(Tiers!$B$18="ja",Tiers!$B$20,N221)</f>
        <v>0.399982844398696</v>
      </c>
      <c r="P221" s="15" t="n">
        <f aca="false">ROUNDUP(G221/(1-O221),0)-0.05</f>
        <v>99.95</v>
      </c>
      <c r="Q221" s="19" t="n">
        <f aca="false">IFERROR(1-G221/P221,0)</f>
        <v>0.400200100050025</v>
      </c>
      <c r="R221" s="14" t="n">
        <v>15</v>
      </c>
    </row>
    <row r="222" customFormat="false" ht="15" hidden="false" customHeight="false" outlineLevel="0" collapsed="false">
      <c r="A222" s="14" t="s">
        <v>493</v>
      </c>
      <c r="B222" s="14" t="s">
        <v>494</v>
      </c>
      <c r="C222" s="14" t="s">
        <v>20</v>
      </c>
      <c r="D222" s="15" t="n">
        <v>69.95</v>
      </c>
      <c r="E222" s="15" t="n">
        <f aca="false">IFERROR(INDEX(Tiers!$B$4:$B$15,MATCH(C222,Tiers!$A$4:$A$15,0)),D222)</f>
        <v>59.95</v>
      </c>
      <c r="F222" s="16"/>
      <c r="G222" s="17" t="n">
        <f aca="false">IF(F222="",E222,F222)</f>
        <v>59.95</v>
      </c>
      <c r="H222" s="18" t="n">
        <f aca="false">G222-D222</f>
        <v>-10</v>
      </c>
      <c r="I222" s="19" t="n">
        <f aca="false">IFERROR((G222-D222)/D222,0)</f>
        <v>-0.142959256611866</v>
      </c>
      <c r="J222" s="14" t="str">
        <f aca="false">IF(G222&gt;D222,"Omhoog",IF(G222&lt;D222,"Omlaag","Gelijk"))</f>
        <v>Omlaag</v>
      </c>
      <c r="K222" s="20" t="str">
        <f aca="false">IF(ABS(I222)&gt;=0.2,"controleren","")</f>
        <v/>
      </c>
      <c r="L222" s="21" t="n">
        <f aca="false">G222*Tiers!$B$19</f>
        <v>37.222955</v>
      </c>
      <c r="M222" s="15" t="n">
        <v>139.9</v>
      </c>
      <c r="N222" s="19" t="n">
        <f aca="false">IFERROR(1-D222/M222,0)</f>
        <v>0.5</v>
      </c>
      <c r="O222" s="19" t="n">
        <f aca="false">IF(Tiers!$B$18="ja",Tiers!$B$20,N222)</f>
        <v>0.5</v>
      </c>
      <c r="P222" s="15" t="n">
        <f aca="false">ROUNDUP(G222/(1-O222),0)-0.05</f>
        <v>119.95</v>
      </c>
      <c r="Q222" s="19" t="n">
        <f aca="false">IFERROR(1-G222/P222,0)</f>
        <v>0.500208420175073</v>
      </c>
      <c r="R222" s="14" t="n">
        <v>18</v>
      </c>
    </row>
    <row r="223" customFormat="false" ht="15" hidden="false" customHeight="false" outlineLevel="0" collapsed="false">
      <c r="A223" s="14" t="s">
        <v>495</v>
      </c>
      <c r="B223" s="14" t="s">
        <v>496</v>
      </c>
      <c r="C223" s="14" t="s">
        <v>20</v>
      </c>
      <c r="D223" s="15" t="n">
        <v>69.95</v>
      </c>
      <c r="E223" s="15" t="n">
        <f aca="false">IFERROR(INDEX(Tiers!$B$4:$B$15,MATCH(C223,Tiers!$A$4:$A$15,0)),D223)</f>
        <v>59.95</v>
      </c>
      <c r="F223" s="16"/>
      <c r="G223" s="17" t="n">
        <f aca="false">IF(F223="",E223,F223)</f>
        <v>59.95</v>
      </c>
      <c r="H223" s="18" t="n">
        <f aca="false">G223-D223</f>
        <v>-10</v>
      </c>
      <c r="I223" s="19" t="n">
        <f aca="false">IFERROR((G223-D223)/D223,0)</f>
        <v>-0.142959256611866</v>
      </c>
      <c r="J223" s="14" t="str">
        <f aca="false">IF(G223&gt;D223,"Omhoog",IF(G223&lt;D223,"Omlaag","Gelijk"))</f>
        <v>Omlaag</v>
      </c>
      <c r="K223" s="20" t="str">
        <f aca="false">IF(ABS(I223)&gt;=0.2,"controleren","")</f>
        <v/>
      </c>
      <c r="L223" s="21" t="n">
        <f aca="false">G223*Tiers!$B$19</f>
        <v>37.222955</v>
      </c>
      <c r="M223" s="15" t="n">
        <v>127.18</v>
      </c>
      <c r="N223" s="19" t="n">
        <f aca="false">IFERROR(1-D223/M223,0)</f>
        <v>0.449992137128479</v>
      </c>
      <c r="O223" s="19" t="n">
        <f aca="false">IF(Tiers!$B$18="ja",Tiers!$B$20,N223)</f>
        <v>0.449992137128479</v>
      </c>
      <c r="P223" s="15" t="n">
        <f aca="false">ROUNDUP(G223/(1-O223),0)-0.05</f>
        <v>108.95</v>
      </c>
      <c r="Q223" s="19" t="n">
        <f aca="false">IFERROR(1-G223/P223,0)</f>
        <v>0.449747590637907</v>
      </c>
      <c r="R223" s="14" t="n">
        <v>5</v>
      </c>
    </row>
    <row r="224" customFormat="false" ht="15" hidden="false" customHeight="false" outlineLevel="0" collapsed="false">
      <c r="A224" s="14" t="s">
        <v>497</v>
      </c>
      <c r="B224" s="14" t="s">
        <v>498</v>
      </c>
      <c r="C224" s="14" t="s">
        <v>20</v>
      </c>
      <c r="D224" s="15" t="n">
        <v>69.95</v>
      </c>
      <c r="E224" s="15" t="n">
        <f aca="false">IFERROR(INDEX(Tiers!$B$4:$B$15,MATCH(C224,Tiers!$A$4:$A$15,0)),D224)</f>
        <v>59.95</v>
      </c>
      <c r="F224" s="16"/>
      <c r="G224" s="17" t="n">
        <f aca="false">IF(F224="",E224,F224)</f>
        <v>59.95</v>
      </c>
      <c r="H224" s="18" t="n">
        <f aca="false">G224-D224</f>
        <v>-10</v>
      </c>
      <c r="I224" s="19" t="n">
        <f aca="false">IFERROR((G224-D224)/D224,0)</f>
        <v>-0.142959256611866</v>
      </c>
      <c r="J224" s="14" t="str">
        <f aca="false">IF(G224&gt;D224,"Omhoog",IF(G224&lt;D224,"Omlaag","Gelijk"))</f>
        <v>Omlaag</v>
      </c>
      <c r="K224" s="20" t="str">
        <f aca="false">IF(ABS(I224)&gt;=0.2,"controleren","")</f>
        <v/>
      </c>
      <c r="L224" s="21" t="n">
        <f aca="false">G224*Tiers!$B$19</f>
        <v>37.222955</v>
      </c>
      <c r="M224" s="15" t="n">
        <v>116.58</v>
      </c>
      <c r="N224" s="19" t="n">
        <f aca="false">IFERROR(1-D224/M224,0)</f>
        <v>0.399982844398696</v>
      </c>
      <c r="O224" s="19" t="n">
        <f aca="false">IF(Tiers!$B$18="ja",Tiers!$B$20,N224)</f>
        <v>0.399982844398696</v>
      </c>
      <c r="P224" s="15" t="n">
        <f aca="false">ROUNDUP(G224/(1-O224),0)-0.05</f>
        <v>99.95</v>
      </c>
      <c r="Q224" s="19" t="n">
        <f aca="false">IFERROR(1-G224/P224,0)</f>
        <v>0.400200100050025</v>
      </c>
      <c r="R224" s="14" t="n">
        <v>24</v>
      </c>
    </row>
    <row r="225" customFormat="false" ht="15" hidden="false" customHeight="false" outlineLevel="0" collapsed="false">
      <c r="A225" s="14" t="s">
        <v>499</v>
      </c>
      <c r="B225" s="14" t="s">
        <v>500</v>
      </c>
      <c r="C225" s="14" t="s">
        <v>20</v>
      </c>
      <c r="D225" s="15" t="n">
        <v>69.95</v>
      </c>
      <c r="E225" s="15" t="n">
        <f aca="false">IFERROR(INDEX(Tiers!$B$4:$B$15,MATCH(C225,Tiers!$A$4:$A$15,0)),D225)</f>
        <v>59.95</v>
      </c>
      <c r="F225" s="16"/>
      <c r="G225" s="17" t="n">
        <f aca="false">IF(F225="",E225,F225)</f>
        <v>59.95</v>
      </c>
      <c r="H225" s="18" t="n">
        <f aca="false">G225-D225</f>
        <v>-10</v>
      </c>
      <c r="I225" s="19" t="n">
        <f aca="false">IFERROR((G225-D225)/D225,0)</f>
        <v>-0.142959256611866</v>
      </c>
      <c r="J225" s="14" t="str">
        <f aca="false">IF(G225&gt;D225,"Omhoog",IF(G225&lt;D225,"Omlaag","Gelijk"))</f>
        <v>Omlaag</v>
      </c>
      <c r="K225" s="20" t="str">
        <f aca="false">IF(ABS(I225)&gt;=0.2,"controleren","")</f>
        <v/>
      </c>
      <c r="L225" s="21" t="n">
        <f aca="false">G225*Tiers!$B$19</f>
        <v>37.222955</v>
      </c>
      <c r="M225" s="15" t="n">
        <v>116.58</v>
      </c>
      <c r="N225" s="19" t="n">
        <f aca="false">IFERROR(1-D225/M225,0)</f>
        <v>0.399982844398696</v>
      </c>
      <c r="O225" s="19" t="n">
        <f aca="false">IF(Tiers!$B$18="ja",Tiers!$B$20,N225)</f>
        <v>0.399982844398696</v>
      </c>
      <c r="P225" s="15" t="n">
        <f aca="false">ROUNDUP(G225/(1-O225),0)-0.05</f>
        <v>99.95</v>
      </c>
      <c r="Q225" s="19" t="n">
        <f aca="false">IFERROR(1-G225/P225,0)</f>
        <v>0.400200100050025</v>
      </c>
      <c r="R225" s="14" t="n">
        <v>36</v>
      </c>
    </row>
    <row r="226" customFormat="false" ht="15" hidden="false" customHeight="false" outlineLevel="0" collapsed="false">
      <c r="A226" s="14" t="s">
        <v>501</v>
      </c>
      <c r="B226" s="14" t="s">
        <v>502</v>
      </c>
      <c r="C226" s="14" t="s">
        <v>20</v>
      </c>
      <c r="D226" s="15" t="n">
        <v>69.95</v>
      </c>
      <c r="E226" s="15" t="n">
        <f aca="false">IFERROR(INDEX(Tiers!$B$4:$B$15,MATCH(C226,Tiers!$A$4:$A$15,0)),D226)</f>
        <v>59.95</v>
      </c>
      <c r="F226" s="16"/>
      <c r="G226" s="17" t="n">
        <f aca="false">IF(F226="",E226,F226)</f>
        <v>59.95</v>
      </c>
      <c r="H226" s="18" t="n">
        <f aca="false">G226-D226</f>
        <v>-10</v>
      </c>
      <c r="I226" s="19" t="n">
        <f aca="false">IFERROR((G226-D226)/D226,0)</f>
        <v>-0.142959256611866</v>
      </c>
      <c r="J226" s="14" t="str">
        <f aca="false">IF(G226&gt;D226,"Omhoog",IF(G226&lt;D226,"Omlaag","Gelijk"))</f>
        <v>Omlaag</v>
      </c>
      <c r="K226" s="20" t="str">
        <f aca="false">IF(ABS(I226)&gt;=0.2,"controleren","")</f>
        <v/>
      </c>
      <c r="L226" s="21" t="n">
        <f aca="false">G226*Tiers!$B$19</f>
        <v>37.222955</v>
      </c>
      <c r="M226" s="15" t="n">
        <v>139.9</v>
      </c>
      <c r="N226" s="19" t="n">
        <f aca="false">IFERROR(1-D226/M226,0)</f>
        <v>0.5</v>
      </c>
      <c r="O226" s="19" t="n">
        <f aca="false">IF(Tiers!$B$18="ja",Tiers!$B$20,N226)</f>
        <v>0.5</v>
      </c>
      <c r="P226" s="15" t="n">
        <f aca="false">ROUNDUP(G226/(1-O226),0)-0.05</f>
        <v>119.95</v>
      </c>
      <c r="Q226" s="19" t="n">
        <f aca="false">IFERROR(1-G226/P226,0)</f>
        <v>0.500208420175073</v>
      </c>
      <c r="R226" s="14" t="n">
        <v>21</v>
      </c>
    </row>
    <row r="227" customFormat="false" ht="15" hidden="false" customHeight="false" outlineLevel="0" collapsed="false">
      <c r="A227" s="14" t="s">
        <v>503</v>
      </c>
      <c r="B227" s="14" t="s">
        <v>504</v>
      </c>
      <c r="C227" s="14" t="s">
        <v>20</v>
      </c>
      <c r="D227" s="15" t="n">
        <v>69.95</v>
      </c>
      <c r="E227" s="15" t="n">
        <f aca="false">IFERROR(INDEX(Tiers!$B$4:$B$15,MATCH(C227,Tiers!$A$4:$A$15,0)),D227)</f>
        <v>59.95</v>
      </c>
      <c r="F227" s="16"/>
      <c r="G227" s="17" t="n">
        <f aca="false">IF(F227="",E227,F227)</f>
        <v>59.95</v>
      </c>
      <c r="H227" s="18" t="n">
        <f aca="false">G227-D227</f>
        <v>-10</v>
      </c>
      <c r="I227" s="19" t="n">
        <f aca="false">IFERROR((G227-D227)/D227,0)</f>
        <v>-0.142959256611866</v>
      </c>
      <c r="J227" s="14" t="str">
        <f aca="false">IF(G227&gt;D227,"Omhoog",IF(G227&lt;D227,"Omlaag","Gelijk"))</f>
        <v>Omlaag</v>
      </c>
      <c r="K227" s="20" t="str">
        <f aca="false">IF(ABS(I227)&gt;=0.2,"controleren","")</f>
        <v/>
      </c>
      <c r="L227" s="21" t="n">
        <f aca="false">G227*Tiers!$B$19</f>
        <v>37.222955</v>
      </c>
      <c r="M227" s="15" t="n">
        <v>116.58</v>
      </c>
      <c r="N227" s="19" t="n">
        <f aca="false">IFERROR(1-D227/M227,0)</f>
        <v>0.399982844398696</v>
      </c>
      <c r="O227" s="19" t="n">
        <f aca="false">IF(Tiers!$B$18="ja",Tiers!$B$20,N227)</f>
        <v>0.399982844398696</v>
      </c>
      <c r="P227" s="15" t="n">
        <f aca="false">ROUNDUP(G227/(1-O227),0)-0.05</f>
        <v>99.95</v>
      </c>
      <c r="Q227" s="19" t="n">
        <f aca="false">IFERROR(1-G227/P227,0)</f>
        <v>0.400200100050025</v>
      </c>
      <c r="R227" s="14" t="n">
        <v>20</v>
      </c>
    </row>
    <row r="228" customFormat="false" ht="15" hidden="false" customHeight="false" outlineLevel="0" collapsed="false">
      <c r="A228" s="14" t="s">
        <v>505</v>
      </c>
      <c r="B228" s="14" t="s">
        <v>506</v>
      </c>
      <c r="C228" s="14" t="s">
        <v>20</v>
      </c>
      <c r="D228" s="15" t="n">
        <v>69.95</v>
      </c>
      <c r="E228" s="15" t="n">
        <f aca="false">IFERROR(INDEX(Tiers!$B$4:$B$15,MATCH(C228,Tiers!$A$4:$A$15,0)),D228)</f>
        <v>59.95</v>
      </c>
      <c r="F228" s="16"/>
      <c r="G228" s="17" t="n">
        <f aca="false">IF(F228="",E228,F228)</f>
        <v>59.95</v>
      </c>
      <c r="H228" s="18" t="n">
        <f aca="false">G228-D228</f>
        <v>-10</v>
      </c>
      <c r="I228" s="19" t="n">
        <f aca="false">IFERROR((G228-D228)/D228,0)</f>
        <v>-0.142959256611866</v>
      </c>
      <c r="J228" s="14" t="str">
        <f aca="false">IF(G228&gt;D228,"Omhoog",IF(G228&lt;D228,"Omlaag","Gelijk"))</f>
        <v>Omlaag</v>
      </c>
      <c r="K228" s="20" t="str">
        <f aca="false">IF(ABS(I228)&gt;=0.2,"controleren","")</f>
        <v/>
      </c>
      <c r="L228" s="21" t="n">
        <f aca="false">G228*Tiers!$B$19</f>
        <v>37.222955</v>
      </c>
      <c r="M228" s="15" t="n">
        <v>116.58</v>
      </c>
      <c r="N228" s="19" t="n">
        <f aca="false">IFERROR(1-D228/M228,0)</f>
        <v>0.399982844398696</v>
      </c>
      <c r="O228" s="19" t="n">
        <f aca="false">IF(Tiers!$B$18="ja",Tiers!$B$20,N228)</f>
        <v>0.399982844398696</v>
      </c>
      <c r="P228" s="15" t="n">
        <f aca="false">ROUNDUP(G228/(1-O228),0)-0.05</f>
        <v>99.95</v>
      </c>
      <c r="Q228" s="19" t="n">
        <f aca="false">IFERROR(1-G228/P228,0)</f>
        <v>0.400200100050025</v>
      </c>
      <c r="R228" s="14" t="n">
        <v>6</v>
      </c>
    </row>
    <row r="229" customFormat="false" ht="15" hidden="false" customHeight="false" outlineLevel="0" collapsed="false">
      <c r="A229" s="14" t="s">
        <v>507</v>
      </c>
      <c r="B229" s="14" t="s">
        <v>508</v>
      </c>
      <c r="C229" s="14" t="s">
        <v>20</v>
      </c>
      <c r="D229" s="15" t="n">
        <v>69.95</v>
      </c>
      <c r="E229" s="15" t="n">
        <f aca="false">IFERROR(INDEX(Tiers!$B$4:$B$15,MATCH(C229,Tiers!$A$4:$A$15,0)),D229)</f>
        <v>59.95</v>
      </c>
      <c r="F229" s="16"/>
      <c r="G229" s="17" t="n">
        <f aca="false">IF(F229="",E229,F229)</f>
        <v>59.95</v>
      </c>
      <c r="H229" s="18" t="n">
        <f aca="false">G229-D229</f>
        <v>-10</v>
      </c>
      <c r="I229" s="19" t="n">
        <f aca="false">IFERROR((G229-D229)/D229,0)</f>
        <v>-0.142959256611866</v>
      </c>
      <c r="J229" s="14" t="str">
        <f aca="false">IF(G229&gt;D229,"Omhoog",IF(G229&lt;D229,"Omlaag","Gelijk"))</f>
        <v>Omlaag</v>
      </c>
      <c r="K229" s="20" t="str">
        <f aca="false">IF(ABS(I229)&gt;=0.2,"controleren","")</f>
        <v/>
      </c>
      <c r="L229" s="21" t="n">
        <f aca="false">G229*Tiers!$B$19</f>
        <v>37.222955</v>
      </c>
      <c r="M229" s="15" t="n">
        <v>127.18</v>
      </c>
      <c r="N229" s="19" t="n">
        <f aca="false">IFERROR(1-D229/M229,0)</f>
        <v>0.449992137128479</v>
      </c>
      <c r="O229" s="19" t="n">
        <f aca="false">IF(Tiers!$B$18="ja",Tiers!$B$20,N229)</f>
        <v>0.449992137128479</v>
      </c>
      <c r="P229" s="15" t="n">
        <f aca="false">ROUNDUP(G229/(1-O229),0)-0.05</f>
        <v>108.95</v>
      </c>
      <c r="Q229" s="19" t="n">
        <f aca="false">IFERROR(1-G229/P229,0)</f>
        <v>0.449747590637907</v>
      </c>
      <c r="R229" s="14" t="n">
        <v>21</v>
      </c>
    </row>
    <row r="230" customFormat="false" ht="15" hidden="false" customHeight="false" outlineLevel="0" collapsed="false">
      <c r="A230" s="14" t="s">
        <v>509</v>
      </c>
      <c r="B230" s="14" t="s">
        <v>510</v>
      </c>
      <c r="C230" s="14" t="s">
        <v>20</v>
      </c>
      <c r="D230" s="15" t="n">
        <v>69.95</v>
      </c>
      <c r="E230" s="15" t="n">
        <f aca="false">IFERROR(INDEX(Tiers!$B$4:$B$15,MATCH(C230,Tiers!$A$4:$A$15,0)),D230)</f>
        <v>59.95</v>
      </c>
      <c r="F230" s="16"/>
      <c r="G230" s="17" t="n">
        <f aca="false">IF(F230="",E230,F230)</f>
        <v>59.95</v>
      </c>
      <c r="H230" s="18" t="n">
        <f aca="false">G230-D230</f>
        <v>-10</v>
      </c>
      <c r="I230" s="19" t="n">
        <f aca="false">IFERROR((G230-D230)/D230,0)</f>
        <v>-0.142959256611866</v>
      </c>
      <c r="J230" s="14" t="str">
        <f aca="false">IF(G230&gt;D230,"Omhoog",IF(G230&lt;D230,"Omlaag","Gelijk"))</f>
        <v>Omlaag</v>
      </c>
      <c r="K230" s="20" t="str">
        <f aca="false">IF(ABS(I230)&gt;=0.2,"controleren","")</f>
        <v/>
      </c>
      <c r="L230" s="21" t="n">
        <f aca="false">G230*Tiers!$B$19</f>
        <v>37.222955</v>
      </c>
      <c r="M230" s="15" t="n">
        <v>127.18</v>
      </c>
      <c r="N230" s="19" t="n">
        <f aca="false">IFERROR(1-D230/M230,0)</f>
        <v>0.449992137128479</v>
      </c>
      <c r="O230" s="19" t="n">
        <f aca="false">IF(Tiers!$B$18="ja",Tiers!$B$20,N230)</f>
        <v>0.449992137128479</v>
      </c>
      <c r="P230" s="15" t="n">
        <f aca="false">ROUNDUP(G230/(1-O230),0)-0.05</f>
        <v>108.95</v>
      </c>
      <c r="Q230" s="19" t="n">
        <f aca="false">IFERROR(1-G230/P230,0)</f>
        <v>0.449747590637907</v>
      </c>
      <c r="R230" s="14" t="n">
        <v>6</v>
      </c>
    </row>
    <row r="231" customFormat="false" ht="15" hidden="false" customHeight="false" outlineLevel="0" collapsed="false">
      <c r="A231" s="14" t="s">
        <v>511</v>
      </c>
      <c r="B231" s="14" t="s">
        <v>512</v>
      </c>
      <c r="C231" s="14" t="s">
        <v>20</v>
      </c>
      <c r="D231" s="15" t="n">
        <v>69.95</v>
      </c>
      <c r="E231" s="15" t="n">
        <f aca="false">IFERROR(INDEX(Tiers!$B$4:$B$15,MATCH(C231,Tiers!$A$4:$A$15,0)),D231)</f>
        <v>59.95</v>
      </c>
      <c r="F231" s="16"/>
      <c r="G231" s="17" t="n">
        <f aca="false">IF(F231="",E231,F231)</f>
        <v>59.95</v>
      </c>
      <c r="H231" s="18" t="n">
        <f aca="false">G231-D231</f>
        <v>-10</v>
      </c>
      <c r="I231" s="19" t="n">
        <f aca="false">IFERROR((G231-D231)/D231,0)</f>
        <v>-0.142959256611866</v>
      </c>
      <c r="J231" s="14" t="str">
        <f aca="false">IF(G231&gt;D231,"Omhoog",IF(G231&lt;D231,"Omlaag","Gelijk"))</f>
        <v>Omlaag</v>
      </c>
      <c r="K231" s="20" t="str">
        <f aca="false">IF(ABS(I231)&gt;=0.2,"controleren","")</f>
        <v/>
      </c>
      <c r="L231" s="21" t="n">
        <f aca="false">G231*Tiers!$B$19</f>
        <v>37.222955</v>
      </c>
      <c r="M231" s="15" t="n">
        <v>139.9</v>
      </c>
      <c r="N231" s="19" t="n">
        <f aca="false">IFERROR(1-D231/M231,0)</f>
        <v>0.5</v>
      </c>
      <c r="O231" s="19" t="n">
        <f aca="false">IF(Tiers!$B$18="ja",Tiers!$B$20,N231)</f>
        <v>0.5</v>
      </c>
      <c r="P231" s="15" t="n">
        <f aca="false">ROUNDUP(G231/(1-O231),0)-0.05</f>
        <v>119.95</v>
      </c>
      <c r="Q231" s="19" t="n">
        <f aca="false">IFERROR(1-G231/P231,0)</f>
        <v>0.500208420175073</v>
      </c>
      <c r="R231" s="14" t="n">
        <v>48</v>
      </c>
    </row>
    <row r="232" customFormat="false" ht="15" hidden="false" customHeight="false" outlineLevel="0" collapsed="false">
      <c r="A232" s="14" t="s">
        <v>513</v>
      </c>
      <c r="B232" s="14" t="s">
        <v>514</v>
      </c>
      <c r="C232" s="14" t="s">
        <v>20</v>
      </c>
      <c r="D232" s="15" t="n">
        <v>69.95</v>
      </c>
      <c r="E232" s="15" t="n">
        <f aca="false">IFERROR(INDEX(Tiers!$B$4:$B$15,MATCH(C232,Tiers!$A$4:$A$15,0)),D232)</f>
        <v>59.95</v>
      </c>
      <c r="F232" s="16"/>
      <c r="G232" s="17" t="n">
        <f aca="false">IF(F232="",E232,F232)</f>
        <v>59.95</v>
      </c>
      <c r="H232" s="18" t="n">
        <f aca="false">G232-D232</f>
        <v>-10</v>
      </c>
      <c r="I232" s="19" t="n">
        <f aca="false">IFERROR((G232-D232)/D232,0)</f>
        <v>-0.142959256611866</v>
      </c>
      <c r="J232" s="14" t="str">
        <f aca="false">IF(G232&gt;D232,"Omhoog",IF(G232&lt;D232,"Omlaag","Gelijk"))</f>
        <v>Omlaag</v>
      </c>
      <c r="K232" s="20" t="str">
        <f aca="false">IF(ABS(I232)&gt;=0.2,"controleren","")</f>
        <v/>
      </c>
      <c r="L232" s="21" t="n">
        <f aca="false">G232*Tiers!$B$19</f>
        <v>37.222955</v>
      </c>
      <c r="M232" s="15" t="n">
        <v>139.9</v>
      </c>
      <c r="N232" s="19" t="n">
        <f aca="false">IFERROR(1-D232/M232,0)</f>
        <v>0.5</v>
      </c>
      <c r="O232" s="19" t="n">
        <f aca="false">IF(Tiers!$B$18="ja",Tiers!$B$20,N232)</f>
        <v>0.5</v>
      </c>
      <c r="P232" s="15" t="n">
        <f aca="false">ROUNDUP(G232/(1-O232),0)-0.05</f>
        <v>119.95</v>
      </c>
      <c r="Q232" s="19" t="n">
        <f aca="false">IFERROR(1-G232/P232,0)</f>
        <v>0.500208420175073</v>
      </c>
      <c r="R232" s="14" t="n">
        <v>30</v>
      </c>
    </row>
    <row r="233" customFormat="false" ht="15" hidden="false" customHeight="false" outlineLevel="0" collapsed="false">
      <c r="A233" s="14" t="s">
        <v>515</v>
      </c>
      <c r="B233" s="14" t="s">
        <v>516</v>
      </c>
      <c r="C233" s="14" t="s">
        <v>20</v>
      </c>
      <c r="D233" s="15" t="n">
        <v>54.95</v>
      </c>
      <c r="E233" s="15" t="n">
        <f aca="false">IFERROR(INDEX(Tiers!$B$4:$B$15,MATCH(C233,Tiers!$A$4:$A$15,0)),D233)</f>
        <v>59.95</v>
      </c>
      <c r="F233" s="16"/>
      <c r="G233" s="17" t="n">
        <f aca="false">IF(F233="",E233,F233)</f>
        <v>59.95</v>
      </c>
      <c r="H233" s="18" t="n">
        <f aca="false">G233-D233</f>
        <v>5</v>
      </c>
      <c r="I233" s="19" t="n">
        <f aca="false">IFERROR((G233-D233)/D233,0)</f>
        <v>0.0909918107370337</v>
      </c>
      <c r="J233" s="14" t="str">
        <f aca="false">IF(G233&gt;D233,"Omhoog",IF(G233&lt;D233,"Omlaag","Gelijk"))</f>
        <v>Omhoog</v>
      </c>
      <c r="K233" s="20" t="str">
        <f aca="false">IF(ABS(I233)&gt;=0.2,"controleren","")</f>
        <v/>
      </c>
      <c r="L233" s="21" t="n">
        <f aca="false">G233*Tiers!$B$19</f>
        <v>37.222955</v>
      </c>
      <c r="M233" s="15" t="n">
        <v>109.9</v>
      </c>
      <c r="N233" s="19" t="n">
        <f aca="false">IFERROR(1-D233/M233,0)</f>
        <v>0.5</v>
      </c>
      <c r="O233" s="19" t="n">
        <f aca="false">IF(Tiers!$B$18="ja",Tiers!$B$20,N233)</f>
        <v>0.5</v>
      </c>
      <c r="P233" s="15" t="n">
        <f aca="false">ROUNDUP(G233/(1-O233),0)-0.05</f>
        <v>119.95</v>
      </c>
      <c r="Q233" s="19" t="n">
        <f aca="false">IFERROR(1-G233/P233,0)</f>
        <v>0.500208420175073</v>
      </c>
      <c r="R233" s="14" t="n">
        <v>6</v>
      </c>
    </row>
    <row r="234" customFormat="false" ht="15" hidden="false" customHeight="false" outlineLevel="0" collapsed="false">
      <c r="A234" s="14" t="s">
        <v>517</v>
      </c>
      <c r="B234" s="14" t="s">
        <v>518</v>
      </c>
      <c r="C234" s="14" t="s">
        <v>20</v>
      </c>
      <c r="D234" s="15" t="n">
        <v>69.95</v>
      </c>
      <c r="E234" s="15" t="n">
        <f aca="false">IFERROR(INDEX(Tiers!$B$4:$B$15,MATCH(C234,Tiers!$A$4:$A$15,0)),D234)</f>
        <v>59.95</v>
      </c>
      <c r="F234" s="16"/>
      <c r="G234" s="17" t="n">
        <f aca="false">IF(F234="",E234,F234)</f>
        <v>59.95</v>
      </c>
      <c r="H234" s="18" t="n">
        <f aca="false">G234-D234</f>
        <v>-10</v>
      </c>
      <c r="I234" s="19" t="n">
        <f aca="false">IFERROR((G234-D234)/D234,0)</f>
        <v>-0.142959256611866</v>
      </c>
      <c r="J234" s="14" t="str">
        <f aca="false">IF(G234&gt;D234,"Omhoog",IF(G234&lt;D234,"Omlaag","Gelijk"))</f>
        <v>Omlaag</v>
      </c>
      <c r="K234" s="20" t="str">
        <f aca="false">IF(ABS(I234)&gt;=0.2,"controleren","")</f>
        <v/>
      </c>
      <c r="L234" s="21" t="n">
        <f aca="false">G234*Tiers!$B$19</f>
        <v>37.222955</v>
      </c>
      <c r="M234" s="15" t="n">
        <v>127.18</v>
      </c>
      <c r="N234" s="19" t="n">
        <f aca="false">IFERROR(1-D234/M234,0)</f>
        <v>0.449992137128479</v>
      </c>
      <c r="O234" s="19" t="n">
        <f aca="false">IF(Tiers!$B$18="ja",Tiers!$B$20,N234)</f>
        <v>0.449992137128479</v>
      </c>
      <c r="P234" s="15" t="n">
        <f aca="false">ROUNDUP(G234/(1-O234),0)-0.05</f>
        <v>108.95</v>
      </c>
      <c r="Q234" s="19" t="n">
        <f aca="false">IFERROR(1-G234/P234,0)</f>
        <v>0.449747590637907</v>
      </c>
      <c r="R234" s="14" t="n">
        <v>27</v>
      </c>
    </row>
    <row r="235" customFormat="false" ht="15" hidden="false" customHeight="false" outlineLevel="0" collapsed="false">
      <c r="A235" s="14" t="s">
        <v>519</v>
      </c>
      <c r="B235" s="14" t="s">
        <v>520</v>
      </c>
      <c r="C235" s="14" t="s">
        <v>20</v>
      </c>
      <c r="D235" s="15" t="n">
        <v>69.95</v>
      </c>
      <c r="E235" s="15" t="n">
        <f aca="false">IFERROR(INDEX(Tiers!$B$4:$B$15,MATCH(C235,Tiers!$A$4:$A$15,0)),D235)</f>
        <v>59.95</v>
      </c>
      <c r="F235" s="16"/>
      <c r="G235" s="17" t="n">
        <f aca="false">IF(F235="",E235,F235)</f>
        <v>59.95</v>
      </c>
      <c r="H235" s="18" t="n">
        <f aca="false">G235-D235</f>
        <v>-10</v>
      </c>
      <c r="I235" s="19" t="n">
        <f aca="false">IFERROR((G235-D235)/D235,0)</f>
        <v>-0.142959256611866</v>
      </c>
      <c r="J235" s="14" t="str">
        <f aca="false">IF(G235&gt;D235,"Omhoog",IF(G235&lt;D235,"Omlaag","Gelijk"))</f>
        <v>Omlaag</v>
      </c>
      <c r="K235" s="20" t="str">
        <f aca="false">IF(ABS(I235)&gt;=0.2,"controleren","")</f>
        <v/>
      </c>
      <c r="L235" s="21" t="n">
        <f aca="false">G235*Tiers!$B$19</f>
        <v>37.222955</v>
      </c>
      <c r="M235" s="15" t="n">
        <v>139.9</v>
      </c>
      <c r="N235" s="19" t="n">
        <f aca="false">IFERROR(1-D235/M235,0)</f>
        <v>0.5</v>
      </c>
      <c r="O235" s="19" t="n">
        <f aca="false">IF(Tiers!$B$18="ja",Tiers!$B$20,N235)</f>
        <v>0.5</v>
      </c>
      <c r="P235" s="15" t="n">
        <f aca="false">ROUNDUP(G235/(1-O235),0)-0.05</f>
        <v>119.95</v>
      </c>
      <c r="Q235" s="19" t="n">
        <f aca="false">IFERROR(1-G235/P235,0)</f>
        <v>0.500208420175073</v>
      </c>
      <c r="R235" s="14" t="n">
        <v>6</v>
      </c>
    </row>
    <row r="236" customFormat="false" ht="15" hidden="false" customHeight="false" outlineLevel="0" collapsed="false">
      <c r="A236" s="14" t="s">
        <v>521</v>
      </c>
      <c r="B236" s="14" t="s">
        <v>522</v>
      </c>
      <c r="C236" s="14" t="s">
        <v>20</v>
      </c>
      <c r="D236" s="15" t="n">
        <v>69.95</v>
      </c>
      <c r="E236" s="15" t="n">
        <f aca="false">IFERROR(INDEX(Tiers!$B$4:$B$15,MATCH(C236,Tiers!$A$4:$A$15,0)),D236)</f>
        <v>59.95</v>
      </c>
      <c r="F236" s="16"/>
      <c r="G236" s="17" t="n">
        <f aca="false">IF(F236="",E236,F236)</f>
        <v>59.95</v>
      </c>
      <c r="H236" s="18" t="n">
        <f aca="false">G236-D236</f>
        <v>-10</v>
      </c>
      <c r="I236" s="19" t="n">
        <f aca="false">IFERROR((G236-D236)/D236,0)</f>
        <v>-0.142959256611866</v>
      </c>
      <c r="J236" s="14" t="str">
        <f aca="false">IF(G236&gt;D236,"Omhoog",IF(G236&lt;D236,"Omlaag","Gelijk"))</f>
        <v>Omlaag</v>
      </c>
      <c r="K236" s="20" t="str">
        <f aca="false">IF(ABS(I236)&gt;=0.2,"controleren","")</f>
        <v/>
      </c>
      <c r="L236" s="21" t="n">
        <f aca="false">G236*Tiers!$B$19</f>
        <v>37.222955</v>
      </c>
      <c r="M236" s="15" t="n">
        <v>139.9</v>
      </c>
      <c r="N236" s="19" t="n">
        <f aca="false">IFERROR(1-D236/M236,0)</f>
        <v>0.5</v>
      </c>
      <c r="O236" s="19" t="n">
        <f aca="false">IF(Tiers!$B$18="ja",Tiers!$B$20,N236)</f>
        <v>0.5</v>
      </c>
      <c r="P236" s="15" t="n">
        <f aca="false">ROUNDUP(G236/(1-O236),0)-0.05</f>
        <v>119.95</v>
      </c>
      <c r="Q236" s="19" t="n">
        <f aca="false">IFERROR(1-G236/P236,0)</f>
        <v>0.500208420175073</v>
      </c>
      <c r="R236" s="14" t="n">
        <v>10</v>
      </c>
    </row>
    <row r="237" customFormat="false" ht="15" hidden="false" customHeight="false" outlineLevel="0" collapsed="false">
      <c r="A237" s="14" t="s">
        <v>523</v>
      </c>
      <c r="B237" s="14" t="s">
        <v>524</v>
      </c>
      <c r="C237" s="14" t="s">
        <v>20</v>
      </c>
      <c r="D237" s="15" t="n">
        <v>69.95</v>
      </c>
      <c r="E237" s="15" t="n">
        <f aca="false">IFERROR(INDEX(Tiers!$B$4:$B$15,MATCH(C237,Tiers!$A$4:$A$15,0)),D237)</f>
        <v>59.95</v>
      </c>
      <c r="F237" s="16"/>
      <c r="G237" s="17" t="n">
        <f aca="false">IF(F237="",E237,F237)</f>
        <v>59.95</v>
      </c>
      <c r="H237" s="18" t="n">
        <f aca="false">G237-D237</f>
        <v>-10</v>
      </c>
      <c r="I237" s="19" t="n">
        <f aca="false">IFERROR((G237-D237)/D237,0)</f>
        <v>-0.142959256611866</v>
      </c>
      <c r="J237" s="14" t="str">
        <f aca="false">IF(G237&gt;D237,"Omhoog",IF(G237&lt;D237,"Omlaag","Gelijk"))</f>
        <v>Omlaag</v>
      </c>
      <c r="K237" s="20" t="str">
        <f aca="false">IF(ABS(I237)&gt;=0.2,"controleren","")</f>
        <v/>
      </c>
      <c r="L237" s="21" t="n">
        <f aca="false">G237*Tiers!$B$19</f>
        <v>37.222955</v>
      </c>
      <c r="M237" s="15" t="n">
        <v>127.18</v>
      </c>
      <c r="N237" s="19" t="n">
        <f aca="false">IFERROR(1-D237/M237,0)</f>
        <v>0.449992137128479</v>
      </c>
      <c r="O237" s="19" t="n">
        <f aca="false">IF(Tiers!$B$18="ja",Tiers!$B$20,N237)</f>
        <v>0.449992137128479</v>
      </c>
      <c r="P237" s="15" t="n">
        <f aca="false">ROUNDUP(G237/(1-O237),0)-0.05</f>
        <v>108.95</v>
      </c>
      <c r="Q237" s="19" t="n">
        <f aca="false">IFERROR(1-G237/P237,0)</f>
        <v>0.449747590637907</v>
      </c>
      <c r="R237" s="14" t="n">
        <v>24</v>
      </c>
    </row>
    <row r="238" customFormat="false" ht="15" hidden="false" customHeight="false" outlineLevel="0" collapsed="false">
      <c r="A238" s="14" t="s">
        <v>525</v>
      </c>
      <c r="B238" s="14" t="s">
        <v>526</v>
      </c>
      <c r="C238" s="14" t="s">
        <v>20</v>
      </c>
      <c r="D238" s="15" t="n">
        <v>69.95</v>
      </c>
      <c r="E238" s="15" t="n">
        <f aca="false">IFERROR(INDEX(Tiers!$B$4:$B$15,MATCH(C238,Tiers!$A$4:$A$15,0)),D238)</f>
        <v>59.95</v>
      </c>
      <c r="F238" s="16"/>
      <c r="G238" s="17" t="n">
        <f aca="false">IF(F238="",E238,F238)</f>
        <v>59.95</v>
      </c>
      <c r="H238" s="18" t="n">
        <f aca="false">G238-D238</f>
        <v>-10</v>
      </c>
      <c r="I238" s="19" t="n">
        <f aca="false">IFERROR((G238-D238)/D238,0)</f>
        <v>-0.142959256611866</v>
      </c>
      <c r="J238" s="14" t="str">
        <f aca="false">IF(G238&gt;D238,"Omhoog",IF(G238&lt;D238,"Omlaag","Gelijk"))</f>
        <v>Omlaag</v>
      </c>
      <c r="K238" s="20" t="str">
        <f aca="false">IF(ABS(I238)&gt;=0.2,"controleren","")</f>
        <v/>
      </c>
      <c r="L238" s="21" t="n">
        <f aca="false">G238*Tiers!$B$19</f>
        <v>37.222955</v>
      </c>
      <c r="M238" s="15" t="n">
        <v>139.9</v>
      </c>
      <c r="N238" s="19" t="n">
        <f aca="false">IFERROR(1-D238/M238,0)</f>
        <v>0.5</v>
      </c>
      <c r="O238" s="19" t="n">
        <f aca="false">IF(Tiers!$B$18="ja",Tiers!$B$20,N238)</f>
        <v>0.5</v>
      </c>
      <c r="P238" s="15" t="n">
        <f aca="false">ROUNDUP(G238/(1-O238),0)-0.05</f>
        <v>119.95</v>
      </c>
      <c r="Q238" s="19" t="n">
        <f aca="false">IFERROR(1-G238/P238,0)</f>
        <v>0.500208420175073</v>
      </c>
      <c r="R238" s="14" t="n">
        <v>10</v>
      </c>
    </row>
    <row r="239" customFormat="false" ht="15" hidden="false" customHeight="false" outlineLevel="0" collapsed="false">
      <c r="A239" s="14" t="s">
        <v>527</v>
      </c>
      <c r="B239" s="14" t="s">
        <v>528</v>
      </c>
      <c r="C239" s="14" t="s">
        <v>20</v>
      </c>
      <c r="D239" s="15" t="n">
        <v>64.95</v>
      </c>
      <c r="E239" s="15" t="n">
        <f aca="false">IFERROR(INDEX(Tiers!$B$4:$B$15,MATCH(C239,Tiers!$A$4:$A$15,0)),D239)</f>
        <v>59.95</v>
      </c>
      <c r="F239" s="16"/>
      <c r="G239" s="17" t="n">
        <f aca="false">IF(F239="",E239,F239)</f>
        <v>59.95</v>
      </c>
      <c r="H239" s="18" t="n">
        <f aca="false">G239-D239</f>
        <v>-5</v>
      </c>
      <c r="I239" s="19" t="n">
        <f aca="false">IFERROR((G239-D239)/D239,0)</f>
        <v>-0.0769822940723634</v>
      </c>
      <c r="J239" s="14" t="str">
        <f aca="false">IF(G239&gt;D239,"Omhoog",IF(G239&lt;D239,"Omlaag","Gelijk"))</f>
        <v>Omlaag</v>
      </c>
      <c r="K239" s="20" t="str">
        <f aca="false">IF(ABS(I239)&gt;=0.2,"controleren","")</f>
        <v/>
      </c>
      <c r="L239" s="21" t="n">
        <f aca="false">G239*Tiers!$B$19</f>
        <v>37.222955</v>
      </c>
      <c r="M239" s="15" t="n">
        <v>108.25</v>
      </c>
      <c r="N239" s="19" t="n">
        <f aca="false">IFERROR(1-D239/M239,0)</f>
        <v>0.4</v>
      </c>
      <c r="O239" s="19" t="n">
        <f aca="false">IF(Tiers!$B$18="ja",Tiers!$B$20,N239)</f>
        <v>0.4</v>
      </c>
      <c r="P239" s="15" t="n">
        <f aca="false">ROUNDUP(G239/(1-O239),0)-0.05</f>
        <v>99.95</v>
      </c>
      <c r="Q239" s="19" t="n">
        <f aca="false">IFERROR(1-G239/P239,0)</f>
        <v>0.400200100050025</v>
      </c>
      <c r="R239" s="14" t="n">
        <v>36</v>
      </c>
    </row>
    <row r="240" customFormat="false" ht="15" hidden="false" customHeight="false" outlineLevel="0" collapsed="false">
      <c r="A240" s="14" t="s">
        <v>529</v>
      </c>
      <c r="B240" s="14" t="s">
        <v>530</v>
      </c>
      <c r="C240" s="14" t="s">
        <v>20</v>
      </c>
      <c r="D240" s="15" t="n">
        <v>69.95</v>
      </c>
      <c r="E240" s="15" t="n">
        <f aca="false">IFERROR(INDEX(Tiers!$B$4:$B$15,MATCH(C240,Tiers!$A$4:$A$15,0)),D240)</f>
        <v>59.95</v>
      </c>
      <c r="F240" s="16"/>
      <c r="G240" s="17" t="n">
        <f aca="false">IF(F240="",E240,F240)</f>
        <v>59.95</v>
      </c>
      <c r="H240" s="18" t="n">
        <f aca="false">G240-D240</f>
        <v>-10</v>
      </c>
      <c r="I240" s="19" t="n">
        <f aca="false">IFERROR((G240-D240)/D240,0)</f>
        <v>-0.142959256611866</v>
      </c>
      <c r="J240" s="14" t="str">
        <f aca="false">IF(G240&gt;D240,"Omhoog",IF(G240&lt;D240,"Omlaag","Gelijk"))</f>
        <v>Omlaag</v>
      </c>
      <c r="K240" s="20" t="str">
        <f aca="false">IF(ABS(I240)&gt;=0.2,"controleren","")</f>
        <v/>
      </c>
      <c r="L240" s="21" t="n">
        <f aca="false">G240*Tiers!$B$19</f>
        <v>37.222955</v>
      </c>
      <c r="M240" s="15" t="n">
        <v>139.9</v>
      </c>
      <c r="N240" s="19" t="n">
        <f aca="false">IFERROR(1-D240/M240,0)</f>
        <v>0.5</v>
      </c>
      <c r="O240" s="19" t="n">
        <f aca="false">IF(Tiers!$B$18="ja",Tiers!$B$20,N240)</f>
        <v>0.5</v>
      </c>
      <c r="P240" s="15" t="n">
        <f aca="false">ROUNDUP(G240/(1-O240),0)-0.05</f>
        <v>119.95</v>
      </c>
      <c r="Q240" s="19" t="n">
        <f aca="false">IFERROR(1-G240/P240,0)</f>
        <v>0.500208420175073</v>
      </c>
      <c r="R240" s="14" t="n">
        <v>6</v>
      </c>
    </row>
    <row r="241" customFormat="false" ht="15" hidden="false" customHeight="false" outlineLevel="0" collapsed="false">
      <c r="A241" s="14" t="s">
        <v>531</v>
      </c>
      <c r="B241" s="14" t="s">
        <v>532</v>
      </c>
      <c r="C241" s="14" t="s">
        <v>20</v>
      </c>
      <c r="D241" s="15" t="n">
        <v>69.95</v>
      </c>
      <c r="E241" s="15" t="n">
        <f aca="false">IFERROR(INDEX(Tiers!$B$4:$B$15,MATCH(C241,Tiers!$A$4:$A$15,0)),D241)</f>
        <v>59.95</v>
      </c>
      <c r="F241" s="16"/>
      <c r="G241" s="17" t="n">
        <f aca="false">IF(F241="",E241,F241)</f>
        <v>59.95</v>
      </c>
      <c r="H241" s="18" t="n">
        <f aca="false">G241-D241</f>
        <v>-10</v>
      </c>
      <c r="I241" s="19" t="n">
        <f aca="false">IFERROR((G241-D241)/D241,0)</f>
        <v>-0.142959256611866</v>
      </c>
      <c r="J241" s="14" t="str">
        <f aca="false">IF(G241&gt;D241,"Omhoog",IF(G241&lt;D241,"Omlaag","Gelijk"))</f>
        <v>Omlaag</v>
      </c>
      <c r="K241" s="20" t="str">
        <f aca="false">IF(ABS(I241)&gt;=0.2,"controleren","")</f>
        <v/>
      </c>
      <c r="L241" s="21" t="n">
        <f aca="false">G241*Tiers!$B$19</f>
        <v>37.222955</v>
      </c>
      <c r="M241" s="15" t="n">
        <v>127.18</v>
      </c>
      <c r="N241" s="19" t="n">
        <f aca="false">IFERROR(1-D241/M241,0)</f>
        <v>0.449992137128479</v>
      </c>
      <c r="O241" s="19" t="n">
        <f aca="false">IF(Tiers!$B$18="ja",Tiers!$B$20,N241)</f>
        <v>0.449992137128479</v>
      </c>
      <c r="P241" s="15" t="n">
        <f aca="false">ROUNDUP(G241/(1-O241),0)-0.05</f>
        <v>108.95</v>
      </c>
      <c r="Q241" s="19" t="n">
        <f aca="false">IFERROR(1-G241/P241,0)</f>
        <v>0.449747590637907</v>
      </c>
      <c r="R241" s="14" t="n">
        <v>28</v>
      </c>
    </row>
    <row r="242" customFormat="false" ht="15" hidden="false" customHeight="false" outlineLevel="0" collapsed="false">
      <c r="A242" s="14" t="s">
        <v>533</v>
      </c>
      <c r="B242" s="14" t="s">
        <v>534</v>
      </c>
      <c r="C242" s="14" t="s">
        <v>20</v>
      </c>
      <c r="D242" s="15" t="n">
        <v>69.95</v>
      </c>
      <c r="E242" s="15" t="n">
        <f aca="false">IFERROR(INDEX(Tiers!$B$4:$B$15,MATCH(C242,Tiers!$A$4:$A$15,0)),D242)</f>
        <v>59.95</v>
      </c>
      <c r="F242" s="16"/>
      <c r="G242" s="17" t="n">
        <f aca="false">IF(F242="",E242,F242)</f>
        <v>59.95</v>
      </c>
      <c r="H242" s="18" t="n">
        <f aca="false">G242-D242</f>
        <v>-10</v>
      </c>
      <c r="I242" s="19" t="n">
        <f aca="false">IFERROR((G242-D242)/D242,0)</f>
        <v>-0.142959256611866</v>
      </c>
      <c r="J242" s="14" t="str">
        <f aca="false">IF(G242&gt;D242,"Omhoog",IF(G242&lt;D242,"Omlaag","Gelijk"))</f>
        <v>Omlaag</v>
      </c>
      <c r="K242" s="20" t="str">
        <f aca="false">IF(ABS(I242)&gt;=0.2,"controleren","")</f>
        <v/>
      </c>
      <c r="L242" s="21" t="n">
        <f aca="false">G242*Tiers!$B$19</f>
        <v>37.222955</v>
      </c>
      <c r="M242" s="15" t="n">
        <v>127.18</v>
      </c>
      <c r="N242" s="19" t="n">
        <f aca="false">IFERROR(1-D242/M242,0)</f>
        <v>0.449992137128479</v>
      </c>
      <c r="O242" s="19" t="n">
        <f aca="false">IF(Tiers!$B$18="ja",Tiers!$B$20,N242)</f>
        <v>0.449992137128479</v>
      </c>
      <c r="P242" s="15" t="n">
        <f aca="false">ROUNDUP(G242/(1-O242),0)-0.05</f>
        <v>108.95</v>
      </c>
      <c r="Q242" s="19" t="n">
        <f aca="false">IFERROR(1-G242/P242,0)</f>
        <v>0.449747590637907</v>
      </c>
      <c r="R242" s="14" t="n">
        <v>1</v>
      </c>
    </row>
    <row r="243" customFormat="false" ht="15" hidden="false" customHeight="false" outlineLevel="0" collapsed="false">
      <c r="A243" s="14" t="s">
        <v>535</v>
      </c>
      <c r="B243" s="14" t="s">
        <v>536</v>
      </c>
      <c r="C243" s="14" t="s">
        <v>20</v>
      </c>
      <c r="D243" s="15" t="n">
        <v>69.95</v>
      </c>
      <c r="E243" s="15" t="n">
        <f aca="false">IFERROR(INDEX(Tiers!$B$4:$B$15,MATCH(C243,Tiers!$A$4:$A$15,0)),D243)</f>
        <v>59.95</v>
      </c>
      <c r="F243" s="16"/>
      <c r="G243" s="17" t="n">
        <f aca="false">IF(F243="",E243,F243)</f>
        <v>59.95</v>
      </c>
      <c r="H243" s="18" t="n">
        <f aca="false">G243-D243</f>
        <v>-10</v>
      </c>
      <c r="I243" s="19" t="n">
        <f aca="false">IFERROR((G243-D243)/D243,0)</f>
        <v>-0.142959256611866</v>
      </c>
      <c r="J243" s="14" t="str">
        <f aca="false">IF(G243&gt;D243,"Omhoog",IF(G243&lt;D243,"Omlaag","Gelijk"))</f>
        <v>Omlaag</v>
      </c>
      <c r="K243" s="20" t="str">
        <f aca="false">IF(ABS(I243)&gt;=0.2,"controleren","")</f>
        <v/>
      </c>
      <c r="L243" s="21" t="n">
        <f aca="false">G243*Tiers!$B$19</f>
        <v>37.222955</v>
      </c>
      <c r="M243" s="15" t="n">
        <v>139.9</v>
      </c>
      <c r="N243" s="19" t="n">
        <f aca="false">IFERROR(1-D243/M243,0)</f>
        <v>0.5</v>
      </c>
      <c r="O243" s="19" t="n">
        <f aca="false">IF(Tiers!$B$18="ja",Tiers!$B$20,N243)</f>
        <v>0.5</v>
      </c>
      <c r="P243" s="15" t="n">
        <f aca="false">ROUNDUP(G243/(1-O243),0)-0.05</f>
        <v>119.95</v>
      </c>
      <c r="Q243" s="19" t="n">
        <f aca="false">IFERROR(1-G243/P243,0)</f>
        <v>0.500208420175073</v>
      </c>
      <c r="R243" s="14" t="n">
        <v>8</v>
      </c>
    </row>
    <row r="244" customFormat="false" ht="15" hidden="false" customHeight="false" outlineLevel="0" collapsed="false">
      <c r="A244" s="14" t="s">
        <v>537</v>
      </c>
      <c r="B244" s="14" t="s">
        <v>538</v>
      </c>
      <c r="C244" s="14" t="s">
        <v>20</v>
      </c>
      <c r="D244" s="15" t="n">
        <v>69.95</v>
      </c>
      <c r="E244" s="15" t="n">
        <f aca="false">IFERROR(INDEX(Tiers!$B$4:$B$15,MATCH(C244,Tiers!$A$4:$A$15,0)),D244)</f>
        <v>59.95</v>
      </c>
      <c r="F244" s="16"/>
      <c r="G244" s="17" t="n">
        <f aca="false">IF(F244="",E244,F244)</f>
        <v>59.95</v>
      </c>
      <c r="H244" s="18" t="n">
        <f aca="false">G244-D244</f>
        <v>-10</v>
      </c>
      <c r="I244" s="19" t="n">
        <f aca="false">IFERROR((G244-D244)/D244,0)</f>
        <v>-0.142959256611866</v>
      </c>
      <c r="J244" s="14" t="str">
        <f aca="false">IF(G244&gt;D244,"Omhoog",IF(G244&lt;D244,"Omlaag","Gelijk"))</f>
        <v>Omlaag</v>
      </c>
      <c r="K244" s="20" t="str">
        <f aca="false">IF(ABS(I244)&gt;=0.2,"controleren","")</f>
        <v/>
      </c>
      <c r="L244" s="21" t="n">
        <f aca="false">G244*Tiers!$B$19</f>
        <v>37.222955</v>
      </c>
      <c r="M244" s="15" t="n">
        <v>139.9</v>
      </c>
      <c r="N244" s="19" t="n">
        <f aca="false">IFERROR(1-D244/M244,0)</f>
        <v>0.5</v>
      </c>
      <c r="O244" s="19" t="n">
        <f aca="false">IF(Tiers!$B$18="ja",Tiers!$B$20,N244)</f>
        <v>0.5</v>
      </c>
      <c r="P244" s="15" t="n">
        <f aca="false">ROUNDUP(G244/(1-O244),0)-0.05</f>
        <v>119.95</v>
      </c>
      <c r="Q244" s="19" t="n">
        <f aca="false">IFERROR(1-G244/P244,0)</f>
        <v>0.500208420175073</v>
      </c>
      <c r="R244" s="14" t="n">
        <v>6</v>
      </c>
    </row>
    <row r="245" customFormat="false" ht="15" hidden="false" customHeight="false" outlineLevel="0" collapsed="false">
      <c r="A245" s="14" t="s">
        <v>539</v>
      </c>
      <c r="B245" s="14" t="s">
        <v>540</v>
      </c>
      <c r="C245" s="14" t="s">
        <v>20</v>
      </c>
      <c r="D245" s="15" t="n">
        <v>69.95</v>
      </c>
      <c r="E245" s="15" t="n">
        <f aca="false">IFERROR(INDEX(Tiers!$B$4:$B$15,MATCH(C245,Tiers!$A$4:$A$15,0)),D245)</f>
        <v>59.95</v>
      </c>
      <c r="F245" s="16"/>
      <c r="G245" s="17" t="n">
        <f aca="false">IF(F245="",E245,F245)</f>
        <v>59.95</v>
      </c>
      <c r="H245" s="18" t="n">
        <f aca="false">G245-D245</f>
        <v>-10</v>
      </c>
      <c r="I245" s="19" t="n">
        <f aca="false">IFERROR((G245-D245)/D245,0)</f>
        <v>-0.142959256611866</v>
      </c>
      <c r="J245" s="14" t="str">
        <f aca="false">IF(G245&gt;D245,"Omhoog",IF(G245&lt;D245,"Omlaag","Gelijk"))</f>
        <v>Omlaag</v>
      </c>
      <c r="K245" s="20" t="str">
        <f aca="false">IF(ABS(I245)&gt;=0.2,"controleren","")</f>
        <v/>
      </c>
      <c r="L245" s="21" t="n">
        <f aca="false">G245*Tiers!$B$19</f>
        <v>37.222955</v>
      </c>
      <c r="M245" s="15" t="n">
        <v>127.18</v>
      </c>
      <c r="N245" s="19" t="n">
        <f aca="false">IFERROR(1-D245/M245,0)</f>
        <v>0.449992137128479</v>
      </c>
      <c r="O245" s="19" t="n">
        <f aca="false">IF(Tiers!$B$18="ja",Tiers!$B$20,N245)</f>
        <v>0.449992137128479</v>
      </c>
      <c r="P245" s="15" t="n">
        <f aca="false">ROUNDUP(G245/(1-O245),0)-0.05</f>
        <v>108.95</v>
      </c>
      <c r="Q245" s="19" t="n">
        <f aca="false">IFERROR(1-G245/P245,0)</f>
        <v>0.449747590637907</v>
      </c>
      <c r="R245" s="14" t="n">
        <v>42</v>
      </c>
    </row>
    <row r="246" customFormat="false" ht="15" hidden="false" customHeight="false" outlineLevel="0" collapsed="false">
      <c r="A246" s="14" t="s">
        <v>541</v>
      </c>
      <c r="B246" s="14" t="s">
        <v>542</v>
      </c>
      <c r="C246" s="14" t="s">
        <v>20</v>
      </c>
      <c r="D246" s="15" t="n">
        <v>69.95</v>
      </c>
      <c r="E246" s="15" t="n">
        <f aca="false">IFERROR(INDEX(Tiers!$B$4:$B$15,MATCH(C246,Tiers!$A$4:$A$15,0)),D246)</f>
        <v>59.95</v>
      </c>
      <c r="F246" s="16"/>
      <c r="G246" s="17" t="n">
        <f aca="false">IF(F246="",E246,F246)</f>
        <v>59.95</v>
      </c>
      <c r="H246" s="18" t="n">
        <f aca="false">G246-D246</f>
        <v>-10</v>
      </c>
      <c r="I246" s="19" t="n">
        <f aca="false">IFERROR((G246-D246)/D246,0)</f>
        <v>-0.142959256611866</v>
      </c>
      <c r="J246" s="14" t="str">
        <f aca="false">IF(G246&gt;D246,"Omhoog",IF(G246&lt;D246,"Omlaag","Gelijk"))</f>
        <v>Omlaag</v>
      </c>
      <c r="K246" s="20" t="str">
        <f aca="false">IF(ABS(I246)&gt;=0.2,"controleren","")</f>
        <v/>
      </c>
      <c r="L246" s="21" t="n">
        <f aca="false">G246*Tiers!$B$19</f>
        <v>37.222955</v>
      </c>
      <c r="M246" s="15" t="n">
        <v>127.18</v>
      </c>
      <c r="N246" s="19" t="n">
        <f aca="false">IFERROR(1-D246/M246,0)</f>
        <v>0.449992137128479</v>
      </c>
      <c r="O246" s="19" t="n">
        <f aca="false">IF(Tiers!$B$18="ja",Tiers!$B$20,N246)</f>
        <v>0.449992137128479</v>
      </c>
      <c r="P246" s="15" t="n">
        <f aca="false">ROUNDUP(G246/(1-O246),0)-0.05</f>
        <v>108.95</v>
      </c>
      <c r="Q246" s="19" t="n">
        <f aca="false">IFERROR(1-G246/P246,0)</f>
        <v>0.449747590637907</v>
      </c>
      <c r="R246" s="14" t="n">
        <v>24</v>
      </c>
    </row>
    <row r="247" customFormat="false" ht="15" hidden="false" customHeight="false" outlineLevel="0" collapsed="false">
      <c r="A247" s="14" t="s">
        <v>543</v>
      </c>
      <c r="B247" s="14" t="s">
        <v>544</v>
      </c>
      <c r="C247" s="14" t="s">
        <v>20</v>
      </c>
      <c r="D247" s="15" t="n">
        <v>54.95</v>
      </c>
      <c r="E247" s="15" t="n">
        <f aca="false">IFERROR(INDEX(Tiers!$B$4:$B$15,MATCH(C247,Tiers!$A$4:$A$15,0)),D247)</f>
        <v>59.95</v>
      </c>
      <c r="F247" s="16"/>
      <c r="G247" s="17" t="n">
        <f aca="false">IF(F247="",E247,F247)</f>
        <v>59.95</v>
      </c>
      <c r="H247" s="18" t="n">
        <f aca="false">G247-D247</f>
        <v>5</v>
      </c>
      <c r="I247" s="19" t="n">
        <f aca="false">IFERROR((G247-D247)/D247,0)</f>
        <v>0.0909918107370337</v>
      </c>
      <c r="J247" s="14" t="str">
        <f aca="false">IF(G247&gt;D247,"Omhoog",IF(G247&lt;D247,"Omlaag","Gelijk"))</f>
        <v>Omhoog</v>
      </c>
      <c r="K247" s="20" t="str">
        <f aca="false">IF(ABS(I247)&gt;=0.2,"controleren","")</f>
        <v/>
      </c>
      <c r="L247" s="21" t="n">
        <f aca="false">G247*Tiers!$B$19</f>
        <v>37.222955</v>
      </c>
      <c r="M247" s="15" t="n">
        <v>99.91</v>
      </c>
      <c r="N247" s="19" t="n">
        <f aca="false">IFERROR(1-D247/M247,0)</f>
        <v>0.450005004504054</v>
      </c>
      <c r="O247" s="19" t="n">
        <f aca="false">IF(Tiers!$B$18="ja",Tiers!$B$20,N247)</f>
        <v>0.450005004504054</v>
      </c>
      <c r="P247" s="15" t="n">
        <f aca="false">ROUNDUP(G247/(1-O247),0)-0.05</f>
        <v>109.95</v>
      </c>
      <c r="Q247" s="19" t="n">
        <f aca="false">IFERROR(1-G247/P247,0)</f>
        <v>0.45475216007276</v>
      </c>
      <c r="R247" s="14" t="n">
        <v>10</v>
      </c>
    </row>
    <row r="248" customFormat="false" ht="15" hidden="false" customHeight="false" outlineLevel="0" collapsed="false">
      <c r="A248" s="14" t="s">
        <v>545</v>
      </c>
      <c r="B248" s="14" t="s">
        <v>546</v>
      </c>
      <c r="C248" s="14" t="s">
        <v>20</v>
      </c>
      <c r="D248" s="15" t="n">
        <v>69.95</v>
      </c>
      <c r="E248" s="15" t="n">
        <f aca="false">IFERROR(INDEX(Tiers!$B$4:$B$15,MATCH(C248,Tiers!$A$4:$A$15,0)),D248)</f>
        <v>59.95</v>
      </c>
      <c r="F248" s="16"/>
      <c r="G248" s="17" t="n">
        <f aca="false">IF(F248="",E248,F248)</f>
        <v>59.95</v>
      </c>
      <c r="H248" s="18" t="n">
        <f aca="false">G248-D248</f>
        <v>-10</v>
      </c>
      <c r="I248" s="19" t="n">
        <f aca="false">IFERROR((G248-D248)/D248,0)</f>
        <v>-0.142959256611866</v>
      </c>
      <c r="J248" s="14" t="str">
        <f aca="false">IF(G248&gt;D248,"Omhoog",IF(G248&lt;D248,"Omlaag","Gelijk"))</f>
        <v>Omlaag</v>
      </c>
      <c r="K248" s="20" t="str">
        <f aca="false">IF(ABS(I248)&gt;=0.2,"controleren","")</f>
        <v/>
      </c>
      <c r="L248" s="21" t="n">
        <f aca="false">G248*Tiers!$B$19</f>
        <v>37.222955</v>
      </c>
      <c r="M248" s="15" t="n">
        <v>116.58</v>
      </c>
      <c r="N248" s="19" t="n">
        <f aca="false">IFERROR(1-D248/M248,0)</f>
        <v>0.399982844398696</v>
      </c>
      <c r="O248" s="19" t="n">
        <f aca="false">IF(Tiers!$B$18="ja",Tiers!$B$20,N248)</f>
        <v>0.399982844398696</v>
      </c>
      <c r="P248" s="15" t="n">
        <f aca="false">ROUNDUP(G248/(1-O248),0)-0.05</f>
        <v>99.95</v>
      </c>
      <c r="Q248" s="19" t="n">
        <f aca="false">IFERROR(1-G248/P248,0)</f>
        <v>0.400200100050025</v>
      </c>
      <c r="R248" s="14" t="n">
        <v>12</v>
      </c>
    </row>
    <row r="249" customFormat="false" ht="15" hidden="false" customHeight="false" outlineLevel="0" collapsed="false">
      <c r="A249" s="14" t="s">
        <v>547</v>
      </c>
      <c r="B249" s="14" t="s">
        <v>548</v>
      </c>
      <c r="C249" s="14" t="s">
        <v>20</v>
      </c>
      <c r="D249" s="15" t="n">
        <v>69.95</v>
      </c>
      <c r="E249" s="15" t="n">
        <f aca="false">IFERROR(INDEX(Tiers!$B$4:$B$15,MATCH(C249,Tiers!$A$4:$A$15,0)),D249)</f>
        <v>59.95</v>
      </c>
      <c r="F249" s="16"/>
      <c r="G249" s="17" t="n">
        <f aca="false">IF(F249="",E249,F249)</f>
        <v>59.95</v>
      </c>
      <c r="H249" s="18" t="n">
        <f aca="false">G249-D249</f>
        <v>-10</v>
      </c>
      <c r="I249" s="19" t="n">
        <f aca="false">IFERROR((G249-D249)/D249,0)</f>
        <v>-0.142959256611866</v>
      </c>
      <c r="J249" s="14" t="str">
        <f aca="false">IF(G249&gt;D249,"Omhoog",IF(G249&lt;D249,"Omlaag","Gelijk"))</f>
        <v>Omlaag</v>
      </c>
      <c r="K249" s="20" t="str">
        <f aca="false">IF(ABS(I249)&gt;=0.2,"controleren","")</f>
        <v/>
      </c>
      <c r="L249" s="21" t="n">
        <f aca="false">G249*Tiers!$B$19</f>
        <v>37.222955</v>
      </c>
      <c r="M249" s="15" t="n">
        <v>116.58</v>
      </c>
      <c r="N249" s="19" t="n">
        <f aca="false">IFERROR(1-D249/M249,0)</f>
        <v>0.399982844398696</v>
      </c>
      <c r="O249" s="19" t="n">
        <f aca="false">IF(Tiers!$B$18="ja",Tiers!$B$20,N249)</f>
        <v>0.399982844398696</v>
      </c>
      <c r="P249" s="15" t="n">
        <f aca="false">ROUNDUP(G249/(1-O249),0)-0.05</f>
        <v>99.95</v>
      </c>
      <c r="Q249" s="19" t="n">
        <f aca="false">IFERROR(1-G249/P249,0)</f>
        <v>0.400200100050025</v>
      </c>
      <c r="R249" s="14" t="n">
        <v>24</v>
      </c>
    </row>
    <row r="250" customFormat="false" ht="15" hidden="false" customHeight="false" outlineLevel="0" collapsed="false">
      <c r="A250" s="14" t="s">
        <v>549</v>
      </c>
      <c r="B250" s="14" t="s">
        <v>550</v>
      </c>
      <c r="C250" s="14" t="s">
        <v>20</v>
      </c>
      <c r="D250" s="15" t="n">
        <v>69.95</v>
      </c>
      <c r="E250" s="15" t="n">
        <f aca="false">IFERROR(INDEX(Tiers!$B$4:$B$15,MATCH(C250,Tiers!$A$4:$A$15,0)),D250)</f>
        <v>59.95</v>
      </c>
      <c r="F250" s="16"/>
      <c r="G250" s="17" t="n">
        <f aca="false">IF(F250="",E250,F250)</f>
        <v>59.95</v>
      </c>
      <c r="H250" s="18" t="n">
        <f aca="false">G250-D250</f>
        <v>-10</v>
      </c>
      <c r="I250" s="19" t="n">
        <f aca="false">IFERROR((G250-D250)/D250,0)</f>
        <v>-0.142959256611866</v>
      </c>
      <c r="J250" s="14" t="str">
        <f aca="false">IF(G250&gt;D250,"Omhoog",IF(G250&lt;D250,"Omlaag","Gelijk"))</f>
        <v>Omlaag</v>
      </c>
      <c r="K250" s="20" t="str">
        <f aca="false">IF(ABS(I250)&gt;=0.2,"controleren","")</f>
        <v/>
      </c>
      <c r="L250" s="21" t="n">
        <f aca="false">G250*Tiers!$B$19</f>
        <v>37.222955</v>
      </c>
      <c r="M250" s="15" t="n">
        <v>139.9</v>
      </c>
      <c r="N250" s="19" t="n">
        <f aca="false">IFERROR(1-D250/M250,0)</f>
        <v>0.5</v>
      </c>
      <c r="O250" s="19" t="n">
        <f aca="false">IF(Tiers!$B$18="ja",Tiers!$B$20,N250)</f>
        <v>0.5</v>
      </c>
      <c r="P250" s="15" t="n">
        <f aca="false">ROUNDUP(G250/(1-O250),0)-0.05</f>
        <v>119.95</v>
      </c>
      <c r="Q250" s="19" t="n">
        <f aca="false">IFERROR(1-G250/P250,0)</f>
        <v>0.500208420175073</v>
      </c>
      <c r="R250" s="14" t="n">
        <v>5</v>
      </c>
    </row>
    <row r="251" customFormat="false" ht="15" hidden="false" customHeight="false" outlineLevel="0" collapsed="false">
      <c r="A251" s="14" t="s">
        <v>551</v>
      </c>
      <c r="B251" s="14" t="s">
        <v>552</v>
      </c>
      <c r="C251" s="14" t="s">
        <v>20</v>
      </c>
      <c r="D251" s="15" t="n">
        <v>59.95</v>
      </c>
      <c r="E251" s="15" t="n">
        <f aca="false">IFERROR(INDEX(Tiers!$B$4:$B$15,MATCH(C251,Tiers!$A$4:$A$15,0)),D251)</f>
        <v>59.95</v>
      </c>
      <c r="F251" s="16"/>
      <c r="G251" s="17" t="n">
        <f aca="false">IF(F251="",E251,F251)</f>
        <v>59.95</v>
      </c>
      <c r="H251" s="18" t="n">
        <f aca="false">G251-D251</f>
        <v>0</v>
      </c>
      <c r="I251" s="19" t="n">
        <f aca="false">IFERROR((G251-D251)/D251,0)</f>
        <v>0</v>
      </c>
      <c r="J251" s="14" t="str">
        <f aca="false">IF(G251&gt;D251,"Omhoog",IF(G251&lt;D251,"Omlaag","Gelijk"))</f>
        <v>Gelijk</v>
      </c>
      <c r="K251" s="20" t="str">
        <f aca="false">IF(ABS(I251)&gt;=0.2,"controleren","")</f>
        <v/>
      </c>
      <c r="L251" s="21" t="n">
        <f aca="false">G251*Tiers!$B$19</f>
        <v>37.222955</v>
      </c>
      <c r="M251" s="15" t="n">
        <v>109</v>
      </c>
      <c r="N251" s="19" t="n">
        <f aca="false">IFERROR(1-D251/M251,0)</f>
        <v>0.45</v>
      </c>
      <c r="O251" s="19" t="n">
        <f aca="false">IF(Tiers!$B$18="ja",Tiers!$B$20,N251)</f>
        <v>0.45</v>
      </c>
      <c r="P251" s="15" t="n">
        <f aca="false">ROUNDUP(G251/(1-O251),0)-0.05</f>
        <v>108.95</v>
      </c>
      <c r="Q251" s="19" t="n">
        <f aca="false">IFERROR(1-G251/P251,0)</f>
        <v>0.449747590637907</v>
      </c>
      <c r="R251" s="14" t="n">
        <v>30</v>
      </c>
    </row>
    <row r="252" customFormat="false" ht="15" hidden="false" customHeight="false" outlineLevel="0" collapsed="false">
      <c r="A252" s="14" t="s">
        <v>553</v>
      </c>
      <c r="B252" s="14" t="s">
        <v>554</v>
      </c>
      <c r="C252" s="14" t="s">
        <v>20</v>
      </c>
      <c r="D252" s="15" t="n">
        <v>59.95</v>
      </c>
      <c r="E252" s="15" t="n">
        <f aca="false">IFERROR(INDEX(Tiers!$B$4:$B$15,MATCH(C252,Tiers!$A$4:$A$15,0)),D252)</f>
        <v>59.95</v>
      </c>
      <c r="F252" s="16"/>
      <c r="G252" s="17" t="n">
        <f aca="false">IF(F252="",E252,F252)</f>
        <v>59.95</v>
      </c>
      <c r="H252" s="18" t="n">
        <f aca="false">G252-D252</f>
        <v>0</v>
      </c>
      <c r="I252" s="19" t="n">
        <f aca="false">IFERROR((G252-D252)/D252,0)</f>
        <v>0</v>
      </c>
      <c r="J252" s="14" t="str">
        <f aca="false">IF(G252&gt;D252,"Omhoog",IF(G252&lt;D252,"Omlaag","Gelijk"))</f>
        <v>Gelijk</v>
      </c>
      <c r="K252" s="20" t="str">
        <f aca="false">IF(ABS(I252)&gt;=0.2,"controleren","")</f>
        <v/>
      </c>
      <c r="L252" s="21" t="n">
        <f aca="false">G252*Tiers!$B$19</f>
        <v>37.222955</v>
      </c>
      <c r="M252" s="15" t="n">
        <v>109</v>
      </c>
      <c r="N252" s="19" t="n">
        <f aca="false">IFERROR(1-D252/M252,0)</f>
        <v>0.45</v>
      </c>
      <c r="O252" s="19" t="n">
        <f aca="false">IF(Tiers!$B$18="ja",Tiers!$B$20,N252)</f>
        <v>0.45</v>
      </c>
      <c r="P252" s="15" t="n">
        <f aca="false">ROUNDUP(G252/(1-O252),0)-0.05</f>
        <v>108.95</v>
      </c>
      <c r="Q252" s="19" t="n">
        <f aca="false">IFERROR(1-G252/P252,0)</f>
        <v>0.449747590637907</v>
      </c>
      <c r="R252" s="14" t="n">
        <v>15</v>
      </c>
    </row>
    <row r="253" customFormat="false" ht="15" hidden="false" customHeight="false" outlineLevel="0" collapsed="false">
      <c r="A253" s="14" t="s">
        <v>555</v>
      </c>
      <c r="B253" s="14" t="s">
        <v>556</v>
      </c>
      <c r="C253" s="14" t="s">
        <v>20</v>
      </c>
      <c r="D253" s="15" t="n">
        <v>54.95</v>
      </c>
      <c r="E253" s="15" t="n">
        <f aca="false">IFERROR(INDEX(Tiers!$B$4:$B$15,MATCH(C253,Tiers!$A$4:$A$15,0)),D253)</f>
        <v>59.95</v>
      </c>
      <c r="F253" s="16"/>
      <c r="G253" s="17" t="n">
        <f aca="false">IF(F253="",E253,F253)</f>
        <v>59.95</v>
      </c>
      <c r="H253" s="18" t="n">
        <f aca="false">G253-D253</f>
        <v>5</v>
      </c>
      <c r="I253" s="19" t="n">
        <f aca="false">IFERROR((G253-D253)/D253,0)</f>
        <v>0.0909918107370337</v>
      </c>
      <c r="J253" s="14" t="str">
        <f aca="false">IF(G253&gt;D253,"Omhoog",IF(G253&lt;D253,"Omlaag","Gelijk"))</f>
        <v>Omhoog</v>
      </c>
      <c r="K253" s="20" t="str">
        <f aca="false">IF(ABS(I253)&gt;=0.2,"controleren","")</f>
        <v/>
      </c>
      <c r="L253" s="21" t="n">
        <f aca="false">G253*Tiers!$B$19</f>
        <v>37.222955</v>
      </c>
      <c r="M253" s="15" t="n">
        <v>99.91</v>
      </c>
      <c r="N253" s="19" t="n">
        <f aca="false">IFERROR(1-D253/M253,0)</f>
        <v>0.450005004504054</v>
      </c>
      <c r="O253" s="19" t="n">
        <f aca="false">IF(Tiers!$B$18="ja",Tiers!$B$20,N253)</f>
        <v>0.450005004504054</v>
      </c>
      <c r="P253" s="15" t="n">
        <f aca="false">ROUNDUP(G253/(1-O253),0)-0.05</f>
        <v>109.95</v>
      </c>
      <c r="Q253" s="19" t="n">
        <f aca="false">IFERROR(1-G253/P253,0)</f>
        <v>0.45475216007276</v>
      </c>
      <c r="R253" s="14" t="n">
        <v>40</v>
      </c>
    </row>
    <row r="254" customFormat="false" ht="15" hidden="false" customHeight="false" outlineLevel="0" collapsed="false">
      <c r="A254" s="14" t="s">
        <v>557</v>
      </c>
      <c r="B254" s="14" t="s">
        <v>558</v>
      </c>
      <c r="C254" s="14" t="s">
        <v>20</v>
      </c>
      <c r="D254" s="15" t="n">
        <v>69.95</v>
      </c>
      <c r="E254" s="15" t="n">
        <f aca="false">IFERROR(INDEX(Tiers!$B$4:$B$15,MATCH(C254,Tiers!$A$4:$A$15,0)),D254)</f>
        <v>59.95</v>
      </c>
      <c r="F254" s="16"/>
      <c r="G254" s="17" t="n">
        <f aca="false">IF(F254="",E254,F254)</f>
        <v>59.95</v>
      </c>
      <c r="H254" s="18" t="n">
        <f aca="false">G254-D254</f>
        <v>-10</v>
      </c>
      <c r="I254" s="19" t="n">
        <f aca="false">IFERROR((G254-D254)/D254,0)</f>
        <v>-0.142959256611866</v>
      </c>
      <c r="J254" s="14" t="str">
        <f aca="false">IF(G254&gt;D254,"Omhoog",IF(G254&lt;D254,"Omlaag","Gelijk"))</f>
        <v>Omlaag</v>
      </c>
      <c r="K254" s="20" t="str">
        <f aca="false">IF(ABS(I254)&gt;=0.2,"controleren","")</f>
        <v/>
      </c>
      <c r="L254" s="21" t="n">
        <f aca="false">G254*Tiers!$B$19</f>
        <v>37.222955</v>
      </c>
      <c r="M254" s="15" t="n">
        <v>127.18</v>
      </c>
      <c r="N254" s="19" t="n">
        <f aca="false">IFERROR(1-D254/M254,0)</f>
        <v>0.449992137128479</v>
      </c>
      <c r="O254" s="19" t="n">
        <f aca="false">IF(Tiers!$B$18="ja",Tiers!$B$20,N254)</f>
        <v>0.449992137128479</v>
      </c>
      <c r="P254" s="15" t="n">
        <f aca="false">ROUNDUP(G254/(1-O254),0)-0.05</f>
        <v>108.95</v>
      </c>
      <c r="Q254" s="19" t="n">
        <f aca="false">IFERROR(1-G254/P254,0)</f>
        <v>0.449747590637907</v>
      </c>
      <c r="R254" s="14" t="n">
        <v>42</v>
      </c>
    </row>
    <row r="255" customFormat="false" ht="15" hidden="false" customHeight="false" outlineLevel="0" collapsed="false">
      <c r="A255" s="14" t="s">
        <v>559</v>
      </c>
      <c r="B255" s="14" t="s">
        <v>560</v>
      </c>
      <c r="C255" s="14" t="s">
        <v>20</v>
      </c>
      <c r="D255" s="15" t="n">
        <v>69.95</v>
      </c>
      <c r="E255" s="15" t="n">
        <f aca="false">IFERROR(INDEX(Tiers!$B$4:$B$15,MATCH(C255,Tiers!$A$4:$A$15,0)),D255)</f>
        <v>59.95</v>
      </c>
      <c r="F255" s="16"/>
      <c r="G255" s="17" t="n">
        <f aca="false">IF(F255="",E255,F255)</f>
        <v>59.95</v>
      </c>
      <c r="H255" s="18" t="n">
        <f aca="false">G255-D255</f>
        <v>-10</v>
      </c>
      <c r="I255" s="19" t="n">
        <f aca="false">IFERROR((G255-D255)/D255,0)</f>
        <v>-0.142959256611866</v>
      </c>
      <c r="J255" s="14" t="str">
        <f aca="false">IF(G255&gt;D255,"Omhoog",IF(G255&lt;D255,"Omlaag","Gelijk"))</f>
        <v>Omlaag</v>
      </c>
      <c r="K255" s="20" t="str">
        <f aca="false">IF(ABS(I255)&gt;=0.2,"controleren","")</f>
        <v/>
      </c>
      <c r="L255" s="21" t="n">
        <f aca="false">G255*Tiers!$B$19</f>
        <v>37.222955</v>
      </c>
      <c r="M255" s="15" t="n">
        <v>139.9</v>
      </c>
      <c r="N255" s="19" t="n">
        <f aca="false">IFERROR(1-D255/M255,0)</f>
        <v>0.5</v>
      </c>
      <c r="O255" s="19" t="n">
        <f aca="false">IF(Tiers!$B$18="ja",Tiers!$B$20,N255)</f>
        <v>0.5</v>
      </c>
      <c r="P255" s="15" t="n">
        <f aca="false">ROUNDUP(G255/(1-O255),0)-0.05</f>
        <v>119.95</v>
      </c>
      <c r="Q255" s="19" t="n">
        <f aca="false">IFERROR(1-G255/P255,0)</f>
        <v>0.500208420175073</v>
      </c>
      <c r="R255" s="14" t="n">
        <v>24</v>
      </c>
    </row>
    <row r="256" customFormat="false" ht="15" hidden="false" customHeight="false" outlineLevel="0" collapsed="false">
      <c r="A256" s="14" t="s">
        <v>561</v>
      </c>
      <c r="B256" s="14" t="s">
        <v>562</v>
      </c>
      <c r="C256" s="14" t="s">
        <v>20</v>
      </c>
      <c r="D256" s="15" t="n">
        <v>69.95</v>
      </c>
      <c r="E256" s="15" t="n">
        <f aca="false">IFERROR(INDEX(Tiers!$B$4:$B$15,MATCH(C256,Tiers!$A$4:$A$15,0)),D256)</f>
        <v>59.95</v>
      </c>
      <c r="F256" s="16"/>
      <c r="G256" s="17" t="n">
        <f aca="false">IF(F256="",E256,F256)</f>
        <v>59.95</v>
      </c>
      <c r="H256" s="18" t="n">
        <f aca="false">G256-D256</f>
        <v>-10</v>
      </c>
      <c r="I256" s="19" t="n">
        <f aca="false">IFERROR((G256-D256)/D256,0)</f>
        <v>-0.142959256611866</v>
      </c>
      <c r="J256" s="14" t="str">
        <f aca="false">IF(G256&gt;D256,"Omhoog",IF(G256&lt;D256,"Omlaag","Gelijk"))</f>
        <v>Omlaag</v>
      </c>
      <c r="K256" s="20" t="str">
        <f aca="false">IF(ABS(I256)&gt;=0.2,"controleren","")</f>
        <v/>
      </c>
      <c r="L256" s="21" t="n">
        <f aca="false">G256*Tiers!$B$19</f>
        <v>37.222955</v>
      </c>
      <c r="M256" s="15" t="n">
        <v>116.58</v>
      </c>
      <c r="N256" s="19" t="n">
        <f aca="false">IFERROR(1-D256/M256,0)</f>
        <v>0.399982844398696</v>
      </c>
      <c r="O256" s="19" t="n">
        <f aca="false">IF(Tiers!$B$18="ja",Tiers!$B$20,N256)</f>
        <v>0.399982844398696</v>
      </c>
      <c r="P256" s="15" t="n">
        <f aca="false">ROUNDUP(G256/(1-O256),0)-0.05</f>
        <v>99.95</v>
      </c>
      <c r="Q256" s="19" t="n">
        <f aca="false">IFERROR(1-G256/P256,0)</f>
        <v>0.400200100050025</v>
      </c>
      <c r="R256" s="14" t="n">
        <v>54</v>
      </c>
    </row>
    <row r="257" customFormat="false" ht="15" hidden="false" customHeight="false" outlineLevel="0" collapsed="false">
      <c r="A257" s="14" t="s">
        <v>563</v>
      </c>
      <c r="B257" s="14" t="s">
        <v>564</v>
      </c>
      <c r="C257" s="14" t="s">
        <v>20</v>
      </c>
      <c r="D257" s="15" t="n">
        <v>64.95</v>
      </c>
      <c r="E257" s="15" t="n">
        <f aca="false">IFERROR(INDEX(Tiers!$B$4:$B$15,MATCH(C257,Tiers!$A$4:$A$15,0)),D257)</f>
        <v>59.95</v>
      </c>
      <c r="F257" s="16"/>
      <c r="G257" s="17" t="n">
        <f aca="false">IF(F257="",E257,F257)</f>
        <v>59.95</v>
      </c>
      <c r="H257" s="18" t="n">
        <f aca="false">G257-D257</f>
        <v>-5</v>
      </c>
      <c r="I257" s="19" t="n">
        <f aca="false">IFERROR((G257-D257)/D257,0)</f>
        <v>-0.0769822940723634</v>
      </c>
      <c r="J257" s="14" t="str">
        <f aca="false">IF(G257&gt;D257,"Omhoog",IF(G257&lt;D257,"Omlaag","Gelijk"))</f>
        <v>Omlaag</v>
      </c>
      <c r="K257" s="20" t="str">
        <f aca="false">IF(ABS(I257)&gt;=0.2,"controleren","")</f>
        <v/>
      </c>
      <c r="L257" s="21" t="n">
        <f aca="false">G257*Tiers!$B$19</f>
        <v>37.222955</v>
      </c>
      <c r="M257" s="15" t="n">
        <v>118.09</v>
      </c>
      <c r="N257" s="19" t="n">
        <f aca="false">IFERROR(1-D257/M257,0)</f>
        <v>0.449995765941231</v>
      </c>
      <c r="O257" s="19" t="n">
        <f aca="false">IF(Tiers!$B$18="ja",Tiers!$B$20,N257)</f>
        <v>0.449995765941231</v>
      </c>
      <c r="P257" s="15" t="n">
        <f aca="false">ROUNDUP(G257/(1-O257),0)-0.05</f>
        <v>108.95</v>
      </c>
      <c r="Q257" s="19" t="n">
        <f aca="false">IFERROR(1-G257/P257,0)</f>
        <v>0.449747590637907</v>
      </c>
      <c r="R257" s="14" t="n">
        <v>24</v>
      </c>
    </row>
    <row r="258" customFormat="false" ht="15" hidden="false" customHeight="false" outlineLevel="0" collapsed="false">
      <c r="A258" s="14" t="s">
        <v>565</v>
      </c>
      <c r="B258" s="14" t="s">
        <v>566</v>
      </c>
      <c r="C258" s="14" t="s">
        <v>20</v>
      </c>
      <c r="D258" s="15" t="n">
        <v>69.95</v>
      </c>
      <c r="E258" s="15" t="n">
        <f aca="false">IFERROR(INDEX(Tiers!$B$4:$B$15,MATCH(C258,Tiers!$A$4:$A$15,0)),D258)</f>
        <v>59.95</v>
      </c>
      <c r="F258" s="16"/>
      <c r="G258" s="17" t="n">
        <f aca="false">IF(F258="",E258,F258)</f>
        <v>59.95</v>
      </c>
      <c r="H258" s="18" t="n">
        <f aca="false">G258-D258</f>
        <v>-10</v>
      </c>
      <c r="I258" s="19" t="n">
        <f aca="false">IFERROR((G258-D258)/D258,0)</f>
        <v>-0.142959256611866</v>
      </c>
      <c r="J258" s="14" t="str">
        <f aca="false">IF(G258&gt;D258,"Omhoog",IF(G258&lt;D258,"Omlaag","Gelijk"))</f>
        <v>Omlaag</v>
      </c>
      <c r="K258" s="20" t="str">
        <f aca="false">IF(ABS(I258)&gt;=0.2,"controleren","")</f>
        <v/>
      </c>
      <c r="L258" s="21" t="n">
        <f aca="false">G258*Tiers!$B$19</f>
        <v>37.222955</v>
      </c>
      <c r="M258" s="15" t="n">
        <v>127.18</v>
      </c>
      <c r="N258" s="19" t="n">
        <f aca="false">IFERROR(1-D258/M258,0)</f>
        <v>0.449992137128479</v>
      </c>
      <c r="O258" s="19" t="n">
        <f aca="false">IF(Tiers!$B$18="ja",Tiers!$B$20,N258)</f>
        <v>0.449992137128479</v>
      </c>
      <c r="P258" s="15" t="n">
        <f aca="false">ROUNDUP(G258/(1-O258),0)-0.05</f>
        <v>108.95</v>
      </c>
      <c r="Q258" s="19" t="n">
        <f aca="false">IFERROR(1-G258/P258,0)</f>
        <v>0.449747590637907</v>
      </c>
      <c r="R258" s="14" t="n">
        <v>42</v>
      </c>
    </row>
    <row r="259" customFormat="false" ht="15" hidden="false" customHeight="false" outlineLevel="0" collapsed="false">
      <c r="A259" s="14" t="s">
        <v>567</v>
      </c>
      <c r="B259" s="14" t="s">
        <v>568</v>
      </c>
      <c r="C259" s="14" t="s">
        <v>20</v>
      </c>
      <c r="D259" s="15" t="n">
        <v>69.95</v>
      </c>
      <c r="E259" s="15" t="n">
        <f aca="false">IFERROR(INDEX(Tiers!$B$4:$B$15,MATCH(C259,Tiers!$A$4:$A$15,0)),D259)</f>
        <v>59.95</v>
      </c>
      <c r="F259" s="16"/>
      <c r="G259" s="17" t="n">
        <f aca="false">IF(F259="",E259,F259)</f>
        <v>59.95</v>
      </c>
      <c r="H259" s="18" t="n">
        <f aca="false">G259-D259</f>
        <v>-10</v>
      </c>
      <c r="I259" s="19" t="n">
        <f aca="false">IFERROR((G259-D259)/D259,0)</f>
        <v>-0.142959256611866</v>
      </c>
      <c r="J259" s="14" t="str">
        <f aca="false">IF(G259&gt;D259,"Omhoog",IF(G259&lt;D259,"Omlaag","Gelijk"))</f>
        <v>Omlaag</v>
      </c>
      <c r="K259" s="20" t="str">
        <f aca="false">IF(ABS(I259)&gt;=0.2,"controleren","")</f>
        <v/>
      </c>
      <c r="L259" s="21" t="n">
        <f aca="false">G259*Tiers!$B$19</f>
        <v>37.222955</v>
      </c>
      <c r="M259" s="15" t="n">
        <v>116.58</v>
      </c>
      <c r="N259" s="19" t="n">
        <f aca="false">IFERROR(1-D259/M259,0)</f>
        <v>0.399982844398696</v>
      </c>
      <c r="O259" s="19" t="n">
        <f aca="false">IF(Tiers!$B$18="ja",Tiers!$B$20,N259)</f>
        <v>0.399982844398696</v>
      </c>
      <c r="P259" s="15" t="n">
        <f aca="false">ROUNDUP(G259/(1-O259),0)-0.05</f>
        <v>99.95</v>
      </c>
      <c r="Q259" s="19" t="n">
        <f aca="false">IFERROR(1-G259/P259,0)</f>
        <v>0.400200100050025</v>
      </c>
      <c r="R259" s="14" t="n">
        <v>30</v>
      </c>
    </row>
    <row r="260" customFormat="false" ht="15" hidden="false" customHeight="false" outlineLevel="0" collapsed="false">
      <c r="A260" s="14" t="s">
        <v>569</v>
      </c>
      <c r="B260" s="14" t="s">
        <v>570</v>
      </c>
      <c r="C260" s="14" t="s">
        <v>20</v>
      </c>
      <c r="D260" s="15" t="n">
        <v>69.95</v>
      </c>
      <c r="E260" s="15" t="n">
        <f aca="false">IFERROR(INDEX(Tiers!$B$4:$B$15,MATCH(C260,Tiers!$A$4:$A$15,0)),D260)</f>
        <v>59.95</v>
      </c>
      <c r="F260" s="16"/>
      <c r="G260" s="17" t="n">
        <f aca="false">IF(F260="",E260,F260)</f>
        <v>59.95</v>
      </c>
      <c r="H260" s="18" t="n">
        <f aca="false">G260-D260</f>
        <v>-10</v>
      </c>
      <c r="I260" s="19" t="n">
        <f aca="false">IFERROR((G260-D260)/D260,0)</f>
        <v>-0.142959256611866</v>
      </c>
      <c r="J260" s="14" t="str">
        <f aca="false">IF(G260&gt;D260,"Omhoog",IF(G260&lt;D260,"Omlaag","Gelijk"))</f>
        <v>Omlaag</v>
      </c>
      <c r="K260" s="20" t="str">
        <f aca="false">IF(ABS(I260)&gt;=0.2,"controleren","")</f>
        <v/>
      </c>
      <c r="L260" s="21" t="n">
        <f aca="false">G260*Tiers!$B$19</f>
        <v>37.222955</v>
      </c>
      <c r="M260" s="15" t="n">
        <v>116.58</v>
      </c>
      <c r="N260" s="19" t="n">
        <f aca="false">IFERROR(1-D260/M260,0)</f>
        <v>0.399982844398696</v>
      </c>
      <c r="O260" s="19" t="n">
        <f aca="false">IF(Tiers!$B$18="ja",Tiers!$B$20,N260)</f>
        <v>0.399982844398696</v>
      </c>
      <c r="P260" s="15" t="n">
        <f aca="false">ROUNDUP(G260/(1-O260),0)-0.05</f>
        <v>99.95</v>
      </c>
      <c r="Q260" s="19" t="n">
        <f aca="false">IFERROR(1-G260/P260,0)</f>
        <v>0.400200100050025</v>
      </c>
      <c r="R260" s="14" t="n">
        <v>15</v>
      </c>
    </row>
    <row r="261" customFormat="false" ht="15" hidden="false" customHeight="false" outlineLevel="0" collapsed="false">
      <c r="A261" s="14" t="s">
        <v>571</v>
      </c>
      <c r="B261" s="14" t="s">
        <v>572</v>
      </c>
      <c r="C261" s="14" t="s">
        <v>20</v>
      </c>
      <c r="D261" s="15" t="n">
        <v>49.95</v>
      </c>
      <c r="E261" s="15" t="n">
        <f aca="false">IFERROR(INDEX(Tiers!$B$4:$B$15,MATCH(C261,Tiers!$A$4:$A$15,0)),D261)</f>
        <v>59.95</v>
      </c>
      <c r="F261" s="16"/>
      <c r="G261" s="17" t="n">
        <f aca="false">IF(F261="",E261,F261)</f>
        <v>59.95</v>
      </c>
      <c r="H261" s="18" t="n">
        <f aca="false">G261-D261</f>
        <v>10</v>
      </c>
      <c r="I261" s="19" t="n">
        <f aca="false">IFERROR((G261-D261)/D261,0)</f>
        <v>0.2002002002002</v>
      </c>
      <c r="J261" s="14" t="str">
        <f aca="false">IF(G261&gt;D261,"Omhoog",IF(G261&lt;D261,"Omlaag","Gelijk"))</f>
        <v>Omhoog</v>
      </c>
      <c r="K261" s="20" t="str">
        <f aca="false">IF(ABS(I261)&gt;=0.2,"controleren","")</f>
        <v>controleren</v>
      </c>
      <c r="L261" s="21" t="n">
        <f aca="false">G261*Tiers!$B$19</f>
        <v>37.222955</v>
      </c>
      <c r="M261" s="15" t="n">
        <v>83.25</v>
      </c>
      <c r="N261" s="19" t="n">
        <f aca="false">IFERROR(1-D261/M261,0)</f>
        <v>0.4</v>
      </c>
      <c r="O261" s="19" t="n">
        <f aca="false">IF(Tiers!$B$18="ja",Tiers!$B$20,N261)</f>
        <v>0.4</v>
      </c>
      <c r="P261" s="15" t="n">
        <f aca="false">ROUNDUP(G261/(1-O261),0)-0.05</f>
        <v>99.95</v>
      </c>
      <c r="Q261" s="19" t="n">
        <f aca="false">IFERROR(1-G261/P261,0)</f>
        <v>0.400200100050025</v>
      </c>
      <c r="R261" s="14" t="n">
        <v>20</v>
      </c>
    </row>
    <row r="262" customFormat="false" ht="15" hidden="false" customHeight="false" outlineLevel="0" collapsed="false">
      <c r="A262" s="14" t="s">
        <v>573</v>
      </c>
      <c r="B262" s="14" t="s">
        <v>574</v>
      </c>
      <c r="C262" s="14" t="s">
        <v>20</v>
      </c>
      <c r="D262" s="15" t="n">
        <v>69.95</v>
      </c>
      <c r="E262" s="15" t="n">
        <f aca="false">IFERROR(INDEX(Tiers!$B$4:$B$15,MATCH(C262,Tiers!$A$4:$A$15,0)),D262)</f>
        <v>59.95</v>
      </c>
      <c r="F262" s="16"/>
      <c r="G262" s="17" t="n">
        <f aca="false">IF(F262="",E262,F262)</f>
        <v>59.95</v>
      </c>
      <c r="H262" s="18" t="n">
        <f aca="false">G262-D262</f>
        <v>-10</v>
      </c>
      <c r="I262" s="19" t="n">
        <f aca="false">IFERROR((G262-D262)/D262,0)</f>
        <v>-0.142959256611866</v>
      </c>
      <c r="J262" s="14" t="str">
        <f aca="false">IF(G262&gt;D262,"Omhoog",IF(G262&lt;D262,"Omlaag","Gelijk"))</f>
        <v>Omlaag</v>
      </c>
      <c r="K262" s="20" t="str">
        <f aca="false">IF(ABS(I262)&gt;=0.2,"controleren","")</f>
        <v/>
      </c>
      <c r="L262" s="21" t="n">
        <f aca="false">G262*Tiers!$B$19</f>
        <v>37.222955</v>
      </c>
      <c r="M262" s="15" t="n">
        <v>127.18</v>
      </c>
      <c r="N262" s="19" t="n">
        <f aca="false">IFERROR(1-D262/M262,0)</f>
        <v>0.449992137128479</v>
      </c>
      <c r="O262" s="19" t="n">
        <f aca="false">IF(Tiers!$B$18="ja",Tiers!$B$20,N262)</f>
        <v>0.449992137128479</v>
      </c>
      <c r="P262" s="15" t="n">
        <f aca="false">ROUNDUP(G262/(1-O262),0)-0.05</f>
        <v>108.95</v>
      </c>
      <c r="Q262" s="19" t="n">
        <f aca="false">IFERROR(1-G262/P262,0)</f>
        <v>0.449747590637907</v>
      </c>
      <c r="R262" s="14" t="n">
        <v>42</v>
      </c>
    </row>
    <row r="263" customFormat="false" ht="15" hidden="false" customHeight="false" outlineLevel="0" collapsed="false">
      <c r="A263" s="14" t="s">
        <v>575</v>
      </c>
      <c r="B263" s="14" t="s">
        <v>576</v>
      </c>
      <c r="C263" s="14" t="s">
        <v>20</v>
      </c>
      <c r="D263" s="15" t="n">
        <v>69.95</v>
      </c>
      <c r="E263" s="15" t="n">
        <f aca="false">IFERROR(INDEX(Tiers!$B$4:$B$15,MATCH(C263,Tiers!$A$4:$A$15,0)),D263)</f>
        <v>59.95</v>
      </c>
      <c r="F263" s="16"/>
      <c r="G263" s="17" t="n">
        <f aca="false">IF(F263="",E263,F263)</f>
        <v>59.95</v>
      </c>
      <c r="H263" s="18" t="n">
        <f aca="false">G263-D263</f>
        <v>-10</v>
      </c>
      <c r="I263" s="19" t="n">
        <f aca="false">IFERROR((G263-D263)/D263,0)</f>
        <v>-0.142959256611866</v>
      </c>
      <c r="J263" s="14" t="str">
        <f aca="false">IF(G263&gt;D263,"Omhoog",IF(G263&lt;D263,"Omlaag","Gelijk"))</f>
        <v>Omlaag</v>
      </c>
      <c r="K263" s="20" t="str">
        <f aca="false">IF(ABS(I263)&gt;=0.2,"controleren","")</f>
        <v/>
      </c>
      <c r="L263" s="21" t="n">
        <f aca="false">G263*Tiers!$B$19</f>
        <v>37.222955</v>
      </c>
      <c r="M263" s="15" t="n">
        <v>116.58</v>
      </c>
      <c r="N263" s="19" t="n">
        <f aca="false">IFERROR(1-D263/M263,0)</f>
        <v>0.399982844398696</v>
      </c>
      <c r="O263" s="19" t="n">
        <f aca="false">IF(Tiers!$B$18="ja",Tiers!$B$20,N263)</f>
        <v>0.399982844398696</v>
      </c>
      <c r="P263" s="15" t="n">
        <f aca="false">ROUNDUP(G263/(1-O263),0)-0.05</f>
        <v>99.95</v>
      </c>
      <c r="Q263" s="19" t="n">
        <f aca="false">IFERROR(1-G263/P263,0)</f>
        <v>0.400200100050025</v>
      </c>
      <c r="R263" s="14" t="n">
        <v>36</v>
      </c>
    </row>
    <row r="264" customFormat="false" ht="15" hidden="false" customHeight="false" outlineLevel="0" collapsed="false">
      <c r="A264" s="14" t="s">
        <v>577</v>
      </c>
      <c r="B264" s="14" t="s">
        <v>578</v>
      </c>
      <c r="C264" s="14" t="s">
        <v>20</v>
      </c>
      <c r="D264" s="15" t="n">
        <v>69.95</v>
      </c>
      <c r="E264" s="15" t="n">
        <f aca="false">IFERROR(INDEX(Tiers!$B$4:$B$15,MATCH(C264,Tiers!$A$4:$A$15,0)),D264)</f>
        <v>59.95</v>
      </c>
      <c r="F264" s="16"/>
      <c r="G264" s="17" t="n">
        <f aca="false">IF(F264="",E264,F264)</f>
        <v>59.95</v>
      </c>
      <c r="H264" s="18" t="n">
        <f aca="false">G264-D264</f>
        <v>-10</v>
      </c>
      <c r="I264" s="19" t="n">
        <f aca="false">IFERROR((G264-D264)/D264,0)</f>
        <v>-0.142959256611866</v>
      </c>
      <c r="J264" s="14" t="str">
        <f aca="false">IF(G264&gt;D264,"Omhoog",IF(G264&lt;D264,"Omlaag","Gelijk"))</f>
        <v>Omlaag</v>
      </c>
      <c r="K264" s="20" t="str">
        <f aca="false">IF(ABS(I264)&gt;=0.2,"controleren","")</f>
        <v/>
      </c>
      <c r="L264" s="21" t="n">
        <f aca="false">G264*Tiers!$B$19</f>
        <v>37.222955</v>
      </c>
      <c r="M264" s="15" t="n">
        <v>127.18</v>
      </c>
      <c r="N264" s="19" t="n">
        <f aca="false">IFERROR(1-D264/M264,0)</f>
        <v>0.449992137128479</v>
      </c>
      <c r="O264" s="19" t="n">
        <f aca="false">IF(Tiers!$B$18="ja",Tiers!$B$20,N264)</f>
        <v>0.449992137128479</v>
      </c>
      <c r="P264" s="15" t="n">
        <f aca="false">ROUNDUP(G264/(1-O264),0)-0.05</f>
        <v>108.95</v>
      </c>
      <c r="Q264" s="19" t="n">
        <f aca="false">IFERROR(1-G264/P264,0)</f>
        <v>0.449747590637907</v>
      </c>
      <c r="R264" s="14" t="n">
        <v>12</v>
      </c>
    </row>
    <row r="265" customFormat="false" ht="15" hidden="false" customHeight="false" outlineLevel="0" collapsed="false">
      <c r="A265" s="14" t="s">
        <v>579</v>
      </c>
      <c r="B265" s="14" t="s">
        <v>580</v>
      </c>
      <c r="C265" s="14" t="s">
        <v>20</v>
      </c>
      <c r="D265" s="15" t="n">
        <v>69.95</v>
      </c>
      <c r="E265" s="15" t="n">
        <f aca="false">IFERROR(INDEX(Tiers!$B$4:$B$15,MATCH(C265,Tiers!$A$4:$A$15,0)),D265)</f>
        <v>59.95</v>
      </c>
      <c r="F265" s="16"/>
      <c r="G265" s="17" t="n">
        <f aca="false">IF(F265="",E265,F265)</f>
        <v>59.95</v>
      </c>
      <c r="H265" s="18" t="n">
        <f aca="false">G265-D265</f>
        <v>-10</v>
      </c>
      <c r="I265" s="19" t="n">
        <f aca="false">IFERROR((G265-D265)/D265,0)</f>
        <v>-0.142959256611866</v>
      </c>
      <c r="J265" s="14" t="str">
        <f aca="false">IF(G265&gt;D265,"Omhoog",IF(G265&lt;D265,"Omlaag","Gelijk"))</f>
        <v>Omlaag</v>
      </c>
      <c r="K265" s="20" t="str">
        <f aca="false">IF(ABS(I265)&gt;=0.2,"controleren","")</f>
        <v/>
      </c>
      <c r="L265" s="21" t="n">
        <f aca="false">G265*Tiers!$B$19</f>
        <v>37.222955</v>
      </c>
      <c r="M265" s="15" t="n">
        <v>139.9</v>
      </c>
      <c r="N265" s="19" t="n">
        <f aca="false">IFERROR(1-D265/M265,0)</f>
        <v>0.5</v>
      </c>
      <c r="O265" s="19" t="n">
        <f aca="false">IF(Tiers!$B$18="ja",Tiers!$B$20,N265)</f>
        <v>0.5</v>
      </c>
      <c r="P265" s="15" t="n">
        <f aca="false">ROUNDUP(G265/(1-O265),0)-0.05</f>
        <v>119.95</v>
      </c>
      <c r="Q265" s="19" t="n">
        <f aca="false">IFERROR(1-G265/P265,0)</f>
        <v>0.500208420175073</v>
      </c>
      <c r="R265" s="14" t="n">
        <v>12</v>
      </c>
    </row>
    <row r="266" customFormat="false" ht="15" hidden="false" customHeight="false" outlineLevel="0" collapsed="false">
      <c r="A266" s="14" t="s">
        <v>581</v>
      </c>
      <c r="B266" s="14" t="s">
        <v>582</v>
      </c>
      <c r="C266" s="14" t="s">
        <v>20</v>
      </c>
      <c r="D266" s="15" t="n">
        <v>54.95</v>
      </c>
      <c r="E266" s="15" t="n">
        <f aca="false">IFERROR(INDEX(Tiers!$B$4:$B$15,MATCH(C266,Tiers!$A$4:$A$15,0)),D266)</f>
        <v>59.95</v>
      </c>
      <c r="F266" s="16"/>
      <c r="G266" s="17" t="n">
        <f aca="false">IF(F266="",E266,F266)</f>
        <v>59.95</v>
      </c>
      <c r="H266" s="18" t="n">
        <f aca="false">G266-D266</f>
        <v>5</v>
      </c>
      <c r="I266" s="19" t="n">
        <f aca="false">IFERROR((G266-D266)/D266,0)</f>
        <v>0.0909918107370337</v>
      </c>
      <c r="J266" s="14" t="str">
        <f aca="false">IF(G266&gt;D266,"Omhoog",IF(G266&lt;D266,"Omlaag","Gelijk"))</f>
        <v>Omhoog</v>
      </c>
      <c r="K266" s="20" t="str">
        <f aca="false">IF(ABS(I266)&gt;=0.2,"controleren","")</f>
        <v/>
      </c>
      <c r="L266" s="21" t="n">
        <f aca="false">G266*Tiers!$B$19</f>
        <v>37.222955</v>
      </c>
      <c r="M266" s="15" t="n">
        <v>109.9</v>
      </c>
      <c r="N266" s="19" t="n">
        <f aca="false">IFERROR(1-D266/M266,0)</f>
        <v>0.5</v>
      </c>
      <c r="O266" s="19" t="n">
        <f aca="false">IF(Tiers!$B$18="ja",Tiers!$B$20,N266)</f>
        <v>0.5</v>
      </c>
      <c r="P266" s="15" t="n">
        <f aca="false">ROUNDUP(G266/(1-O266),0)-0.05</f>
        <v>119.95</v>
      </c>
      <c r="Q266" s="19" t="n">
        <f aca="false">IFERROR(1-G266/P266,0)</f>
        <v>0.500208420175073</v>
      </c>
      <c r="R266" s="14" t="n">
        <v>25</v>
      </c>
    </row>
    <row r="267" customFormat="false" ht="15" hidden="false" customHeight="false" outlineLevel="0" collapsed="false">
      <c r="A267" s="14" t="s">
        <v>583</v>
      </c>
      <c r="B267" s="14" t="s">
        <v>584</v>
      </c>
      <c r="C267" s="14" t="s">
        <v>20</v>
      </c>
      <c r="D267" s="15" t="n">
        <v>69.95</v>
      </c>
      <c r="E267" s="15" t="n">
        <f aca="false">IFERROR(INDEX(Tiers!$B$4:$B$15,MATCH(C267,Tiers!$A$4:$A$15,0)),D267)</f>
        <v>59.95</v>
      </c>
      <c r="F267" s="16"/>
      <c r="G267" s="17" t="n">
        <f aca="false">IF(F267="",E267,F267)</f>
        <v>59.95</v>
      </c>
      <c r="H267" s="18" t="n">
        <f aca="false">G267-D267</f>
        <v>-10</v>
      </c>
      <c r="I267" s="19" t="n">
        <f aca="false">IFERROR((G267-D267)/D267,0)</f>
        <v>-0.142959256611866</v>
      </c>
      <c r="J267" s="14" t="str">
        <f aca="false">IF(G267&gt;D267,"Omhoog",IF(G267&lt;D267,"Omlaag","Gelijk"))</f>
        <v>Omlaag</v>
      </c>
      <c r="K267" s="20" t="str">
        <f aca="false">IF(ABS(I267)&gt;=0.2,"controleren","")</f>
        <v/>
      </c>
      <c r="L267" s="21" t="n">
        <f aca="false">G267*Tiers!$B$19</f>
        <v>37.222955</v>
      </c>
      <c r="M267" s="15" t="n">
        <v>116.58</v>
      </c>
      <c r="N267" s="19" t="n">
        <f aca="false">IFERROR(1-D267/M267,0)</f>
        <v>0.399982844398696</v>
      </c>
      <c r="O267" s="19" t="n">
        <f aca="false">IF(Tiers!$B$18="ja",Tiers!$B$20,N267)</f>
        <v>0.399982844398696</v>
      </c>
      <c r="P267" s="15" t="n">
        <f aca="false">ROUNDUP(G267/(1-O267),0)-0.05</f>
        <v>99.95</v>
      </c>
      <c r="Q267" s="19" t="n">
        <f aca="false">IFERROR(1-G267/P267,0)</f>
        <v>0.400200100050025</v>
      </c>
      <c r="R267" s="14" t="n">
        <v>5</v>
      </c>
    </row>
    <row r="268" customFormat="false" ht="15" hidden="false" customHeight="false" outlineLevel="0" collapsed="false">
      <c r="A268" s="14" t="s">
        <v>585</v>
      </c>
      <c r="B268" s="14" t="s">
        <v>586</v>
      </c>
      <c r="C268" s="14" t="s">
        <v>20</v>
      </c>
      <c r="D268" s="15" t="n">
        <v>69.95</v>
      </c>
      <c r="E268" s="15" t="n">
        <f aca="false">IFERROR(INDEX(Tiers!$B$4:$B$15,MATCH(C268,Tiers!$A$4:$A$15,0)),D268)</f>
        <v>59.95</v>
      </c>
      <c r="F268" s="16"/>
      <c r="G268" s="17" t="n">
        <f aca="false">IF(F268="",E268,F268)</f>
        <v>59.95</v>
      </c>
      <c r="H268" s="18" t="n">
        <f aca="false">G268-D268</f>
        <v>-10</v>
      </c>
      <c r="I268" s="19" t="n">
        <f aca="false">IFERROR((G268-D268)/D268,0)</f>
        <v>-0.142959256611866</v>
      </c>
      <c r="J268" s="14" t="str">
        <f aca="false">IF(G268&gt;D268,"Omhoog",IF(G268&lt;D268,"Omlaag","Gelijk"))</f>
        <v>Omlaag</v>
      </c>
      <c r="K268" s="20" t="str">
        <f aca="false">IF(ABS(I268)&gt;=0.2,"controleren","")</f>
        <v/>
      </c>
      <c r="L268" s="21" t="n">
        <f aca="false">G268*Tiers!$B$19</f>
        <v>37.222955</v>
      </c>
      <c r="M268" s="15" t="n">
        <v>116.58</v>
      </c>
      <c r="N268" s="19" t="n">
        <f aca="false">IFERROR(1-D268/M268,0)</f>
        <v>0.399982844398696</v>
      </c>
      <c r="O268" s="19" t="n">
        <f aca="false">IF(Tiers!$B$18="ja",Tiers!$B$20,N268)</f>
        <v>0.399982844398696</v>
      </c>
      <c r="P268" s="15" t="n">
        <f aca="false">ROUNDUP(G268/(1-O268),0)-0.05</f>
        <v>99.95</v>
      </c>
      <c r="Q268" s="19" t="n">
        <f aca="false">IFERROR(1-G268/P268,0)</f>
        <v>0.400200100050025</v>
      </c>
      <c r="R268" s="14" t="n">
        <v>6</v>
      </c>
    </row>
    <row r="269" customFormat="false" ht="15" hidden="false" customHeight="false" outlineLevel="0" collapsed="false">
      <c r="A269" s="14" t="s">
        <v>587</v>
      </c>
      <c r="B269" s="14" t="s">
        <v>588</v>
      </c>
      <c r="C269" s="14" t="s">
        <v>20</v>
      </c>
      <c r="D269" s="15" t="n">
        <v>69.95</v>
      </c>
      <c r="E269" s="15" t="n">
        <f aca="false">IFERROR(INDEX(Tiers!$B$4:$B$15,MATCH(C269,Tiers!$A$4:$A$15,0)),D269)</f>
        <v>59.95</v>
      </c>
      <c r="F269" s="16"/>
      <c r="G269" s="17" t="n">
        <f aca="false">IF(F269="",E269,F269)</f>
        <v>59.95</v>
      </c>
      <c r="H269" s="18" t="n">
        <f aca="false">G269-D269</f>
        <v>-10</v>
      </c>
      <c r="I269" s="19" t="n">
        <f aca="false">IFERROR((G269-D269)/D269,0)</f>
        <v>-0.142959256611866</v>
      </c>
      <c r="J269" s="14" t="str">
        <f aca="false">IF(G269&gt;D269,"Omhoog",IF(G269&lt;D269,"Omlaag","Gelijk"))</f>
        <v>Omlaag</v>
      </c>
      <c r="K269" s="20" t="str">
        <f aca="false">IF(ABS(I269)&gt;=0.2,"controleren","")</f>
        <v/>
      </c>
      <c r="L269" s="21" t="n">
        <f aca="false">G269*Tiers!$B$19</f>
        <v>37.222955</v>
      </c>
      <c r="M269" s="15" t="n">
        <v>116.58</v>
      </c>
      <c r="N269" s="19" t="n">
        <f aca="false">IFERROR(1-D269/M269,0)</f>
        <v>0.399982844398696</v>
      </c>
      <c r="O269" s="19" t="n">
        <f aca="false">IF(Tiers!$B$18="ja",Tiers!$B$20,N269)</f>
        <v>0.399982844398696</v>
      </c>
      <c r="P269" s="15" t="n">
        <f aca="false">ROUNDUP(G269/(1-O269),0)-0.05</f>
        <v>99.95</v>
      </c>
      <c r="Q269" s="19" t="n">
        <f aca="false">IFERROR(1-G269/P269,0)</f>
        <v>0.400200100050025</v>
      </c>
      <c r="R269" s="14" t="n">
        <v>16</v>
      </c>
    </row>
    <row r="270" customFormat="false" ht="15" hidden="false" customHeight="false" outlineLevel="0" collapsed="false">
      <c r="A270" s="14" t="s">
        <v>589</v>
      </c>
      <c r="B270" s="14" t="s">
        <v>590</v>
      </c>
      <c r="C270" s="14" t="s">
        <v>20</v>
      </c>
      <c r="D270" s="15" t="n">
        <v>69.95</v>
      </c>
      <c r="E270" s="15" t="n">
        <f aca="false">IFERROR(INDEX(Tiers!$B$4:$B$15,MATCH(C270,Tiers!$A$4:$A$15,0)),D270)</f>
        <v>59.95</v>
      </c>
      <c r="F270" s="16"/>
      <c r="G270" s="17" t="n">
        <f aca="false">IF(F270="",E270,F270)</f>
        <v>59.95</v>
      </c>
      <c r="H270" s="18" t="n">
        <f aca="false">G270-D270</f>
        <v>-10</v>
      </c>
      <c r="I270" s="19" t="n">
        <f aca="false">IFERROR((G270-D270)/D270,0)</f>
        <v>-0.142959256611866</v>
      </c>
      <c r="J270" s="14" t="str">
        <f aca="false">IF(G270&gt;D270,"Omhoog",IF(G270&lt;D270,"Omlaag","Gelijk"))</f>
        <v>Omlaag</v>
      </c>
      <c r="K270" s="20" t="str">
        <f aca="false">IF(ABS(I270)&gt;=0.2,"controleren","")</f>
        <v/>
      </c>
      <c r="L270" s="21" t="n">
        <f aca="false">G270*Tiers!$B$19</f>
        <v>37.222955</v>
      </c>
      <c r="M270" s="15" t="n">
        <v>127.18</v>
      </c>
      <c r="N270" s="19" t="n">
        <f aca="false">IFERROR(1-D270/M270,0)</f>
        <v>0.449992137128479</v>
      </c>
      <c r="O270" s="19" t="n">
        <f aca="false">IF(Tiers!$B$18="ja",Tiers!$B$20,N270)</f>
        <v>0.449992137128479</v>
      </c>
      <c r="P270" s="15" t="n">
        <f aca="false">ROUNDUP(G270/(1-O270),0)-0.05</f>
        <v>108.95</v>
      </c>
      <c r="Q270" s="19" t="n">
        <f aca="false">IFERROR(1-G270/P270,0)</f>
        <v>0.449747590637907</v>
      </c>
      <c r="R270" s="14" t="n">
        <v>20</v>
      </c>
    </row>
    <row r="271" customFormat="false" ht="15" hidden="false" customHeight="false" outlineLevel="0" collapsed="false">
      <c r="A271" s="14" t="s">
        <v>591</v>
      </c>
      <c r="B271" s="14" t="s">
        <v>592</v>
      </c>
      <c r="C271" s="14" t="s">
        <v>20</v>
      </c>
      <c r="D271" s="15" t="n">
        <v>69.95</v>
      </c>
      <c r="E271" s="15" t="n">
        <f aca="false">IFERROR(INDEX(Tiers!$B$4:$B$15,MATCH(C271,Tiers!$A$4:$A$15,0)),D271)</f>
        <v>59.95</v>
      </c>
      <c r="F271" s="16"/>
      <c r="G271" s="17" t="n">
        <f aca="false">IF(F271="",E271,F271)</f>
        <v>59.95</v>
      </c>
      <c r="H271" s="18" t="n">
        <f aca="false">G271-D271</f>
        <v>-10</v>
      </c>
      <c r="I271" s="19" t="n">
        <f aca="false">IFERROR((G271-D271)/D271,0)</f>
        <v>-0.142959256611866</v>
      </c>
      <c r="J271" s="14" t="str">
        <f aca="false">IF(G271&gt;D271,"Omhoog",IF(G271&lt;D271,"Omlaag","Gelijk"))</f>
        <v>Omlaag</v>
      </c>
      <c r="K271" s="20" t="str">
        <f aca="false">IF(ABS(I271)&gt;=0.2,"controleren","")</f>
        <v/>
      </c>
      <c r="L271" s="21" t="n">
        <f aca="false">G271*Tiers!$B$19</f>
        <v>37.222955</v>
      </c>
      <c r="M271" s="15" t="n">
        <v>139.9</v>
      </c>
      <c r="N271" s="19" t="n">
        <f aca="false">IFERROR(1-D271/M271,0)</f>
        <v>0.5</v>
      </c>
      <c r="O271" s="19" t="n">
        <f aca="false">IF(Tiers!$B$18="ja",Tiers!$B$20,N271)</f>
        <v>0.5</v>
      </c>
      <c r="P271" s="15" t="n">
        <f aca="false">ROUNDUP(G271/(1-O271),0)-0.05</f>
        <v>119.95</v>
      </c>
      <c r="Q271" s="19" t="n">
        <f aca="false">IFERROR(1-G271/P271,0)</f>
        <v>0.500208420175073</v>
      </c>
      <c r="R271" s="14" t="n">
        <v>18</v>
      </c>
    </row>
    <row r="272" customFormat="false" ht="15" hidden="false" customHeight="false" outlineLevel="0" collapsed="false">
      <c r="A272" s="14" t="s">
        <v>593</v>
      </c>
      <c r="B272" s="14" t="s">
        <v>594</v>
      </c>
      <c r="C272" s="14" t="s">
        <v>20</v>
      </c>
      <c r="D272" s="15" t="n">
        <v>69.95</v>
      </c>
      <c r="E272" s="15" t="n">
        <f aca="false">IFERROR(INDEX(Tiers!$B$4:$B$15,MATCH(C272,Tiers!$A$4:$A$15,0)),D272)</f>
        <v>59.95</v>
      </c>
      <c r="F272" s="16"/>
      <c r="G272" s="17" t="n">
        <f aca="false">IF(F272="",E272,F272)</f>
        <v>59.95</v>
      </c>
      <c r="H272" s="18" t="n">
        <f aca="false">G272-D272</f>
        <v>-10</v>
      </c>
      <c r="I272" s="19" t="n">
        <f aca="false">IFERROR((G272-D272)/D272,0)</f>
        <v>-0.142959256611866</v>
      </c>
      <c r="J272" s="14" t="str">
        <f aca="false">IF(G272&gt;D272,"Omhoog",IF(G272&lt;D272,"Omlaag","Gelijk"))</f>
        <v>Omlaag</v>
      </c>
      <c r="K272" s="20" t="str">
        <f aca="false">IF(ABS(I272)&gt;=0.2,"controleren","")</f>
        <v/>
      </c>
      <c r="L272" s="21" t="n">
        <f aca="false">G272*Tiers!$B$19</f>
        <v>37.222955</v>
      </c>
      <c r="M272" s="15" t="n">
        <v>127.18</v>
      </c>
      <c r="N272" s="19" t="n">
        <f aca="false">IFERROR(1-D272/M272,0)</f>
        <v>0.449992137128479</v>
      </c>
      <c r="O272" s="19" t="n">
        <f aca="false">IF(Tiers!$B$18="ja",Tiers!$B$20,N272)</f>
        <v>0.449992137128479</v>
      </c>
      <c r="P272" s="15" t="n">
        <f aca="false">ROUNDUP(G272/(1-O272),0)-0.05</f>
        <v>108.95</v>
      </c>
      <c r="Q272" s="19" t="n">
        <f aca="false">IFERROR(1-G272/P272,0)</f>
        <v>0.449747590637907</v>
      </c>
      <c r="R272" s="14" t="n">
        <v>24</v>
      </c>
    </row>
    <row r="273" customFormat="false" ht="15" hidden="false" customHeight="false" outlineLevel="0" collapsed="false">
      <c r="A273" s="14" t="s">
        <v>595</v>
      </c>
      <c r="B273" s="14" t="s">
        <v>596</v>
      </c>
      <c r="C273" s="14" t="s">
        <v>20</v>
      </c>
      <c r="D273" s="15" t="n">
        <v>69.95</v>
      </c>
      <c r="E273" s="15" t="n">
        <f aca="false">IFERROR(INDEX(Tiers!$B$4:$B$15,MATCH(C273,Tiers!$A$4:$A$15,0)),D273)</f>
        <v>59.95</v>
      </c>
      <c r="F273" s="16"/>
      <c r="G273" s="17" t="n">
        <f aca="false">IF(F273="",E273,F273)</f>
        <v>59.95</v>
      </c>
      <c r="H273" s="18" t="n">
        <f aca="false">G273-D273</f>
        <v>-10</v>
      </c>
      <c r="I273" s="19" t="n">
        <f aca="false">IFERROR((G273-D273)/D273,0)</f>
        <v>-0.142959256611866</v>
      </c>
      <c r="J273" s="14" t="str">
        <f aca="false">IF(G273&gt;D273,"Omhoog",IF(G273&lt;D273,"Omlaag","Gelijk"))</f>
        <v>Omlaag</v>
      </c>
      <c r="K273" s="20" t="str">
        <f aca="false">IF(ABS(I273)&gt;=0.2,"controleren","")</f>
        <v/>
      </c>
      <c r="L273" s="21" t="n">
        <f aca="false">G273*Tiers!$B$19</f>
        <v>37.222955</v>
      </c>
      <c r="M273" s="15" t="n">
        <v>127.18</v>
      </c>
      <c r="N273" s="19" t="n">
        <f aca="false">IFERROR(1-D273/M273,0)</f>
        <v>0.449992137128479</v>
      </c>
      <c r="O273" s="19" t="n">
        <f aca="false">IF(Tiers!$B$18="ja",Tiers!$B$20,N273)</f>
        <v>0.449992137128479</v>
      </c>
      <c r="P273" s="15" t="n">
        <f aca="false">ROUNDUP(G273/(1-O273),0)-0.05</f>
        <v>108.95</v>
      </c>
      <c r="Q273" s="19" t="n">
        <f aca="false">IFERROR(1-G273/P273,0)</f>
        <v>0.449747590637907</v>
      </c>
      <c r="R273" s="14" t="n">
        <v>35</v>
      </c>
    </row>
    <row r="274" customFormat="false" ht="15" hidden="false" customHeight="false" outlineLevel="0" collapsed="false">
      <c r="A274" s="14" t="s">
        <v>597</v>
      </c>
      <c r="B274" s="14" t="s">
        <v>598</v>
      </c>
      <c r="C274" s="14" t="s">
        <v>20</v>
      </c>
      <c r="D274" s="15" t="n">
        <v>69.95</v>
      </c>
      <c r="E274" s="15" t="n">
        <f aca="false">IFERROR(INDEX(Tiers!$B$4:$B$15,MATCH(C274,Tiers!$A$4:$A$15,0)),D274)</f>
        <v>59.95</v>
      </c>
      <c r="F274" s="16"/>
      <c r="G274" s="17" t="n">
        <f aca="false">IF(F274="",E274,F274)</f>
        <v>59.95</v>
      </c>
      <c r="H274" s="18" t="n">
        <f aca="false">G274-D274</f>
        <v>-10</v>
      </c>
      <c r="I274" s="19" t="n">
        <f aca="false">IFERROR((G274-D274)/D274,0)</f>
        <v>-0.142959256611866</v>
      </c>
      <c r="J274" s="14" t="str">
        <f aca="false">IF(G274&gt;D274,"Omhoog",IF(G274&lt;D274,"Omlaag","Gelijk"))</f>
        <v>Omlaag</v>
      </c>
      <c r="K274" s="20" t="str">
        <f aca="false">IF(ABS(I274)&gt;=0.2,"controleren","")</f>
        <v/>
      </c>
      <c r="L274" s="21" t="n">
        <f aca="false">G274*Tiers!$B$19</f>
        <v>37.222955</v>
      </c>
      <c r="M274" s="15" t="n">
        <v>139.9</v>
      </c>
      <c r="N274" s="19" t="n">
        <f aca="false">IFERROR(1-D274/M274,0)</f>
        <v>0.5</v>
      </c>
      <c r="O274" s="19" t="n">
        <f aca="false">IF(Tiers!$B$18="ja",Tiers!$B$20,N274)</f>
        <v>0.5</v>
      </c>
      <c r="P274" s="15" t="n">
        <f aca="false">ROUNDUP(G274/(1-O274),0)-0.05</f>
        <v>119.95</v>
      </c>
      <c r="Q274" s="19" t="n">
        <f aca="false">IFERROR(1-G274/P274,0)</f>
        <v>0.500208420175073</v>
      </c>
      <c r="R274" s="14" t="n">
        <v>36</v>
      </c>
    </row>
    <row r="275" customFormat="false" ht="15" hidden="false" customHeight="false" outlineLevel="0" collapsed="false">
      <c r="A275" s="14" t="s">
        <v>599</v>
      </c>
      <c r="B275" s="14" t="s">
        <v>600</v>
      </c>
      <c r="C275" s="14" t="s">
        <v>20</v>
      </c>
      <c r="D275" s="15" t="n">
        <v>69.95</v>
      </c>
      <c r="E275" s="15" t="n">
        <f aca="false">IFERROR(INDEX(Tiers!$B$4:$B$15,MATCH(C275,Tiers!$A$4:$A$15,0)),D275)</f>
        <v>59.95</v>
      </c>
      <c r="F275" s="16"/>
      <c r="G275" s="17" t="n">
        <f aca="false">IF(F275="",E275,F275)</f>
        <v>59.95</v>
      </c>
      <c r="H275" s="18" t="n">
        <f aca="false">G275-D275</f>
        <v>-10</v>
      </c>
      <c r="I275" s="19" t="n">
        <f aca="false">IFERROR((G275-D275)/D275,0)</f>
        <v>-0.142959256611866</v>
      </c>
      <c r="J275" s="14" t="str">
        <f aca="false">IF(G275&gt;D275,"Omhoog",IF(G275&lt;D275,"Omlaag","Gelijk"))</f>
        <v>Omlaag</v>
      </c>
      <c r="K275" s="20" t="str">
        <f aca="false">IF(ABS(I275)&gt;=0.2,"controleren","")</f>
        <v/>
      </c>
      <c r="L275" s="21" t="n">
        <f aca="false">G275*Tiers!$B$19</f>
        <v>37.222955</v>
      </c>
      <c r="M275" s="15" t="n">
        <v>127.18</v>
      </c>
      <c r="N275" s="19" t="n">
        <f aca="false">IFERROR(1-D275/M275,0)</f>
        <v>0.449992137128479</v>
      </c>
      <c r="O275" s="19" t="n">
        <f aca="false">IF(Tiers!$B$18="ja",Tiers!$B$20,N275)</f>
        <v>0.449992137128479</v>
      </c>
      <c r="P275" s="15" t="n">
        <f aca="false">ROUNDUP(G275/(1-O275),0)-0.05</f>
        <v>108.95</v>
      </c>
      <c r="Q275" s="19" t="n">
        <f aca="false">IFERROR(1-G275/P275,0)</f>
        <v>0.449747590637907</v>
      </c>
      <c r="R275" s="14" t="n">
        <v>5</v>
      </c>
    </row>
    <row r="276" customFormat="false" ht="15" hidden="false" customHeight="false" outlineLevel="0" collapsed="false">
      <c r="A276" s="14" t="s">
        <v>601</v>
      </c>
      <c r="B276" s="14" t="s">
        <v>602</v>
      </c>
      <c r="C276" s="14" t="s">
        <v>20</v>
      </c>
      <c r="D276" s="15" t="n">
        <v>69.95</v>
      </c>
      <c r="E276" s="15" t="n">
        <f aca="false">IFERROR(INDEX(Tiers!$B$4:$B$15,MATCH(C276,Tiers!$A$4:$A$15,0)),D276)</f>
        <v>59.95</v>
      </c>
      <c r="F276" s="16"/>
      <c r="G276" s="17" t="n">
        <f aca="false">IF(F276="",E276,F276)</f>
        <v>59.95</v>
      </c>
      <c r="H276" s="18" t="n">
        <f aca="false">G276-D276</f>
        <v>-10</v>
      </c>
      <c r="I276" s="19" t="n">
        <f aca="false">IFERROR((G276-D276)/D276,0)</f>
        <v>-0.142959256611866</v>
      </c>
      <c r="J276" s="14" t="str">
        <f aca="false">IF(G276&gt;D276,"Omhoog",IF(G276&lt;D276,"Omlaag","Gelijk"))</f>
        <v>Omlaag</v>
      </c>
      <c r="K276" s="20" t="str">
        <f aca="false">IF(ABS(I276)&gt;=0.2,"controleren","")</f>
        <v/>
      </c>
      <c r="L276" s="21" t="n">
        <f aca="false">G276*Tiers!$B$19</f>
        <v>37.222955</v>
      </c>
      <c r="M276" s="15" t="n">
        <v>116.58</v>
      </c>
      <c r="N276" s="19" t="n">
        <f aca="false">IFERROR(1-D276/M276,0)</f>
        <v>0.399982844398696</v>
      </c>
      <c r="O276" s="19" t="n">
        <f aca="false">IF(Tiers!$B$18="ja",Tiers!$B$20,N276)</f>
        <v>0.399982844398696</v>
      </c>
      <c r="P276" s="15" t="n">
        <f aca="false">ROUNDUP(G276/(1-O276),0)-0.05</f>
        <v>99.95</v>
      </c>
      <c r="Q276" s="19" t="n">
        <f aca="false">IFERROR(1-G276/P276,0)</f>
        <v>0.400200100050025</v>
      </c>
      <c r="R276" s="14" t="n">
        <v>5</v>
      </c>
    </row>
    <row r="277" customFormat="false" ht="15" hidden="false" customHeight="false" outlineLevel="0" collapsed="false">
      <c r="A277" s="14" t="s">
        <v>603</v>
      </c>
      <c r="B277" s="14" t="s">
        <v>604</v>
      </c>
      <c r="C277" s="14" t="s">
        <v>20</v>
      </c>
      <c r="D277" s="15" t="n">
        <v>69.95</v>
      </c>
      <c r="E277" s="15" t="n">
        <f aca="false">IFERROR(INDEX(Tiers!$B$4:$B$15,MATCH(C277,Tiers!$A$4:$A$15,0)),D277)</f>
        <v>59.95</v>
      </c>
      <c r="F277" s="16"/>
      <c r="G277" s="17" t="n">
        <f aca="false">IF(F277="",E277,F277)</f>
        <v>59.95</v>
      </c>
      <c r="H277" s="18" t="n">
        <f aca="false">G277-D277</f>
        <v>-10</v>
      </c>
      <c r="I277" s="19" t="n">
        <f aca="false">IFERROR((G277-D277)/D277,0)</f>
        <v>-0.142959256611866</v>
      </c>
      <c r="J277" s="14" t="str">
        <f aca="false">IF(G277&gt;D277,"Omhoog",IF(G277&lt;D277,"Omlaag","Gelijk"))</f>
        <v>Omlaag</v>
      </c>
      <c r="K277" s="20" t="str">
        <f aca="false">IF(ABS(I277)&gt;=0.2,"controleren","")</f>
        <v/>
      </c>
      <c r="L277" s="21" t="n">
        <f aca="false">G277*Tiers!$B$19</f>
        <v>37.222955</v>
      </c>
      <c r="M277" s="15" t="n">
        <v>116.58</v>
      </c>
      <c r="N277" s="19" t="n">
        <f aca="false">IFERROR(1-D277/M277,0)</f>
        <v>0.399982844398696</v>
      </c>
      <c r="O277" s="19" t="n">
        <f aca="false">IF(Tiers!$B$18="ja",Tiers!$B$20,N277)</f>
        <v>0.399982844398696</v>
      </c>
      <c r="P277" s="15" t="n">
        <f aca="false">ROUNDUP(G277/(1-O277),0)-0.05</f>
        <v>99.95</v>
      </c>
      <c r="Q277" s="19" t="n">
        <f aca="false">IFERROR(1-G277/P277,0)</f>
        <v>0.400200100050025</v>
      </c>
      <c r="R277" s="14" t="n">
        <v>24</v>
      </c>
    </row>
    <row r="278" customFormat="false" ht="15" hidden="false" customHeight="false" outlineLevel="0" collapsed="false">
      <c r="A278" s="14" t="s">
        <v>605</v>
      </c>
      <c r="B278" s="14" t="s">
        <v>606</v>
      </c>
      <c r="C278" s="14" t="s">
        <v>20</v>
      </c>
      <c r="D278" s="15" t="n">
        <v>69.95</v>
      </c>
      <c r="E278" s="15" t="n">
        <f aca="false">IFERROR(INDEX(Tiers!$B$4:$B$15,MATCH(C278,Tiers!$A$4:$A$15,0)),D278)</f>
        <v>59.95</v>
      </c>
      <c r="F278" s="16"/>
      <c r="G278" s="17" t="n">
        <f aca="false">IF(F278="",E278,F278)</f>
        <v>59.95</v>
      </c>
      <c r="H278" s="18" t="n">
        <f aca="false">G278-D278</f>
        <v>-10</v>
      </c>
      <c r="I278" s="19" t="n">
        <f aca="false">IFERROR((G278-D278)/D278,0)</f>
        <v>-0.142959256611866</v>
      </c>
      <c r="J278" s="14" t="str">
        <f aca="false">IF(G278&gt;D278,"Omhoog",IF(G278&lt;D278,"Omlaag","Gelijk"))</f>
        <v>Omlaag</v>
      </c>
      <c r="K278" s="20" t="str">
        <f aca="false">IF(ABS(I278)&gt;=0.2,"controleren","")</f>
        <v/>
      </c>
      <c r="L278" s="21" t="n">
        <f aca="false">G278*Tiers!$B$19</f>
        <v>37.222955</v>
      </c>
      <c r="M278" s="15" t="n">
        <v>139.9</v>
      </c>
      <c r="N278" s="19" t="n">
        <f aca="false">IFERROR(1-D278/M278,0)</f>
        <v>0.5</v>
      </c>
      <c r="O278" s="19" t="n">
        <f aca="false">IF(Tiers!$B$18="ja",Tiers!$B$20,N278)</f>
        <v>0.5</v>
      </c>
      <c r="P278" s="15" t="n">
        <f aca="false">ROUNDUP(G278/(1-O278),0)-0.05</f>
        <v>119.95</v>
      </c>
      <c r="Q278" s="19" t="n">
        <f aca="false">IFERROR(1-G278/P278,0)</f>
        <v>0.500208420175073</v>
      </c>
      <c r="R278" s="14" t="n">
        <v>14</v>
      </c>
    </row>
    <row r="279" customFormat="false" ht="15" hidden="false" customHeight="false" outlineLevel="0" collapsed="false">
      <c r="A279" s="14" t="s">
        <v>607</v>
      </c>
      <c r="B279" s="14" t="s">
        <v>608</v>
      </c>
      <c r="C279" s="14" t="s">
        <v>20</v>
      </c>
      <c r="D279" s="15" t="n">
        <v>69.95</v>
      </c>
      <c r="E279" s="15" t="n">
        <f aca="false">IFERROR(INDEX(Tiers!$B$4:$B$15,MATCH(C279,Tiers!$A$4:$A$15,0)),D279)</f>
        <v>59.95</v>
      </c>
      <c r="F279" s="16"/>
      <c r="G279" s="17" t="n">
        <f aca="false">IF(F279="",E279,F279)</f>
        <v>59.95</v>
      </c>
      <c r="H279" s="18" t="n">
        <f aca="false">G279-D279</f>
        <v>-10</v>
      </c>
      <c r="I279" s="19" t="n">
        <f aca="false">IFERROR((G279-D279)/D279,0)</f>
        <v>-0.142959256611866</v>
      </c>
      <c r="J279" s="14" t="str">
        <f aca="false">IF(G279&gt;D279,"Omhoog",IF(G279&lt;D279,"Omlaag","Gelijk"))</f>
        <v>Omlaag</v>
      </c>
      <c r="K279" s="20" t="str">
        <f aca="false">IF(ABS(I279)&gt;=0.2,"controleren","")</f>
        <v/>
      </c>
      <c r="L279" s="21" t="n">
        <f aca="false">G279*Tiers!$B$19</f>
        <v>37.222955</v>
      </c>
      <c r="M279" s="15" t="n">
        <v>127.18</v>
      </c>
      <c r="N279" s="19" t="n">
        <f aca="false">IFERROR(1-D279/M279,0)</f>
        <v>0.449992137128479</v>
      </c>
      <c r="O279" s="19" t="n">
        <f aca="false">IF(Tiers!$B$18="ja",Tiers!$B$20,N279)</f>
        <v>0.449992137128479</v>
      </c>
      <c r="P279" s="15" t="n">
        <f aca="false">ROUNDUP(G279/(1-O279),0)-0.05</f>
        <v>108.95</v>
      </c>
      <c r="Q279" s="19" t="n">
        <f aca="false">IFERROR(1-G279/P279,0)</f>
        <v>0.449747590637907</v>
      </c>
      <c r="R279" s="14" t="n">
        <v>24</v>
      </c>
    </row>
    <row r="280" customFormat="false" ht="15" hidden="false" customHeight="false" outlineLevel="0" collapsed="false">
      <c r="A280" s="14" t="s">
        <v>609</v>
      </c>
      <c r="B280" s="14" t="s">
        <v>610</v>
      </c>
      <c r="C280" s="14" t="s">
        <v>22</v>
      </c>
      <c r="D280" s="15" t="n">
        <v>64.95</v>
      </c>
      <c r="E280" s="15" t="n">
        <f aca="false">IFERROR(INDEX(Tiers!$B$4:$B$15,MATCH(C280,Tiers!$A$4:$A$15,0)),D280)</f>
        <v>59.95</v>
      </c>
      <c r="F280" s="16"/>
      <c r="G280" s="17" t="n">
        <f aca="false">IF(F280="",E280,F280)</f>
        <v>59.95</v>
      </c>
      <c r="H280" s="18" t="n">
        <f aca="false">G280-D280</f>
        <v>-5</v>
      </c>
      <c r="I280" s="19" t="n">
        <f aca="false">IFERROR((G280-D280)/D280,0)</f>
        <v>-0.0769822940723634</v>
      </c>
      <c r="J280" s="14" t="str">
        <f aca="false">IF(G280&gt;D280,"Omhoog",IF(G280&lt;D280,"Omlaag","Gelijk"))</f>
        <v>Omlaag</v>
      </c>
      <c r="K280" s="20" t="str">
        <f aca="false">IF(ABS(I280)&gt;=0.2,"controleren","")</f>
        <v/>
      </c>
      <c r="L280" s="21" t="n">
        <f aca="false">G280*Tiers!$B$19</f>
        <v>37.222955</v>
      </c>
      <c r="M280" s="15" t="n">
        <v>129.9</v>
      </c>
      <c r="N280" s="19" t="n">
        <f aca="false">IFERROR(1-D280/M280,0)</f>
        <v>0.5</v>
      </c>
      <c r="O280" s="19" t="n">
        <f aca="false">IF(Tiers!$B$18="ja",Tiers!$B$20,N280)</f>
        <v>0.5</v>
      </c>
      <c r="P280" s="15" t="n">
        <f aca="false">ROUNDUP(G280/(1-O280),0)-0.05</f>
        <v>119.95</v>
      </c>
      <c r="Q280" s="19" t="n">
        <f aca="false">IFERROR(1-G280/P280,0)</f>
        <v>0.500208420175073</v>
      </c>
      <c r="R280" s="14" t="n">
        <v>45</v>
      </c>
    </row>
    <row r="281" customFormat="false" ht="15" hidden="false" customHeight="false" outlineLevel="0" collapsed="false">
      <c r="A281" s="14" t="s">
        <v>611</v>
      </c>
      <c r="B281" s="14" t="s">
        <v>612</v>
      </c>
      <c r="C281" s="14" t="s">
        <v>22</v>
      </c>
      <c r="D281" s="15" t="n">
        <v>64.95</v>
      </c>
      <c r="E281" s="15" t="n">
        <f aca="false">IFERROR(INDEX(Tiers!$B$4:$B$15,MATCH(C281,Tiers!$A$4:$A$15,0)),D281)</f>
        <v>59.95</v>
      </c>
      <c r="F281" s="16"/>
      <c r="G281" s="17" t="n">
        <f aca="false">IF(F281="",E281,F281)</f>
        <v>59.95</v>
      </c>
      <c r="H281" s="18" t="n">
        <f aca="false">G281-D281</f>
        <v>-5</v>
      </c>
      <c r="I281" s="19" t="n">
        <f aca="false">IFERROR((G281-D281)/D281,0)</f>
        <v>-0.0769822940723634</v>
      </c>
      <c r="J281" s="14" t="str">
        <f aca="false">IF(G281&gt;D281,"Omhoog",IF(G281&lt;D281,"Omlaag","Gelijk"))</f>
        <v>Omlaag</v>
      </c>
      <c r="K281" s="20" t="str">
        <f aca="false">IF(ABS(I281)&gt;=0.2,"controleren","")</f>
        <v/>
      </c>
      <c r="L281" s="21" t="n">
        <f aca="false">G281*Tiers!$B$19</f>
        <v>37.222955</v>
      </c>
      <c r="M281" s="15" t="n">
        <v>118.09</v>
      </c>
      <c r="N281" s="19" t="n">
        <f aca="false">IFERROR(1-D281/M281,0)</f>
        <v>0.449995765941231</v>
      </c>
      <c r="O281" s="19" t="n">
        <f aca="false">IF(Tiers!$B$18="ja",Tiers!$B$20,N281)</f>
        <v>0.449995765941231</v>
      </c>
      <c r="P281" s="15" t="n">
        <f aca="false">ROUNDUP(G281/(1-O281),0)-0.05</f>
        <v>108.95</v>
      </c>
      <c r="Q281" s="19" t="n">
        <f aca="false">IFERROR(1-G281/P281,0)</f>
        <v>0.449747590637907</v>
      </c>
      <c r="R281" s="14" t="n">
        <v>51</v>
      </c>
    </row>
    <row r="282" customFormat="false" ht="15" hidden="false" customHeight="false" outlineLevel="0" collapsed="false">
      <c r="A282" s="14" t="s">
        <v>613</v>
      </c>
      <c r="B282" s="14" t="s">
        <v>614</v>
      </c>
      <c r="C282" s="14" t="s">
        <v>22</v>
      </c>
      <c r="D282" s="15" t="n">
        <v>64.95</v>
      </c>
      <c r="E282" s="15" t="n">
        <f aca="false">IFERROR(INDEX(Tiers!$B$4:$B$15,MATCH(C282,Tiers!$A$4:$A$15,0)),D282)</f>
        <v>59.95</v>
      </c>
      <c r="F282" s="16"/>
      <c r="G282" s="17" t="n">
        <f aca="false">IF(F282="",E282,F282)</f>
        <v>59.95</v>
      </c>
      <c r="H282" s="18" t="n">
        <f aca="false">G282-D282</f>
        <v>-5</v>
      </c>
      <c r="I282" s="19" t="n">
        <f aca="false">IFERROR((G282-D282)/D282,0)</f>
        <v>-0.0769822940723634</v>
      </c>
      <c r="J282" s="14" t="str">
        <f aca="false">IF(G282&gt;D282,"Omhoog",IF(G282&lt;D282,"Omlaag","Gelijk"))</f>
        <v>Omlaag</v>
      </c>
      <c r="K282" s="20" t="str">
        <f aca="false">IF(ABS(I282)&gt;=0.2,"controleren","")</f>
        <v/>
      </c>
      <c r="L282" s="21" t="n">
        <f aca="false">G282*Tiers!$B$19</f>
        <v>37.222955</v>
      </c>
      <c r="M282" s="15" t="n">
        <v>118.09</v>
      </c>
      <c r="N282" s="19" t="n">
        <f aca="false">IFERROR(1-D282/M282,0)</f>
        <v>0.449995765941231</v>
      </c>
      <c r="O282" s="19" t="n">
        <f aca="false">IF(Tiers!$B$18="ja",Tiers!$B$20,N282)</f>
        <v>0.449995765941231</v>
      </c>
      <c r="P282" s="15" t="n">
        <f aca="false">ROUNDUP(G282/(1-O282),0)-0.05</f>
        <v>108.95</v>
      </c>
      <c r="Q282" s="19" t="n">
        <f aca="false">IFERROR(1-G282/P282,0)</f>
        <v>0.449747590637907</v>
      </c>
      <c r="R282" s="14" t="n">
        <v>28</v>
      </c>
    </row>
    <row r="283" customFormat="false" ht="15" hidden="false" customHeight="false" outlineLevel="0" collapsed="false">
      <c r="A283" s="14" t="s">
        <v>615</v>
      </c>
      <c r="B283" s="14" t="s">
        <v>616</v>
      </c>
      <c r="C283" s="14" t="s">
        <v>22</v>
      </c>
      <c r="D283" s="15" t="n">
        <v>64.95</v>
      </c>
      <c r="E283" s="15" t="n">
        <f aca="false">IFERROR(INDEX(Tiers!$B$4:$B$15,MATCH(C283,Tiers!$A$4:$A$15,0)),D283)</f>
        <v>59.95</v>
      </c>
      <c r="F283" s="16"/>
      <c r="G283" s="17" t="n">
        <f aca="false">IF(F283="",E283,F283)</f>
        <v>59.95</v>
      </c>
      <c r="H283" s="18" t="n">
        <f aca="false">G283-D283</f>
        <v>-5</v>
      </c>
      <c r="I283" s="19" t="n">
        <f aca="false">IFERROR((G283-D283)/D283,0)</f>
        <v>-0.0769822940723634</v>
      </c>
      <c r="J283" s="14" t="str">
        <f aca="false">IF(G283&gt;D283,"Omhoog",IF(G283&lt;D283,"Omlaag","Gelijk"))</f>
        <v>Omlaag</v>
      </c>
      <c r="K283" s="20" t="str">
        <f aca="false">IF(ABS(I283)&gt;=0.2,"controleren","")</f>
        <v/>
      </c>
      <c r="L283" s="21" t="n">
        <f aca="false">G283*Tiers!$B$19</f>
        <v>37.222955</v>
      </c>
      <c r="M283" s="15" t="n">
        <v>108.25</v>
      </c>
      <c r="N283" s="19" t="n">
        <f aca="false">IFERROR(1-D283/M283,0)</f>
        <v>0.4</v>
      </c>
      <c r="O283" s="19" t="n">
        <f aca="false">IF(Tiers!$B$18="ja",Tiers!$B$20,N283)</f>
        <v>0.4</v>
      </c>
      <c r="P283" s="15" t="n">
        <f aca="false">ROUNDUP(G283/(1-O283),0)-0.05</f>
        <v>99.95</v>
      </c>
      <c r="Q283" s="19" t="n">
        <f aca="false">IFERROR(1-G283/P283,0)</f>
        <v>0.400200100050025</v>
      </c>
      <c r="R283" s="14" t="n">
        <v>45</v>
      </c>
    </row>
    <row r="284" customFormat="false" ht="15" hidden="false" customHeight="false" outlineLevel="0" collapsed="false">
      <c r="A284" s="14" t="s">
        <v>617</v>
      </c>
      <c r="B284" s="14" t="s">
        <v>618</v>
      </c>
      <c r="C284" s="14" t="s">
        <v>22</v>
      </c>
      <c r="D284" s="15" t="n">
        <v>64.95</v>
      </c>
      <c r="E284" s="15" t="n">
        <f aca="false">IFERROR(INDEX(Tiers!$B$4:$B$15,MATCH(C284,Tiers!$A$4:$A$15,0)),D284)</f>
        <v>59.95</v>
      </c>
      <c r="F284" s="16"/>
      <c r="G284" s="17" t="n">
        <f aca="false">IF(F284="",E284,F284)</f>
        <v>59.95</v>
      </c>
      <c r="H284" s="18" t="n">
        <f aca="false">G284-D284</f>
        <v>-5</v>
      </c>
      <c r="I284" s="19" t="n">
        <f aca="false">IFERROR((G284-D284)/D284,0)</f>
        <v>-0.0769822940723634</v>
      </c>
      <c r="J284" s="14" t="str">
        <f aca="false">IF(G284&gt;D284,"Omhoog",IF(G284&lt;D284,"Omlaag","Gelijk"))</f>
        <v>Omlaag</v>
      </c>
      <c r="K284" s="20" t="str">
        <f aca="false">IF(ABS(I284)&gt;=0.2,"controleren","")</f>
        <v/>
      </c>
      <c r="L284" s="21" t="n">
        <f aca="false">G284*Tiers!$B$19</f>
        <v>37.222955</v>
      </c>
      <c r="M284" s="15" t="n">
        <v>108.25</v>
      </c>
      <c r="N284" s="19" t="n">
        <f aca="false">IFERROR(1-D284/M284,0)</f>
        <v>0.4</v>
      </c>
      <c r="O284" s="19" t="n">
        <f aca="false">IF(Tiers!$B$18="ja",Tiers!$B$20,N284)</f>
        <v>0.4</v>
      </c>
      <c r="P284" s="15" t="n">
        <f aca="false">ROUNDUP(G284/(1-O284),0)-0.05</f>
        <v>99.95</v>
      </c>
      <c r="Q284" s="19" t="n">
        <f aca="false">IFERROR(1-G284/P284,0)</f>
        <v>0.400200100050025</v>
      </c>
      <c r="R284" s="14" t="n">
        <v>60</v>
      </c>
    </row>
    <row r="285" customFormat="false" ht="15" hidden="false" customHeight="false" outlineLevel="0" collapsed="false">
      <c r="A285" s="14" t="s">
        <v>619</v>
      </c>
      <c r="B285" s="14" t="s">
        <v>620</v>
      </c>
      <c r="C285" s="14" t="s">
        <v>22</v>
      </c>
      <c r="D285" s="15" t="n">
        <v>64.95</v>
      </c>
      <c r="E285" s="15" t="n">
        <f aca="false">IFERROR(INDEX(Tiers!$B$4:$B$15,MATCH(C285,Tiers!$A$4:$A$15,0)),D285)</f>
        <v>59.95</v>
      </c>
      <c r="F285" s="16"/>
      <c r="G285" s="17" t="n">
        <f aca="false">IF(F285="",E285,F285)</f>
        <v>59.95</v>
      </c>
      <c r="H285" s="18" t="n">
        <f aca="false">G285-D285</f>
        <v>-5</v>
      </c>
      <c r="I285" s="19" t="n">
        <f aca="false">IFERROR((G285-D285)/D285,0)</f>
        <v>-0.0769822940723634</v>
      </c>
      <c r="J285" s="14" t="str">
        <f aca="false">IF(G285&gt;D285,"Omhoog",IF(G285&lt;D285,"Omlaag","Gelijk"))</f>
        <v>Omlaag</v>
      </c>
      <c r="K285" s="20" t="str">
        <f aca="false">IF(ABS(I285)&gt;=0.2,"controleren","")</f>
        <v/>
      </c>
      <c r="L285" s="21" t="n">
        <f aca="false">G285*Tiers!$B$19</f>
        <v>37.222955</v>
      </c>
      <c r="M285" s="15" t="n">
        <v>108.25</v>
      </c>
      <c r="N285" s="19" t="n">
        <f aca="false">IFERROR(1-D285/M285,0)</f>
        <v>0.4</v>
      </c>
      <c r="O285" s="19" t="n">
        <f aca="false">IF(Tiers!$B$18="ja",Tiers!$B$20,N285)</f>
        <v>0.4</v>
      </c>
      <c r="P285" s="15" t="n">
        <f aca="false">ROUNDUP(G285/(1-O285),0)-0.05</f>
        <v>99.95</v>
      </c>
      <c r="Q285" s="19" t="n">
        <f aca="false">IFERROR(1-G285/P285,0)</f>
        <v>0.400200100050025</v>
      </c>
      <c r="R285" s="14" t="n">
        <v>17</v>
      </c>
    </row>
    <row r="286" customFormat="false" ht="15" hidden="false" customHeight="false" outlineLevel="0" collapsed="false">
      <c r="A286" s="14" t="s">
        <v>621</v>
      </c>
      <c r="B286" s="14" t="s">
        <v>622</v>
      </c>
      <c r="C286" s="14" t="s">
        <v>22</v>
      </c>
      <c r="D286" s="15" t="n">
        <v>64.95</v>
      </c>
      <c r="E286" s="15" t="n">
        <f aca="false">IFERROR(INDEX(Tiers!$B$4:$B$15,MATCH(C286,Tiers!$A$4:$A$15,0)),D286)</f>
        <v>59.95</v>
      </c>
      <c r="F286" s="16"/>
      <c r="G286" s="17" t="n">
        <f aca="false">IF(F286="",E286,F286)</f>
        <v>59.95</v>
      </c>
      <c r="H286" s="18" t="n">
        <f aca="false">G286-D286</f>
        <v>-5</v>
      </c>
      <c r="I286" s="19" t="n">
        <f aca="false">IFERROR((G286-D286)/D286,0)</f>
        <v>-0.0769822940723634</v>
      </c>
      <c r="J286" s="14" t="str">
        <f aca="false">IF(G286&gt;D286,"Omhoog",IF(G286&lt;D286,"Omlaag","Gelijk"))</f>
        <v>Omlaag</v>
      </c>
      <c r="K286" s="20" t="str">
        <f aca="false">IF(ABS(I286)&gt;=0.2,"controleren","")</f>
        <v/>
      </c>
      <c r="L286" s="21" t="n">
        <f aca="false">G286*Tiers!$B$19</f>
        <v>37.222955</v>
      </c>
      <c r="M286" s="15" t="n">
        <v>129.9</v>
      </c>
      <c r="N286" s="19" t="n">
        <f aca="false">IFERROR(1-D286/M286,0)</f>
        <v>0.5</v>
      </c>
      <c r="O286" s="19" t="n">
        <f aca="false">IF(Tiers!$B$18="ja",Tiers!$B$20,N286)</f>
        <v>0.5</v>
      </c>
      <c r="P286" s="15" t="n">
        <f aca="false">ROUNDUP(G286/(1-O286),0)-0.05</f>
        <v>119.95</v>
      </c>
      <c r="Q286" s="19" t="n">
        <f aca="false">IFERROR(1-G286/P286,0)</f>
        <v>0.500208420175073</v>
      </c>
      <c r="R286" s="14" t="n">
        <v>42</v>
      </c>
    </row>
    <row r="287" customFormat="false" ht="15" hidden="false" customHeight="false" outlineLevel="0" collapsed="false">
      <c r="A287" s="14" t="s">
        <v>623</v>
      </c>
      <c r="B287" s="14" t="s">
        <v>624</v>
      </c>
      <c r="C287" s="14" t="s">
        <v>22</v>
      </c>
      <c r="D287" s="15" t="n">
        <v>64.95</v>
      </c>
      <c r="E287" s="15" t="n">
        <f aca="false">IFERROR(INDEX(Tiers!$B$4:$B$15,MATCH(C287,Tiers!$A$4:$A$15,0)),D287)</f>
        <v>59.95</v>
      </c>
      <c r="F287" s="16"/>
      <c r="G287" s="17" t="n">
        <f aca="false">IF(F287="",E287,F287)</f>
        <v>59.95</v>
      </c>
      <c r="H287" s="18" t="n">
        <f aca="false">G287-D287</f>
        <v>-5</v>
      </c>
      <c r="I287" s="19" t="n">
        <f aca="false">IFERROR((G287-D287)/D287,0)</f>
        <v>-0.0769822940723634</v>
      </c>
      <c r="J287" s="14" t="str">
        <f aca="false">IF(G287&gt;D287,"Omhoog",IF(G287&lt;D287,"Omlaag","Gelijk"))</f>
        <v>Omlaag</v>
      </c>
      <c r="K287" s="20" t="str">
        <f aca="false">IF(ABS(I287)&gt;=0.2,"controleren","")</f>
        <v/>
      </c>
      <c r="L287" s="21" t="n">
        <f aca="false">G287*Tiers!$B$19</f>
        <v>37.222955</v>
      </c>
      <c r="M287" s="15" t="n">
        <v>129.9</v>
      </c>
      <c r="N287" s="19" t="n">
        <f aca="false">IFERROR(1-D287/M287,0)</f>
        <v>0.5</v>
      </c>
      <c r="O287" s="19" t="n">
        <f aca="false">IF(Tiers!$B$18="ja",Tiers!$B$20,N287)</f>
        <v>0.5</v>
      </c>
      <c r="P287" s="15" t="n">
        <f aca="false">ROUNDUP(G287/(1-O287),0)-0.05</f>
        <v>119.95</v>
      </c>
      <c r="Q287" s="19" t="n">
        <f aca="false">IFERROR(1-G287/P287,0)</f>
        <v>0.500208420175073</v>
      </c>
      <c r="R287" s="14" t="n">
        <v>8</v>
      </c>
    </row>
    <row r="288" customFormat="false" ht="15" hidden="false" customHeight="false" outlineLevel="0" collapsed="false">
      <c r="A288" s="14" t="s">
        <v>625</v>
      </c>
      <c r="B288" s="14" t="s">
        <v>626</v>
      </c>
      <c r="C288" s="14" t="s">
        <v>22</v>
      </c>
      <c r="D288" s="15" t="n">
        <v>64.95</v>
      </c>
      <c r="E288" s="15" t="n">
        <f aca="false">IFERROR(INDEX(Tiers!$B$4:$B$15,MATCH(C288,Tiers!$A$4:$A$15,0)),D288)</f>
        <v>59.95</v>
      </c>
      <c r="F288" s="16"/>
      <c r="G288" s="17" t="n">
        <f aca="false">IF(F288="",E288,F288)</f>
        <v>59.95</v>
      </c>
      <c r="H288" s="18" t="n">
        <f aca="false">G288-D288</f>
        <v>-5</v>
      </c>
      <c r="I288" s="19" t="n">
        <f aca="false">IFERROR((G288-D288)/D288,0)</f>
        <v>-0.0769822940723634</v>
      </c>
      <c r="J288" s="14" t="str">
        <f aca="false">IF(G288&gt;D288,"Omhoog",IF(G288&lt;D288,"Omlaag","Gelijk"))</f>
        <v>Omlaag</v>
      </c>
      <c r="K288" s="20" t="str">
        <f aca="false">IF(ABS(I288)&gt;=0.2,"controleren","")</f>
        <v/>
      </c>
      <c r="L288" s="21" t="n">
        <f aca="false">G288*Tiers!$B$19</f>
        <v>37.222955</v>
      </c>
      <c r="M288" s="15" t="n">
        <v>129.9</v>
      </c>
      <c r="N288" s="19" t="n">
        <f aca="false">IFERROR(1-D288/M288,0)</f>
        <v>0.5</v>
      </c>
      <c r="O288" s="19" t="n">
        <f aca="false">IF(Tiers!$B$18="ja",Tiers!$B$20,N288)</f>
        <v>0.5</v>
      </c>
      <c r="P288" s="15" t="n">
        <f aca="false">ROUNDUP(G288/(1-O288),0)-0.05</f>
        <v>119.95</v>
      </c>
      <c r="Q288" s="19" t="n">
        <f aca="false">IFERROR(1-G288/P288,0)</f>
        <v>0.500208420175073</v>
      </c>
      <c r="R288" s="14" t="n">
        <v>38</v>
      </c>
    </row>
    <row r="289" customFormat="false" ht="15" hidden="false" customHeight="false" outlineLevel="0" collapsed="false">
      <c r="A289" s="14" t="s">
        <v>627</v>
      </c>
      <c r="B289" s="14" t="s">
        <v>628</v>
      </c>
      <c r="C289" s="14" t="s">
        <v>22</v>
      </c>
      <c r="D289" s="15" t="n">
        <v>64.95</v>
      </c>
      <c r="E289" s="15" t="n">
        <f aca="false">IFERROR(INDEX(Tiers!$B$4:$B$15,MATCH(C289,Tiers!$A$4:$A$15,0)),D289)</f>
        <v>59.95</v>
      </c>
      <c r="F289" s="16"/>
      <c r="G289" s="17" t="n">
        <f aca="false">IF(F289="",E289,F289)</f>
        <v>59.95</v>
      </c>
      <c r="H289" s="18" t="n">
        <f aca="false">G289-D289</f>
        <v>-5</v>
      </c>
      <c r="I289" s="19" t="n">
        <f aca="false">IFERROR((G289-D289)/D289,0)</f>
        <v>-0.0769822940723634</v>
      </c>
      <c r="J289" s="14" t="str">
        <f aca="false">IF(G289&gt;D289,"Omhoog",IF(G289&lt;D289,"Omlaag","Gelijk"))</f>
        <v>Omlaag</v>
      </c>
      <c r="K289" s="20" t="str">
        <f aca="false">IF(ABS(I289)&gt;=0.2,"controleren","")</f>
        <v/>
      </c>
      <c r="L289" s="21" t="n">
        <f aca="false">G289*Tiers!$B$19</f>
        <v>37.222955</v>
      </c>
      <c r="M289" s="15" t="n">
        <v>108.25</v>
      </c>
      <c r="N289" s="19" t="n">
        <f aca="false">IFERROR(1-D289/M289,0)</f>
        <v>0.4</v>
      </c>
      <c r="O289" s="19" t="n">
        <f aca="false">IF(Tiers!$B$18="ja",Tiers!$B$20,N289)</f>
        <v>0.4</v>
      </c>
      <c r="P289" s="15" t="n">
        <f aca="false">ROUNDUP(G289/(1-O289),0)-0.05</f>
        <v>99.95</v>
      </c>
      <c r="Q289" s="19" t="n">
        <f aca="false">IFERROR(1-G289/P289,0)</f>
        <v>0.400200100050025</v>
      </c>
      <c r="R289" s="14" t="n">
        <v>24</v>
      </c>
    </row>
    <row r="290" customFormat="false" ht="15" hidden="false" customHeight="false" outlineLevel="0" collapsed="false">
      <c r="A290" s="14" t="s">
        <v>629</v>
      </c>
      <c r="B290" s="14" t="s">
        <v>630</v>
      </c>
      <c r="C290" s="14" t="s">
        <v>22</v>
      </c>
      <c r="D290" s="15" t="n">
        <v>64.95</v>
      </c>
      <c r="E290" s="15" t="n">
        <f aca="false">IFERROR(INDEX(Tiers!$B$4:$B$15,MATCH(C290,Tiers!$A$4:$A$15,0)),D290)</f>
        <v>59.95</v>
      </c>
      <c r="F290" s="16"/>
      <c r="G290" s="17" t="n">
        <f aca="false">IF(F290="",E290,F290)</f>
        <v>59.95</v>
      </c>
      <c r="H290" s="18" t="n">
        <f aca="false">G290-D290</f>
        <v>-5</v>
      </c>
      <c r="I290" s="19" t="n">
        <f aca="false">IFERROR((G290-D290)/D290,0)</f>
        <v>-0.0769822940723634</v>
      </c>
      <c r="J290" s="14" t="str">
        <f aca="false">IF(G290&gt;D290,"Omhoog",IF(G290&lt;D290,"Omlaag","Gelijk"))</f>
        <v>Omlaag</v>
      </c>
      <c r="K290" s="20" t="str">
        <f aca="false">IF(ABS(I290)&gt;=0.2,"controleren","")</f>
        <v/>
      </c>
      <c r="L290" s="21" t="n">
        <f aca="false">G290*Tiers!$B$19</f>
        <v>37.222955</v>
      </c>
      <c r="M290" s="15" t="n">
        <v>118.09</v>
      </c>
      <c r="N290" s="19" t="n">
        <f aca="false">IFERROR(1-D290/M290,0)</f>
        <v>0.449995765941231</v>
      </c>
      <c r="O290" s="19" t="n">
        <f aca="false">IF(Tiers!$B$18="ja",Tiers!$B$20,N290)</f>
        <v>0.449995765941231</v>
      </c>
      <c r="P290" s="15" t="n">
        <f aca="false">ROUNDUP(G290/(1-O290),0)-0.05</f>
        <v>108.95</v>
      </c>
      <c r="Q290" s="19" t="n">
        <f aca="false">IFERROR(1-G290/P290,0)</f>
        <v>0.449747590637907</v>
      </c>
      <c r="R290" s="14" t="n">
        <v>18</v>
      </c>
    </row>
    <row r="291" customFormat="false" ht="15" hidden="false" customHeight="false" outlineLevel="0" collapsed="false">
      <c r="A291" s="14" t="s">
        <v>631</v>
      </c>
      <c r="B291" s="14" t="s">
        <v>632</v>
      </c>
      <c r="C291" s="14" t="s">
        <v>22</v>
      </c>
      <c r="D291" s="15" t="n">
        <v>64.95</v>
      </c>
      <c r="E291" s="15" t="n">
        <f aca="false">IFERROR(INDEX(Tiers!$B$4:$B$15,MATCH(C291,Tiers!$A$4:$A$15,0)),D291)</f>
        <v>59.95</v>
      </c>
      <c r="F291" s="16"/>
      <c r="G291" s="17" t="n">
        <f aca="false">IF(F291="",E291,F291)</f>
        <v>59.95</v>
      </c>
      <c r="H291" s="18" t="n">
        <f aca="false">G291-D291</f>
        <v>-5</v>
      </c>
      <c r="I291" s="19" t="n">
        <f aca="false">IFERROR((G291-D291)/D291,0)</f>
        <v>-0.0769822940723634</v>
      </c>
      <c r="J291" s="14" t="str">
        <f aca="false">IF(G291&gt;D291,"Omhoog",IF(G291&lt;D291,"Omlaag","Gelijk"))</f>
        <v>Omlaag</v>
      </c>
      <c r="K291" s="20" t="str">
        <f aca="false">IF(ABS(I291)&gt;=0.2,"controleren","")</f>
        <v/>
      </c>
      <c r="L291" s="21" t="n">
        <f aca="false">G291*Tiers!$B$19</f>
        <v>37.222955</v>
      </c>
      <c r="M291" s="15" t="n">
        <v>108.25</v>
      </c>
      <c r="N291" s="19" t="n">
        <f aca="false">IFERROR(1-D291/M291,0)</f>
        <v>0.4</v>
      </c>
      <c r="O291" s="19" t="n">
        <f aca="false">IF(Tiers!$B$18="ja",Tiers!$B$20,N291)</f>
        <v>0.4</v>
      </c>
      <c r="P291" s="15" t="n">
        <f aca="false">ROUNDUP(G291/(1-O291),0)-0.05</f>
        <v>99.95</v>
      </c>
      <c r="Q291" s="19" t="n">
        <f aca="false">IFERROR(1-G291/P291,0)</f>
        <v>0.400200100050025</v>
      </c>
      <c r="R291" s="14" t="n">
        <v>13</v>
      </c>
    </row>
    <row r="292" customFormat="false" ht="15" hidden="false" customHeight="false" outlineLevel="0" collapsed="false">
      <c r="A292" s="14" t="s">
        <v>633</v>
      </c>
      <c r="B292" s="14" t="s">
        <v>634</v>
      </c>
      <c r="C292" s="14" t="s">
        <v>22</v>
      </c>
      <c r="D292" s="15" t="n">
        <v>64.95</v>
      </c>
      <c r="E292" s="15" t="n">
        <f aca="false">IFERROR(INDEX(Tiers!$B$4:$B$15,MATCH(C292,Tiers!$A$4:$A$15,0)),D292)</f>
        <v>59.95</v>
      </c>
      <c r="F292" s="16"/>
      <c r="G292" s="17" t="n">
        <f aca="false">IF(F292="",E292,F292)</f>
        <v>59.95</v>
      </c>
      <c r="H292" s="18" t="n">
        <f aca="false">G292-D292</f>
        <v>-5</v>
      </c>
      <c r="I292" s="19" t="n">
        <f aca="false">IFERROR((G292-D292)/D292,0)</f>
        <v>-0.0769822940723634</v>
      </c>
      <c r="J292" s="14" t="str">
        <f aca="false">IF(G292&gt;D292,"Omhoog",IF(G292&lt;D292,"Omlaag","Gelijk"))</f>
        <v>Omlaag</v>
      </c>
      <c r="K292" s="20" t="str">
        <f aca="false">IF(ABS(I292)&gt;=0.2,"controleren","")</f>
        <v/>
      </c>
      <c r="L292" s="21" t="n">
        <f aca="false">G292*Tiers!$B$19</f>
        <v>37.222955</v>
      </c>
      <c r="M292" s="15" t="n">
        <v>118.09</v>
      </c>
      <c r="N292" s="19" t="n">
        <f aca="false">IFERROR(1-D292/M292,0)</f>
        <v>0.449995765941231</v>
      </c>
      <c r="O292" s="19" t="n">
        <f aca="false">IF(Tiers!$B$18="ja",Tiers!$B$20,N292)</f>
        <v>0.449995765941231</v>
      </c>
      <c r="P292" s="15" t="n">
        <f aca="false">ROUNDUP(G292/(1-O292),0)-0.05</f>
        <v>108.95</v>
      </c>
      <c r="Q292" s="19" t="n">
        <f aca="false">IFERROR(1-G292/P292,0)</f>
        <v>0.449747590637907</v>
      </c>
      <c r="R292" s="14" t="n">
        <v>60</v>
      </c>
    </row>
    <row r="293" customFormat="false" ht="15" hidden="false" customHeight="false" outlineLevel="0" collapsed="false">
      <c r="A293" s="14" t="s">
        <v>635</v>
      </c>
      <c r="B293" s="14" t="s">
        <v>636</v>
      </c>
      <c r="C293" s="14" t="s">
        <v>22</v>
      </c>
      <c r="D293" s="15" t="n">
        <v>64.95</v>
      </c>
      <c r="E293" s="15" t="n">
        <f aca="false">IFERROR(INDEX(Tiers!$B$4:$B$15,MATCH(C293,Tiers!$A$4:$A$15,0)),D293)</f>
        <v>59.95</v>
      </c>
      <c r="F293" s="16"/>
      <c r="G293" s="17" t="n">
        <f aca="false">IF(F293="",E293,F293)</f>
        <v>59.95</v>
      </c>
      <c r="H293" s="18" t="n">
        <f aca="false">G293-D293</f>
        <v>-5</v>
      </c>
      <c r="I293" s="19" t="n">
        <f aca="false">IFERROR((G293-D293)/D293,0)</f>
        <v>-0.0769822940723634</v>
      </c>
      <c r="J293" s="14" t="str">
        <f aca="false">IF(G293&gt;D293,"Omhoog",IF(G293&lt;D293,"Omlaag","Gelijk"))</f>
        <v>Omlaag</v>
      </c>
      <c r="K293" s="20" t="str">
        <f aca="false">IF(ABS(I293)&gt;=0.2,"controleren","")</f>
        <v/>
      </c>
      <c r="L293" s="21" t="n">
        <f aca="false">G293*Tiers!$B$19</f>
        <v>37.222955</v>
      </c>
      <c r="M293" s="15" t="n">
        <v>118.09</v>
      </c>
      <c r="N293" s="19" t="n">
        <f aca="false">IFERROR(1-D293/M293,0)</f>
        <v>0.449995765941231</v>
      </c>
      <c r="O293" s="19" t="n">
        <f aca="false">IF(Tiers!$B$18="ja",Tiers!$B$20,N293)</f>
        <v>0.449995765941231</v>
      </c>
      <c r="P293" s="15" t="n">
        <f aca="false">ROUNDUP(G293/(1-O293),0)-0.05</f>
        <v>108.95</v>
      </c>
      <c r="Q293" s="19" t="n">
        <f aca="false">IFERROR(1-G293/P293,0)</f>
        <v>0.449747590637907</v>
      </c>
      <c r="R293" s="14" t="n">
        <v>28</v>
      </c>
    </row>
    <row r="294" customFormat="false" ht="15" hidden="false" customHeight="false" outlineLevel="0" collapsed="false">
      <c r="A294" s="14" t="s">
        <v>637</v>
      </c>
      <c r="B294" s="14" t="s">
        <v>638</v>
      </c>
      <c r="C294" s="14" t="s">
        <v>22</v>
      </c>
      <c r="D294" s="15" t="n">
        <v>64.95</v>
      </c>
      <c r="E294" s="15" t="n">
        <f aca="false">IFERROR(INDEX(Tiers!$B$4:$B$15,MATCH(C294,Tiers!$A$4:$A$15,0)),D294)</f>
        <v>59.95</v>
      </c>
      <c r="F294" s="16"/>
      <c r="G294" s="17" t="n">
        <f aca="false">IF(F294="",E294,F294)</f>
        <v>59.95</v>
      </c>
      <c r="H294" s="18" t="n">
        <f aca="false">G294-D294</f>
        <v>-5</v>
      </c>
      <c r="I294" s="19" t="n">
        <f aca="false">IFERROR((G294-D294)/D294,0)</f>
        <v>-0.0769822940723634</v>
      </c>
      <c r="J294" s="14" t="str">
        <f aca="false">IF(G294&gt;D294,"Omhoog",IF(G294&lt;D294,"Omlaag","Gelijk"))</f>
        <v>Omlaag</v>
      </c>
      <c r="K294" s="20" t="str">
        <f aca="false">IF(ABS(I294)&gt;=0.2,"controleren","")</f>
        <v/>
      </c>
      <c r="L294" s="21" t="n">
        <f aca="false">G294*Tiers!$B$19</f>
        <v>37.222955</v>
      </c>
      <c r="M294" s="15" t="n">
        <v>108.25</v>
      </c>
      <c r="N294" s="19" t="n">
        <f aca="false">IFERROR(1-D294/M294,0)</f>
        <v>0.4</v>
      </c>
      <c r="O294" s="19" t="n">
        <f aca="false">IF(Tiers!$B$18="ja",Tiers!$B$20,N294)</f>
        <v>0.4</v>
      </c>
      <c r="P294" s="15" t="n">
        <f aca="false">ROUNDUP(G294/(1-O294),0)-0.05</f>
        <v>99.95</v>
      </c>
      <c r="Q294" s="19" t="n">
        <f aca="false">IFERROR(1-G294/P294,0)</f>
        <v>0.400200100050025</v>
      </c>
      <c r="R294" s="14" t="n">
        <v>34</v>
      </c>
    </row>
    <row r="295" customFormat="false" ht="15" hidden="false" customHeight="false" outlineLevel="0" collapsed="false">
      <c r="A295" s="14" t="s">
        <v>639</v>
      </c>
      <c r="B295" s="14" t="s">
        <v>640</v>
      </c>
      <c r="C295" s="14" t="s">
        <v>24</v>
      </c>
      <c r="D295" s="15" t="n">
        <v>69.95</v>
      </c>
      <c r="E295" s="15" t="n">
        <f aca="false">IFERROR(INDEX(Tiers!$B$4:$B$15,MATCH(C295,Tiers!$A$4:$A$15,0)),D295)</f>
        <v>59.95</v>
      </c>
      <c r="F295" s="16"/>
      <c r="G295" s="17" t="n">
        <f aca="false">IF(F295="",E295,F295)</f>
        <v>59.95</v>
      </c>
      <c r="H295" s="18" t="n">
        <f aca="false">G295-D295</f>
        <v>-10</v>
      </c>
      <c r="I295" s="19" t="n">
        <f aca="false">IFERROR((G295-D295)/D295,0)</f>
        <v>-0.142959256611866</v>
      </c>
      <c r="J295" s="14" t="str">
        <f aca="false">IF(G295&gt;D295,"Omhoog",IF(G295&lt;D295,"Omlaag","Gelijk"))</f>
        <v>Omlaag</v>
      </c>
      <c r="K295" s="20" t="str">
        <f aca="false">IF(ABS(I295)&gt;=0.2,"controleren","")</f>
        <v/>
      </c>
      <c r="L295" s="21" t="n">
        <f aca="false">G295*Tiers!$B$19</f>
        <v>37.222955</v>
      </c>
      <c r="M295" s="15" t="n">
        <v>116.58</v>
      </c>
      <c r="N295" s="19" t="n">
        <f aca="false">IFERROR(1-D295/M295,0)</f>
        <v>0.399982844398696</v>
      </c>
      <c r="O295" s="19" t="n">
        <f aca="false">IF(Tiers!$B$18="ja",Tiers!$B$20,N295)</f>
        <v>0.399982844398696</v>
      </c>
      <c r="P295" s="15" t="n">
        <f aca="false">ROUNDUP(G295/(1-O295),0)-0.05</f>
        <v>99.95</v>
      </c>
      <c r="Q295" s="19" t="n">
        <f aca="false">IFERROR(1-G295/P295,0)</f>
        <v>0.400200100050025</v>
      </c>
      <c r="R295" s="14" t="n">
        <v>21</v>
      </c>
    </row>
    <row r="296" customFormat="false" ht="15" hidden="false" customHeight="false" outlineLevel="0" collapsed="false">
      <c r="A296" s="14" t="s">
        <v>641</v>
      </c>
      <c r="B296" s="14" t="s">
        <v>642</v>
      </c>
      <c r="C296" s="14" t="s">
        <v>24</v>
      </c>
      <c r="D296" s="15" t="n">
        <v>69.95</v>
      </c>
      <c r="E296" s="15" t="n">
        <f aca="false">IFERROR(INDEX(Tiers!$B$4:$B$15,MATCH(C296,Tiers!$A$4:$A$15,0)),D296)</f>
        <v>59.95</v>
      </c>
      <c r="F296" s="16"/>
      <c r="G296" s="17" t="n">
        <f aca="false">IF(F296="",E296,F296)</f>
        <v>59.95</v>
      </c>
      <c r="H296" s="18" t="n">
        <f aca="false">G296-D296</f>
        <v>-10</v>
      </c>
      <c r="I296" s="19" t="n">
        <f aca="false">IFERROR((G296-D296)/D296,0)</f>
        <v>-0.142959256611866</v>
      </c>
      <c r="J296" s="14" t="str">
        <f aca="false">IF(G296&gt;D296,"Omhoog",IF(G296&lt;D296,"Omlaag","Gelijk"))</f>
        <v>Omlaag</v>
      </c>
      <c r="K296" s="20" t="str">
        <f aca="false">IF(ABS(I296)&gt;=0.2,"controleren","")</f>
        <v/>
      </c>
      <c r="L296" s="21" t="n">
        <f aca="false">G296*Tiers!$B$19</f>
        <v>37.222955</v>
      </c>
      <c r="M296" s="15" t="n">
        <v>116.58</v>
      </c>
      <c r="N296" s="19" t="n">
        <f aca="false">IFERROR(1-D296/M296,0)</f>
        <v>0.399982844398696</v>
      </c>
      <c r="O296" s="19" t="n">
        <f aca="false">IF(Tiers!$B$18="ja",Tiers!$B$20,N296)</f>
        <v>0.399982844398696</v>
      </c>
      <c r="P296" s="15" t="n">
        <f aca="false">ROUNDUP(G296/(1-O296),0)-0.05</f>
        <v>99.95</v>
      </c>
      <c r="Q296" s="19" t="n">
        <f aca="false">IFERROR(1-G296/P296,0)</f>
        <v>0.400200100050025</v>
      </c>
      <c r="R296" s="14" t="n">
        <v>58</v>
      </c>
    </row>
    <row r="297" customFormat="false" ht="15" hidden="false" customHeight="false" outlineLevel="0" collapsed="false">
      <c r="A297" s="14" t="s">
        <v>643</v>
      </c>
      <c r="B297" s="14" t="s">
        <v>644</v>
      </c>
      <c r="C297" s="14" t="s">
        <v>24</v>
      </c>
      <c r="D297" s="15" t="n">
        <v>69.95</v>
      </c>
      <c r="E297" s="15" t="n">
        <f aca="false">IFERROR(INDEX(Tiers!$B$4:$B$15,MATCH(C297,Tiers!$A$4:$A$15,0)),D297)</f>
        <v>59.95</v>
      </c>
      <c r="F297" s="16"/>
      <c r="G297" s="17" t="n">
        <f aca="false">IF(F297="",E297,F297)</f>
        <v>59.95</v>
      </c>
      <c r="H297" s="18" t="n">
        <f aca="false">G297-D297</f>
        <v>-10</v>
      </c>
      <c r="I297" s="19" t="n">
        <f aca="false">IFERROR((G297-D297)/D297,0)</f>
        <v>-0.142959256611866</v>
      </c>
      <c r="J297" s="14" t="str">
        <f aca="false">IF(G297&gt;D297,"Omhoog",IF(G297&lt;D297,"Omlaag","Gelijk"))</f>
        <v>Omlaag</v>
      </c>
      <c r="K297" s="20" t="str">
        <f aca="false">IF(ABS(I297)&gt;=0.2,"controleren","")</f>
        <v/>
      </c>
      <c r="L297" s="21" t="n">
        <f aca="false">G297*Tiers!$B$19</f>
        <v>37.222955</v>
      </c>
      <c r="M297" s="15" t="n">
        <v>139.9</v>
      </c>
      <c r="N297" s="19" t="n">
        <f aca="false">IFERROR(1-D297/M297,0)</f>
        <v>0.5</v>
      </c>
      <c r="O297" s="19" t="n">
        <f aca="false">IF(Tiers!$B$18="ja",Tiers!$B$20,N297)</f>
        <v>0.5</v>
      </c>
      <c r="P297" s="15" t="n">
        <f aca="false">ROUNDUP(G297/(1-O297),0)-0.05</f>
        <v>119.95</v>
      </c>
      <c r="Q297" s="19" t="n">
        <f aca="false">IFERROR(1-G297/P297,0)</f>
        <v>0.500208420175073</v>
      </c>
      <c r="R297" s="14" t="n">
        <v>30</v>
      </c>
    </row>
    <row r="298" customFormat="false" ht="15" hidden="false" customHeight="false" outlineLevel="0" collapsed="false">
      <c r="A298" s="14" t="s">
        <v>645</v>
      </c>
      <c r="B298" s="14" t="s">
        <v>646</v>
      </c>
      <c r="C298" s="14" t="s">
        <v>24</v>
      </c>
      <c r="D298" s="15" t="n">
        <v>69.95</v>
      </c>
      <c r="E298" s="15" t="n">
        <f aca="false">IFERROR(INDEX(Tiers!$B$4:$B$15,MATCH(C298,Tiers!$A$4:$A$15,0)),D298)</f>
        <v>59.95</v>
      </c>
      <c r="F298" s="16"/>
      <c r="G298" s="17" t="n">
        <f aca="false">IF(F298="",E298,F298)</f>
        <v>59.95</v>
      </c>
      <c r="H298" s="18" t="n">
        <f aca="false">G298-D298</f>
        <v>-10</v>
      </c>
      <c r="I298" s="19" t="n">
        <f aca="false">IFERROR((G298-D298)/D298,0)</f>
        <v>-0.142959256611866</v>
      </c>
      <c r="J298" s="14" t="str">
        <f aca="false">IF(G298&gt;D298,"Omhoog",IF(G298&lt;D298,"Omlaag","Gelijk"))</f>
        <v>Omlaag</v>
      </c>
      <c r="K298" s="20" t="str">
        <f aca="false">IF(ABS(I298)&gt;=0.2,"controleren","")</f>
        <v/>
      </c>
      <c r="L298" s="21" t="n">
        <f aca="false">G298*Tiers!$B$19</f>
        <v>37.222955</v>
      </c>
      <c r="M298" s="15" t="n">
        <v>139.9</v>
      </c>
      <c r="N298" s="19" t="n">
        <f aca="false">IFERROR(1-D298/M298,0)</f>
        <v>0.5</v>
      </c>
      <c r="O298" s="19" t="n">
        <f aca="false">IF(Tiers!$B$18="ja",Tiers!$B$20,N298)</f>
        <v>0.5</v>
      </c>
      <c r="P298" s="15" t="n">
        <f aca="false">ROUNDUP(G298/(1-O298),0)-0.05</f>
        <v>119.95</v>
      </c>
      <c r="Q298" s="19" t="n">
        <f aca="false">IFERROR(1-G298/P298,0)</f>
        <v>0.500208420175073</v>
      </c>
      <c r="R298" s="14" t="n">
        <v>75</v>
      </c>
    </row>
    <row r="299" customFormat="false" ht="15" hidden="false" customHeight="false" outlineLevel="0" collapsed="false">
      <c r="A299" s="14" t="s">
        <v>647</v>
      </c>
      <c r="B299" s="14" t="s">
        <v>648</v>
      </c>
      <c r="C299" s="14" t="s">
        <v>26</v>
      </c>
      <c r="D299" s="15" t="n">
        <v>59.95</v>
      </c>
      <c r="E299" s="15" t="n">
        <f aca="false">IFERROR(INDEX(Tiers!$B$4:$B$15,MATCH(C299,Tiers!$A$4:$A$15,0)),D299)</f>
        <v>69.95</v>
      </c>
      <c r="F299" s="16"/>
      <c r="G299" s="17" t="n">
        <f aca="false">IF(F299="",E299,F299)</f>
        <v>69.95</v>
      </c>
      <c r="H299" s="18" t="n">
        <f aca="false">G299-D299</f>
        <v>10</v>
      </c>
      <c r="I299" s="19" t="n">
        <f aca="false">IFERROR((G299-D299)/D299,0)</f>
        <v>0.166805671392827</v>
      </c>
      <c r="J299" s="14" t="str">
        <f aca="false">IF(G299&gt;D299,"Omhoog",IF(G299&lt;D299,"Omlaag","Gelijk"))</f>
        <v>Omhoog</v>
      </c>
      <c r="K299" s="20" t="str">
        <f aca="false">IF(ABS(I299)&gt;=0.2,"controleren","")</f>
        <v/>
      </c>
      <c r="L299" s="21" t="n">
        <f aca="false">G299*Tiers!$B$19</f>
        <v>43.431955</v>
      </c>
      <c r="M299" s="15" t="n">
        <v>119.9</v>
      </c>
      <c r="N299" s="19" t="n">
        <f aca="false">IFERROR(1-D299/M299,0)</f>
        <v>0.5</v>
      </c>
      <c r="O299" s="19" t="n">
        <f aca="false">IF(Tiers!$B$18="ja",Tiers!$B$20,N299)</f>
        <v>0.5</v>
      </c>
      <c r="P299" s="15" t="n">
        <f aca="false">ROUNDUP(G299/(1-O299),0)-0.05</f>
        <v>139.95</v>
      </c>
      <c r="Q299" s="19" t="n">
        <f aca="false">IFERROR(1-G299/P299,0)</f>
        <v>0.500178635226867</v>
      </c>
      <c r="R299" s="14" t="n">
        <v>85</v>
      </c>
    </row>
    <row r="300" customFormat="false" ht="15" hidden="false" customHeight="false" outlineLevel="0" collapsed="false">
      <c r="A300" s="14" t="s">
        <v>649</v>
      </c>
      <c r="B300" s="14" t="s">
        <v>650</v>
      </c>
      <c r="C300" s="14" t="s">
        <v>26</v>
      </c>
      <c r="D300" s="15" t="n">
        <v>79.95</v>
      </c>
      <c r="E300" s="15" t="n">
        <f aca="false">IFERROR(INDEX(Tiers!$B$4:$B$15,MATCH(C300,Tiers!$A$4:$A$15,0)),D300)</f>
        <v>69.95</v>
      </c>
      <c r="F300" s="16"/>
      <c r="G300" s="17" t="n">
        <f aca="false">IF(F300="",E300,F300)</f>
        <v>69.95</v>
      </c>
      <c r="H300" s="18" t="n">
        <f aca="false">G300-D300</f>
        <v>-10</v>
      </c>
      <c r="I300" s="19" t="n">
        <f aca="false">IFERROR((G300-D300)/D300,0)</f>
        <v>-0.125078173858662</v>
      </c>
      <c r="J300" s="14" t="str">
        <f aca="false">IF(G300&gt;D300,"Omhoog",IF(G300&lt;D300,"Omlaag","Gelijk"))</f>
        <v>Omlaag</v>
      </c>
      <c r="K300" s="20" t="str">
        <f aca="false">IF(ABS(I300)&gt;=0.2,"controleren","")</f>
        <v/>
      </c>
      <c r="L300" s="21" t="n">
        <f aca="false">G300*Tiers!$B$19</f>
        <v>43.431955</v>
      </c>
      <c r="M300" s="15" t="n">
        <v>145.36</v>
      </c>
      <c r="N300" s="19" t="n">
        <f aca="false">IFERROR(1-D300/M300,0)</f>
        <v>0.449986241056687</v>
      </c>
      <c r="O300" s="19" t="n">
        <f aca="false">IF(Tiers!$B$18="ja",Tiers!$B$20,N300)</f>
        <v>0.449986241056687</v>
      </c>
      <c r="P300" s="15" t="n">
        <f aca="false">ROUNDUP(G300/(1-O300),0)-0.05</f>
        <v>127.95</v>
      </c>
      <c r="Q300" s="19" t="n">
        <f aca="false">IFERROR(1-G300/P300,0)</f>
        <v>0.453302071121532</v>
      </c>
      <c r="R300" s="14" t="n">
        <v>44</v>
      </c>
    </row>
    <row r="301" customFormat="false" ht="15" hidden="false" customHeight="false" outlineLevel="0" collapsed="false">
      <c r="A301" s="14" t="s">
        <v>651</v>
      </c>
      <c r="B301" s="14" t="s">
        <v>652</v>
      </c>
      <c r="C301" s="14" t="s">
        <v>26</v>
      </c>
      <c r="D301" s="15" t="n">
        <v>79.95</v>
      </c>
      <c r="E301" s="15" t="n">
        <f aca="false">IFERROR(INDEX(Tiers!$B$4:$B$15,MATCH(C301,Tiers!$A$4:$A$15,0)),D301)</f>
        <v>69.95</v>
      </c>
      <c r="F301" s="16"/>
      <c r="G301" s="17" t="n">
        <f aca="false">IF(F301="",E301,F301)</f>
        <v>69.95</v>
      </c>
      <c r="H301" s="18" t="n">
        <f aca="false">G301-D301</f>
        <v>-10</v>
      </c>
      <c r="I301" s="19" t="n">
        <f aca="false">IFERROR((G301-D301)/D301,0)</f>
        <v>-0.125078173858662</v>
      </c>
      <c r="J301" s="14" t="str">
        <f aca="false">IF(G301&gt;D301,"Omhoog",IF(G301&lt;D301,"Omlaag","Gelijk"))</f>
        <v>Omlaag</v>
      </c>
      <c r="K301" s="20" t="str">
        <f aca="false">IF(ABS(I301)&gt;=0.2,"controleren","")</f>
        <v/>
      </c>
      <c r="L301" s="21" t="n">
        <f aca="false">G301*Tiers!$B$19</f>
        <v>43.431955</v>
      </c>
      <c r="M301" s="15" t="n">
        <v>159.9</v>
      </c>
      <c r="N301" s="19" t="n">
        <f aca="false">IFERROR(1-D301/M301,0)</f>
        <v>0.5</v>
      </c>
      <c r="O301" s="19" t="n">
        <f aca="false">IF(Tiers!$B$18="ja",Tiers!$B$20,N301)</f>
        <v>0.5</v>
      </c>
      <c r="P301" s="15" t="n">
        <f aca="false">ROUNDUP(G301/(1-O301),0)-0.05</f>
        <v>139.95</v>
      </c>
      <c r="Q301" s="19" t="n">
        <f aca="false">IFERROR(1-G301/P301,0)</f>
        <v>0.500178635226867</v>
      </c>
      <c r="R301" s="14" t="n">
        <v>45</v>
      </c>
    </row>
    <row r="302" customFormat="false" ht="15" hidden="false" customHeight="false" outlineLevel="0" collapsed="false">
      <c r="A302" s="14" t="s">
        <v>653</v>
      </c>
      <c r="B302" s="14" t="s">
        <v>654</v>
      </c>
      <c r="C302" s="14" t="s">
        <v>26</v>
      </c>
      <c r="D302" s="15" t="n">
        <v>79.95</v>
      </c>
      <c r="E302" s="15" t="n">
        <f aca="false">IFERROR(INDEX(Tiers!$B$4:$B$15,MATCH(C302,Tiers!$A$4:$A$15,0)),D302)</f>
        <v>69.95</v>
      </c>
      <c r="F302" s="16"/>
      <c r="G302" s="17" t="n">
        <f aca="false">IF(F302="",E302,F302)</f>
        <v>69.95</v>
      </c>
      <c r="H302" s="18" t="n">
        <f aca="false">G302-D302</f>
        <v>-10</v>
      </c>
      <c r="I302" s="19" t="n">
        <f aca="false">IFERROR((G302-D302)/D302,0)</f>
        <v>-0.125078173858662</v>
      </c>
      <c r="J302" s="14" t="str">
        <f aca="false">IF(G302&gt;D302,"Omhoog",IF(G302&lt;D302,"Omlaag","Gelijk"))</f>
        <v>Omlaag</v>
      </c>
      <c r="K302" s="20" t="str">
        <f aca="false">IF(ABS(I302)&gt;=0.2,"controleren","")</f>
        <v/>
      </c>
      <c r="L302" s="21" t="n">
        <f aca="false">G302*Tiers!$B$19</f>
        <v>43.431955</v>
      </c>
      <c r="M302" s="15" t="n">
        <v>145.36</v>
      </c>
      <c r="N302" s="19" t="n">
        <f aca="false">IFERROR(1-D302/M302,0)</f>
        <v>0.449986241056687</v>
      </c>
      <c r="O302" s="19" t="n">
        <f aca="false">IF(Tiers!$B$18="ja",Tiers!$B$20,N302)</f>
        <v>0.449986241056687</v>
      </c>
      <c r="P302" s="15" t="n">
        <f aca="false">ROUNDUP(G302/(1-O302),0)-0.05</f>
        <v>127.95</v>
      </c>
      <c r="Q302" s="19" t="n">
        <f aca="false">IFERROR(1-G302/P302,0)</f>
        <v>0.453302071121532</v>
      </c>
      <c r="R302" s="14" t="n">
        <v>56</v>
      </c>
    </row>
    <row r="303" customFormat="false" ht="15" hidden="false" customHeight="false" outlineLevel="0" collapsed="false">
      <c r="A303" s="14" t="s">
        <v>655</v>
      </c>
      <c r="B303" s="14" t="s">
        <v>656</v>
      </c>
      <c r="C303" s="14" t="s">
        <v>26</v>
      </c>
      <c r="D303" s="15" t="n">
        <v>79.95</v>
      </c>
      <c r="E303" s="15" t="n">
        <f aca="false">IFERROR(INDEX(Tiers!$B$4:$B$15,MATCH(C303,Tiers!$A$4:$A$15,0)),D303)</f>
        <v>69.95</v>
      </c>
      <c r="F303" s="16"/>
      <c r="G303" s="17" t="n">
        <f aca="false">IF(F303="",E303,F303)</f>
        <v>69.95</v>
      </c>
      <c r="H303" s="18" t="n">
        <f aca="false">G303-D303</f>
        <v>-10</v>
      </c>
      <c r="I303" s="19" t="n">
        <f aca="false">IFERROR((G303-D303)/D303,0)</f>
        <v>-0.125078173858662</v>
      </c>
      <c r="J303" s="14" t="str">
        <f aca="false">IF(G303&gt;D303,"Omhoog",IF(G303&lt;D303,"Omlaag","Gelijk"))</f>
        <v>Omlaag</v>
      </c>
      <c r="K303" s="20" t="str">
        <f aca="false">IF(ABS(I303)&gt;=0.2,"controleren","")</f>
        <v/>
      </c>
      <c r="L303" s="21" t="n">
        <f aca="false">G303*Tiers!$B$19</f>
        <v>43.431955</v>
      </c>
      <c r="M303" s="15" t="n">
        <v>133.25</v>
      </c>
      <c r="N303" s="19" t="n">
        <f aca="false">IFERROR(1-D303/M303,0)</f>
        <v>0.4</v>
      </c>
      <c r="O303" s="19" t="n">
        <f aca="false">IF(Tiers!$B$18="ja",Tiers!$B$20,N303)</f>
        <v>0.4</v>
      </c>
      <c r="P303" s="15" t="n">
        <f aca="false">ROUNDUP(G303/(1-O303),0)-0.05</f>
        <v>116.95</v>
      </c>
      <c r="Q303" s="19" t="n">
        <f aca="false">IFERROR(1-G303/P303,0)</f>
        <v>0.401881145788799</v>
      </c>
      <c r="R303" s="14" t="n">
        <v>18</v>
      </c>
    </row>
    <row r="304" customFormat="false" ht="15" hidden="false" customHeight="false" outlineLevel="0" collapsed="false">
      <c r="A304" s="14" t="s">
        <v>657</v>
      </c>
      <c r="B304" s="14" t="s">
        <v>658</v>
      </c>
      <c r="C304" s="14" t="s">
        <v>26</v>
      </c>
      <c r="D304" s="15" t="n">
        <v>79.95</v>
      </c>
      <c r="E304" s="15" t="n">
        <f aca="false">IFERROR(INDEX(Tiers!$B$4:$B$15,MATCH(C304,Tiers!$A$4:$A$15,0)),D304)</f>
        <v>69.95</v>
      </c>
      <c r="F304" s="16"/>
      <c r="G304" s="17" t="n">
        <f aca="false">IF(F304="",E304,F304)</f>
        <v>69.95</v>
      </c>
      <c r="H304" s="18" t="n">
        <f aca="false">G304-D304</f>
        <v>-10</v>
      </c>
      <c r="I304" s="19" t="n">
        <f aca="false">IFERROR((G304-D304)/D304,0)</f>
        <v>-0.125078173858662</v>
      </c>
      <c r="J304" s="14" t="str">
        <f aca="false">IF(G304&gt;D304,"Omhoog",IF(G304&lt;D304,"Omlaag","Gelijk"))</f>
        <v>Omlaag</v>
      </c>
      <c r="K304" s="20" t="str">
        <f aca="false">IF(ABS(I304)&gt;=0.2,"controleren","")</f>
        <v/>
      </c>
      <c r="L304" s="21" t="n">
        <f aca="false">G304*Tiers!$B$19</f>
        <v>43.431955</v>
      </c>
      <c r="M304" s="15" t="n">
        <v>159.9</v>
      </c>
      <c r="N304" s="19" t="n">
        <f aca="false">IFERROR(1-D304/M304,0)</f>
        <v>0.5</v>
      </c>
      <c r="O304" s="19" t="n">
        <f aca="false">IF(Tiers!$B$18="ja",Tiers!$B$20,N304)</f>
        <v>0.5</v>
      </c>
      <c r="P304" s="15" t="n">
        <f aca="false">ROUNDUP(G304/(1-O304),0)-0.05</f>
        <v>139.95</v>
      </c>
      <c r="Q304" s="19" t="n">
        <f aca="false">IFERROR(1-G304/P304,0)</f>
        <v>0.500178635226867</v>
      </c>
      <c r="R304" s="14" t="n">
        <v>9</v>
      </c>
    </row>
    <row r="305" customFormat="false" ht="15" hidden="false" customHeight="false" outlineLevel="0" collapsed="false">
      <c r="A305" s="14" t="s">
        <v>659</v>
      </c>
      <c r="B305" s="14" t="s">
        <v>660</v>
      </c>
      <c r="C305" s="14" t="s">
        <v>26</v>
      </c>
      <c r="D305" s="15" t="n">
        <v>79.95</v>
      </c>
      <c r="E305" s="15" t="n">
        <f aca="false">IFERROR(INDEX(Tiers!$B$4:$B$15,MATCH(C305,Tiers!$A$4:$A$15,0)),D305)</f>
        <v>69.95</v>
      </c>
      <c r="F305" s="16"/>
      <c r="G305" s="17" t="n">
        <f aca="false">IF(F305="",E305,F305)</f>
        <v>69.95</v>
      </c>
      <c r="H305" s="18" t="n">
        <f aca="false">G305-D305</f>
        <v>-10</v>
      </c>
      <c r="I305" s="19" t="n">
        <f aca="false">IFERROR((G305-D305)/D305,0)</f>
        <v>-0.125078173858662</v>
      </c>
      <c r="J305" s="14" t="str">
        <f aca="false">IF(G305&gt;D305,"Omhoog",IF(G305&lt;D305,"Omlaag","Gelijk"))</f>
        <v>Omlaag</v>
      </c>
      <c r="K305" s="20" t="str">
        <f aca="false">IF(ABS(I305)&gt;=0.2,"controleren","")</f>
        <v/>
      </c>
      <c r="L305" s="21" t="n">
        <f aca="false">G305*Tiers!$B$19</f>
        <v>43.431955</v>
      </c>
      <c r="M305" s="15" t="n">
        <v>159.9</v>
      </c>
      <c r="N305" s="19" t="n">
        <f aca="false">IFERROR(1-D305/M305,0)</f>
        <v>0.5</v>
      </c>
      <c r="O305" s="19" t="n">
        <f aca="false">IF(Tiers!$B$18="ja",Tiers!$B$20,N305)</f>
        <v>0.5</v>
      </c>
      <c r="P305" s="15" t="n">
        <f aca="false">ROUNDUP(G305/(1-O305),0)-0.05</f>
        <v>139.95</v>
      </c>
      <c r="Q305" s="19" t="n">
        <f aca="false">IFERROR(1-G305/P305,0)</f>
        <v>0.500178635226867</v>
      </c>
      <c r="R305" s="14" t="n">
        <v>54</v>
      </c>
    </row>
    <row r="306" customFormat="false" ht="15" hidden="false" customHeight="false" outlineLevel="0" collapsed="false">
      <c r="A306" s="14" t="s">
        <v>661</v>
      </c>
      <c r="B306" s="14" t="s">
        <v>662</v>
      </c>
      <c r="C306" s="14" t="s">
        <v>26</v>
      </c>
      <c r="D306" s="15" t="n">
        <v>79.95</v>
      </c>
      <c r="E306" s="15" t="n">
        <f aca="false">IFERROR(INDEX(Tiers!$B$4:$B$15,MATCH(C306,Tiers!$A$4:$A$15,0)),D306)</f>
        <v>69.95</v>
      </c>
      <c r="F306" s="16"/>
      <c r="G306" s="17" t="n">
        <f aca="false">IF(F306="",E306,F306)</f>
        <v>69.95</v>
      </c>
      <c r="H306" s="18" t="n">
        <f aca="false">G306-D306</f>
        <v>-10</v>
      </c>
      <c r="I306" s="19" t="n">
        <f aca="false">IFERROR((G306-D306)/D306,0)</f>
        <v>-0.125078173858662</v>
      </c>
      <c r="J306" s="14" t="str">
        <f aca="false">IF(G306&gt;D306,"Omhoog",IF(G306&lt;D306,"Omlaag","Gelijk"))</f>
        <v>Omlaag</v>
      </c>
      <c r="K306" s="20" t="str">
        <f aca="false">IF(ABS(I306)&gt;=0.2,"controleren","")</f>
        <v/>
      </c>
      <c r="L306" s="21" t="n">
        <f aca="false">G306*Tiers!$B$19</f>
        <v>43.431955</v>
      </c>
      <c r="M306" s="15" t="n">
        <v>145.36</v>
      </c>
      <c r="N306" s="19" t="n">
        <f aca="false">IFERROR(1-D306/M306,0)</f>
        <v>0.449986241056687</v>
      </c>
      <c r="O306" s="19" t="n">
        <f aca="false">IF(Tiers!$B$18="ja",Tiers!$B$20,N306)</f>
        <v>0.449986241056687</v>
      </c>
      <c r="P306" s="15" t="n">
        <f aca="false">ROUNDUP(G306/(1-O306),0)-0.05</f>
        <v>127.95</v>
      </c>
      <c r="Q306" s="19" t="n">
        <f aca="false">IFERROR(1-G306/P306,0)</f>
        <v>0.453302071121532</v>
      </c>
      <c r="R306" s="14" t="n">
        <v>30</v>
      </c>
    </row>
    <row r="307" customFormat="false" ht="15" hidden="false" customHeight="false" outlineLevel="0" collapsed="false">
      <c r="A307" s="14" t="s">
        <v>663</v>
      </c>
      <c r="B307" s="14" t="s">
        <v>664</v>
      </c>
      <c r="C307" s="14" t="s">
        <v>26</v>
      </c>
      <c r="D307" s="15" t="n">
        <v>79.95</v>
      </c>
      <c r="E307" s="15" t="n">
        <f aca="false">IFERROR(INDEX(Tiers!$B$4:$B$15,MATCH(C307,Tiers!$A$4:$A$15,0)),D307)</f>
        <v>69.95</v>
      </c>
      <c r="F307" s="16"/>
      <c r="G307" s="17" t="n">
        <f aca="false">IF(F307="",E307,F307)</f>
        <v>69.95</v>
      </c>
      <c r="H307" s="18" t="n">
        <f aca="false">G307-D307</f>
        <v>-10</v>
      </c>
      <c r="I307" s="19" t="n">
        <f aca="false">IFERROR((G307-D307)/D307,0)</f>
        <v>-0.125078173858662</v>
      </c>
      <c r="J307" s="14" t="str">
        <f aca="false">IF(G307&gt;D307,"Omhoog",IF(G307&lt;D307,"Omlaag","Gelijk"))</f>
        <v>Omlaag</v>
      </c>
      <c r="K307" s="20" t="str">
        <f aca="false">IF(ABS(I307)&gt;=0.2,"controleren","")</f>
        <v/>
      </c>
      <c r="L307" s="21" t="n">
        <f aca="false">G307*Tiers!$B$19</f>
        <v>43.431955</v>
      </c>
      <c r="M307" s="15" t="n">
        <v>159.9</v>
      </c>
      <c r="N307" s="19" t="n">
        <f aca="false">IFERROR(1-D307/M307,0)</f>
        <v>0.5</v>
      </c>
      <c r="O307" s="19" t="n">
        <f aca="false">IF(Tiers!$B$18="ja",Tiers!$B$20,N307)</f>
        <v>0.5</v>
      </c>
      <c r="P307" s="15" t="n">
        <f aca="false">ROUNDUP(G307/(1-O307),0)-0.05</f>
        <v>139.95</v>
      </c>
      <c r="Q307" s="19" t="n">
        <f aca="false">IFERROR(1-G307/P307,0)</f>
        <v>0.500178635226867</v>
      </c>
      <c r="R307" s="14" t="n">
        <v>40</v>
      </c>
    </row>
    <row r="308" customFormat="false" ht="15" hidden="false" customHeight="false" outlineLevel="0" collapsed="false">
      <c r="A308" s="14" t="s">
        <v>665</v>
      </c>
      <c r="B308" s="14" t="s">
        <v>666</v>
      </c>
      <c r="C308" s="14" t="s">
        <v>26</v>
      </c>
      <c r="D308" s="15" t="n">
        <v>79.95</v>
      </c>
      <c r="E308" s="15" t="n">
        <f aca="false">IFERROR(INDEX(Tiers!$B$4:$B$15,MATCH(C308,Tiers!$A$4:$A$15,0)),D308)</f>
        <v>69.95</v>
      </c>
      <c r="F308" s="16"/>
      <c r="G308" s="17" t="n">
        <f aca="false">IF(F308="",E308,F308)</f>
        <v>69.95</v>
      </c>
      <c r="H308" s="18" t="n">
        <f aca="false">G308-D308</f>
        <v>-10</v>
      </c>
      <c r="I308" s="19" t="n">
        <f aca="false">IFERROR((G308-D308)/D308,0)</f>
        <v>-0.125078173858662</v>
      </c>
      <c r="J308" s="14" t="str">
        <f aca="false">IF(G308&gt;D308,"Omhoog",IF(G308&lt;D308,"Omlaag","Gelijk"))</f>
        <v>Omlaag</v>
      </c>
      <c r="K308" s="20" t="str">
        <f aca="false">IF(ABS(I308)&gt;=0.2,"controleren","")</f>
        <v/>
      </c>
      <c r="L308" s="21" t="n">
        <f aca="false">G308*Tiers!$B$19</f>
        <v>43.431955</v>
      </c>
      <c r="M308" s="15" t="n">
        <v>159.9</v>
      </c>
      <c r="N308" s="19" t="n">
        <f aca="false">IFERROR(1-D308/M308,0)</f>
        <v>0.5</v>
      </c>
      <c r="O308" s="19" t="n">
        <f aca="false">IF(Tiers!$B$18="ja",Tiers!$B$20,N308)</f>
        <v>0.5</v>
      </c>
      <c r="P308" s="15" t="n">
        <f aca="false">ROUNDUP(G308/(1-O308),0)-0.05</f>
        <v>139.95</v>
      </c>
      <c r="Q308" s="19" t="n">
        <f aca="false">IFERROR(1-G308/P308,0)</f>
        <v>0.500178635226867</v>
      </c>
      <c r="R308" s="14" t="n">
        <v>30</v>
      </c>
    </row>
    <row r="309" customFormat="false" ht="15" hidden="false" customHeight="false" outlineLevel="0" collapsed="false">
      <c r="A309" s="14" t="s">
        <v>667</v>
      </c>
      <c r="B309" s="14" t="s">
        <v>668</v>
      </c>
      <c r="C309" s="14" t="s">
        <v>26</v>
      </c>
      <c r="D309" s="15" t="n">
        <v>79.95</v>
      </c>
      <c r="E309" s="15" t="n">
        <f aca="false">IFERROR(INDEX(Tiers!$B$4:$B$15,MATCH(C309,Tiers!$A$4:$A$15,0)),D309)</f>
        <v>69.95</v>
      </c>
      <c r="F309" s="16"/>
      <c r="G309" s="17" t="n">
        <f aca="false">IF(F309="",E309,F309)</f>
        <v>69.95</v>
      </c>
      <c r="H309" s="18" t="n">
        <f aca="false">G309-D309</f>
        <v>-10</v>
      </c>
      <c r="I309" s="19" t="n">
        <f aca="false">IFERROR((G309-D309)/D309,0)</f>
        <v>-0.125078173858662</v>
      </c>
      <c r="J309" s="14" t="str">
        <f aca="false">IF(G309&gt;D309,"Omhoog",IF(G309&lt;D309,"Omlaag","Gelijk"))</f>
        <v>Omlaag</v>
      </c>
      <c r="K309" s="20" t="str">
        <f aca="false">IF(ABS(I309)&gt;=0.2,"controleren","")</f>
        <v/>
      </c>
      <c r="L309" s="21" t="n">
        <f aca="false">G309*Tiers!$B$19</f>
        <v>43.431955</v>
      </c>
      <c r="M309" s="15" t="n">
        <v>145.36</v>
      </c>
      <c r="N309" s="19" t="n">
        <f aca="false">IFERROR(1-D309/M309,0)</f>
        <v>0.449986241056687</v>
      </c>
      <c r="O309" s="19" t="n">
        <f aca="false">IF(Tiers!$B$18="ja",Tiers!$B$20,N309)</f>
        <v>0.449986241056687</v>
      </c>
      <c r="P309" s="15" t="n">
        <f aca="false">ROUNDUP(G309/(1-O309),0)-0.05</f>
        <v>127.95</v>
      </c>
      <c r="Q309" s="19" t="n">
        <f aca="false">IFERROR(1-G309/P309,0)</f>
        <v>0.453302071121532</v>
      </c>
      <c r="R309" s="14" t="n">
        <v>45</v>
      </c>
    </row>
    <row r="310" customFormat="false" ht="15" hidden="false" customHeight="false" outlineLevel="0" collapsed="false">
      <c r="A310" s="14" t="s">
        <v>669</v>
      </c>
      <c r="B310" s="14" t="s">
        <v>670</v>
      </c>
      <c r="C310" s="14" t="s">
        <v>26</v>
      </c>
      <c r="D310" s="15" t="n">
        <v>79.95</v>
      </c>
      <c r="E310" s="15" t="n">
        <f aca="false">IFERROR(INDEX(Tiers!$B$4:$B$15,MATCH(C310,Tiers!$A$4:$A$15,0)),D310)</f>
        <v>69.95</v>
      </c>
      <c r="F310" s="16"/>
      <c r="G310" s="17" t="n">
        <f aca="false">IF(F310="",E310,F310)</f>
        <v>69.95</v>
      </c>
      <c r="H310" s="18" t="n">
        <f aca="false">G310-D310</f>
        <v>-10</v>
      </c>
      <c r="I310" s="19" t="n">
        <f aca="false">IFERROR((G310-D310)/D310,0)</f>
        <v>-0.125078173858662</v>
      </c>
      <c r="J310" s="14" t="str">
        <f aca="false">IF(G310&gt;D310,"Omhoog",IF(G310&lt;D310,"Omlaag","Gelijk"))</f>
        <v>Omlaag</v>
      </c>
      <c r="K310" s="20" t="str">
        <f aca="false">IF(ABS(I310)&gt;=0.2,"controleren","")</f>
        <v/>
      </c>
      <c r="L310" s="21" t="n">
        <f aca="false">G310*Tiers!$B$19</f>
        <v>43.431955</v>
      </c>
      <c r="M310" s="15" t="n">
        <v>133.25</v>
      </c>
      <c r="N310" s="19" t="n">
        <f aca="false">IFERROR(1-D310/M310,0)</f>
        <v>0.4</v>
      </c>
      <c r="O310" s="19" t="n">
        <f aca="false">IF(Tiers!$B$18="ja",Tiers!$B$20,N310)</f>
        <v>0.4</v>
      </c>
      <c r="P310" s="15" t="n">
        <f aca="false">ROUNDUP(G310/(1-O310),0)-0.05</f>
        <v>116.95</v>
      </c>
      <c r="Q310" s="19" t="n">
        <f aca="false">IFERROR(1-G310/P310,0)</f>
        <v>0.401881145788799</v>
      </c>
      <c r="R310" s="14" t="n">
        <v>76</v>
      </c>
    </row>
    <row r="311" customFormat="false" ht="15" hidden="false" customHeight="false" outlineLevel="0" collapsed="false">
      <c r="A311" s="14" t="s">
        <v>671</v>
      </c>
      <c r="B311" s="14" t="s">
        <v>672</v>
      </c>
      <c r="C311" s="14" t="s">
        <v>26</v>
      </c>
      <c r="D311" s="15" t="n">
        <v>79.95</v>
      </c>
      <c r="E311" s="15" t="n">
        <f aca="false">IFERROR(INDEX(Tiers!$B$4:$B$15,MATCH(C311,Tiers!$A$4:$A$15,0)),D311)</f>
        <v>69.95</v>
      </c>
      <c r="F311" s="16"/>
      <c r="G311" s="17" t="n">
        <f aca="false">IF(F311="",E311,F311)</f>
        <v>69.95</v>
      </c>
      <c r="H311" s="18" t="n">
        <f aca="false">G311-D311</f>
        <v>-10</v>
      </c>
      <c r="I311" s="19" t="n">
        <f aca="false">IFERROR((G311-D311)/D311,0)</f>
        <v>-0.125078173858662</v>
      </c>
      <c r="J311" s="14" t="str">
        <f aca="false">IF(G311&gt;D311,"Omhoog",IF(G311&lt;D311,"Omlaag","Gelijk"))</f>
        <v>Omlaag</v>
      </c>
      <c r="K311" s="20" t="str">
        <f aca="false">IF(ABS(I311)&gt;=0.2,"controleren","")</f>
        <v/>
      </c>
      <c r="L311" s="21" t="n">
        <f aca="false">G311*Tiers!$B$19</f>
        <v>43.431955</v>
      </c>
      <c r="M311" s="15" t="n">
        <v>133.25</v>
      </c>
      <c r="N311" s="19" t="n">
        <f aca="false">IFERROR(1-D311/M311,0)</f>
        <v>0.4</v>
      </c>
      <c r="O311" s="19" t="n">
        <f aca="false">IF(Tiers!$B$18="ja",Tiers!$B$20,N311)</f>
        <v>0.4</v>
      </c>
      <c r="P311" s="15" t="n">
        <f aca="false">ROUNDUP(G311/(1-O311),0)-0.05</f>
        <v>116.95</v>
      </c>
      <c r="Q311" s="19" t="n">
        <f aca="false">IFERROR(1-G311/P311,0)</f>
        <v>0.401881145788799</v>
      </c>
      <c r="R311" s="14" t="n">
        <v>35</v>
      </c>
    </row>
    <row r="312" customFormat="false" ht="15" hidden="false" customHeight="false" outlineLevel="0" collapsed="false">
      <c r="A312" s="14" t="s">
        <v>673</v>
      </c>
      <c r="B312" s="14" t="s">
        <v>674</v>
      </c>
      <c r="C312" s="14" t="s">
        <v>28</v>
      </c>
      <c r="D312" s="15" t="n">
        <v>89.95</v>
      </c>
      <c r="E312" s="15" t="n">
        <f aca="false">IFERROR(INDEX(Tiers!$B$4:$B$15,MATCH(C312,Tiers!$A$4:$A$15,0)),D312)</f>
        <v>74.95</v>
      </c>
      <c r="F312" s="16"/>
      <c r="G312" s="17" t="n">
        <f aca="false">IF(F312="",E312,F312)</f>
        <v>74.95</v>
      </c>
      <c r="H312" s="18" t="n">
        <f aca="false">G312-D312</f>
        <v>-15</v>
      </c>
      <c r="I312" s="19" t="n">
        <f aca="false">IFERROR((G312-D312)/D312,0)</f>
        <v>-0.166759310728182</v>
      </c>
      <c r="J312" s="14" t="str">
        <f aca="false">IF(G312&gt;D312,"Omhoog",IF(G312&lt;D312,"Omlaag","Gelijk"))</f>
        <v>Omlaag</v>
      </c>
      <c r="K312" s="20" t="str">
        <f aca="false">IF(ABS(I312)&gt;=0.2,"controleren","")</f>
        <v/>
      </c>
      <c r="L312" s="21" t="n">
        <f aca="false">G312*Tiers!$B$19</f>
        <v>46.536455</v>
      </c>
      <c r="M312" s="15" t="n">
        <v>163.55</v>
      </c>
      <c r="N312" s="19" t="n">
        <f aca="false">IFERROR(1-D312/M312,0)</f>
        <v>0.450015285845307</v>
      </c>
      <c r="O312" s="19" t="n">
        <f aca="false">IF(Tiers!$B$18="ja",Tiers!$B$20,N312)</f>
        <v>0.450015285845307</v>
      </c>
      <c r="P312" s="15" t="n">
        <f aca="false">ROUNDUP(G312/(1-O312),0)-0.05</f>
        <v>136.95</v>
      </c>
      <c r="Q312" s="19" t="n">
        <f aca="false">IFERROR(1-G312/P312,0)</f>
        <v>0.45271997079226</v>
      </c>
      <c r="R312" s="14" t="n">
        <v>7</v>
      </c>
    </row>
    <row r="313" customFormat="false" ht="15" hidden="false" customHeight="false" outlineLevel="0" collapsed="false">
      <c r="A313" s="14" t="s">
        <v>675</v>
      </c>
      <c r="B313" s="14" t="s">
        <v>676</v>
      </c>
      <c r="C313" s="14" t="s">
        <v>28</v>
      </c>
      <c r="D313" s="15" t="n">
        <v>69.95</v>
      </c>
      <c r="E313" s="15" t="n">
        <f aca="false">IFERROR(INDEX(Tiers!$B$4:$B$15,MATCH(C313,Tiers!$A$4:$A$15,0)),D313)</f>
        <v>74.95</v>
      </c>
      <c r="F313" s="16"/>
      <c r="G313" s="17" t="n">
        <f aca="false">IF(F313="",E313,F313)</f>
        <v>74.95</v>
      </c>
      <c r="H313" s="18" t="n">
        <f aca="false">G313-D313</f>
        <v>5</v>
      </c>
      <c r="I313" s="19" t="n">
        <f aca="false">IFERROR((G313-D313)/D313,0)</f>
        <v>0.0714796283059328</v>
      </c>
      <c r="J313" s="14" t="str">
        <f aca="false">IF(G313&gt;D313,"Omhoog",IF(G313&lt;D313,"Omlaag","Gelijk"))</f>
        <v>Omhoog</v>
      </c>
      <c r="K313" s="20" t="str">
        <f aca="false">IF(ABS(I313)&gt;=0.2,"controleren","")</f>
        <v/>
      </c>
      <c r="L313" s="21" t="n">
        <f aca="false">G313*Tiers!$B$19</f>
        <v>46.536455</v>
      </c>
      <c r="M313" s="15" t="n">
        <v>116.58</v>
      </c>
      <c r="N313" s="19" t="n">
        <f aca="false">IFERROR(1-D313/M313,0)</f>
        <v>0.399982844398696</v>
      </c>
      <c r="O313" s="19" t="n">
        <f aca="false">IF(Tiers!$B$18="ja",Tiers!$B$20,N313)</f>
        <v>0.399982844398696</v>
      </c>
      <c r="P313" s="15" t="n">
        <f aca="false">ROUNDUP(G313/(1-O313),0)-0.05</f>
        <v>124.95</v>
      </c>
      <c r="Q313" s="19" t="n">
        <f aca="false">IFERROR(1-G313/P313,0)</f>
        <v>0.40016006402561</v>
      </c>
      <c r="R313" s="14" t="n">
        <v>30</v>
      </c>
    </row>
    <row r="314" customFormat="false" ht="15" hidden="false" customHeight="false" outlineLevel="0" collapsed="false">
      <c r="A314" s="14" t="s">
        <v>677</v>
      </c>
      <c r="B314" s="14" t="s">
        <v>678</v>
      </c>
      <c r="C314" s="14" t="s">
        <v>28</v>
      </c>
      <c r="D314" s="15" t="n">
        <v>89.95</v>
      </c>
      <c r="E314" s="15" t="n">
        <f aca="false">IFERROR(INDEX(Tiers!$B$4:$B$15,MATCH(C314,Tiers!$A$4:$A$15,0)),D314)</f>
        <v>74.95</v>
      </c>
      <c r="F314" s="16"/>
      <c r="G314" s="17" t="n">
        <f aca="false">IF(F314="",E314,F314)</f>
        <v>74.95</v>
      </c>
      <c r="H314" s="18" t="n">
        <f aca="false">G314-D314</f>
        <v>-15</v>
      </c>
      <c r="I314" s="19" t="n">
        <f aca="false">IFERROR((G314-D314)/D314,0)</f>
        <v>-0.166759310728182</v>
      </c>
      <c r="J314" s="14" t="str">
        <f aca="false">IF(G314&gt;D314,"Omhoog",IF(G314&lt;D314,"Omlaag","Gelijk"))</f>
        <v>Omlaag</v>
      </c>
      <c r="K314" s="20" t="str">
        <f aca="false">IF(ABS(I314)&gt;=0.2,"controleren","")</f>
        <v/>
      </c>
      <c r="L314" s="21" t="n">
        <f aca="false">G314*Tiers!$B$19</f>
        <v>46.536455</v>
      </c>
      <c r="M314" s="15" t="n">
        <v>179.9</v>
      </c>
      <c r="N314" s="19" t="n">
        <f aca="false">IFERROR(1-D314/M314,0)</f>
        <v>0.5</v>
      </c>
      <c r="O314" s="19" t="n">
        <f aca="false">IF(Tiers!$B$18="ja",Tiers!$B$20,N314)</f>
        <v>0.5</v>
      </c>
      <c r="P314" s="15" t="n">
        <f aca="false">ROUNDUP(G314/(1-O314),0)-0.05</f>
        <v>149.95</v>
      </c>
      <c r="Q314" s="19" t="n">
        <f aca="false">IFERROR(1-G314/P314,0)</f>
        <v>0.500166722240747</v>
      </c>
      <c r="R314" s="14" t="n">
        <v>10</v>
      </c>
    </row>
    <row r="315" customFormat="false" ht="15" hidden="false" customHeight="false" outlineLevel="0" collapsed="false">
      <c r="A315" s="14" t="s">
        <v>679</v>
      </c>
      <c r="B315" s="14" t="s">
        <v>680</v>
      </c>
      <c r="C315" s="14" t="s">
        <v>28</v>
      </c>
      <c r="D315" s="15" t="n">
        <v>89.95</v>
      </c>
      <c r="E315" s="15" t="n">
        <f aca="false">IFERROR(INDEX(Tiers!$B$4:$B$15,MATCH(C315,Tiers!$A$4:$A$15,0)),D315)</f>
        <v>74.95</v>
      </c>
      <c r="F315" s="16"/>
      <c r="G315" s="17" t="n">
        <f aca="false">IF(F315="",E315,F315)</f>
        <v>74.95</v>
      </c>
      <c r="H315" s="18" t="n">
        <f aca="false">G315-D315</f>
        <v>-15</v>
      </c>
      <c r="I315" s="19" t="n">
        <f aca="false">IFERROR((G315-D315)/D315,0)</f>
        <v>-0.166759310728182</v>
      </c>
      <c r="J315" s="14" t="str">
        <f aca="false">IF(G315&gt;D315,"Omhoog",IF(G315&lt;D315,"Omlaag","Gelijk"))</f>
        <v>Omlaag</v>
      </c>
      <c r="K315" s="20" t="str">
        <f aca="false">IF(ABS(I315)&gt;=0.2,"controleren","")</f>
        <v/>
      </c>
      <c r="L315" s="21" t="n">
        <f aca="false">G315*Tiers!$B$19</f>
        <v>46.536455</v>
      </c>
      <c r="M315" s="15" t="n">
        <v>163.55</v>
      </c>
      <c r="N315" s="19" t="n">
        <f aca="false">IFERROR(1-D315/M315,0)</f>
        <v>0.450015285845307</v>
      </c>
      <c r="O315" s="19" t="n">
        <f aca="false">IF(Tiers!$B$18="ja",Tiers!$B$20,N315)</f>
        <v>0.450015285845307</v>
      </c>
      <c r="P315" s="15" t="n">
        <f aca="false">ROUNDUP(G315/(1-O315),0)-0.05</f>
        <v>136.95</v>
      </c>
      <c r="Q315" s="19" t="n">
        <f aca="false">IFERROR(1-G315/P315,0)</f>
        <v>0.45271997079226</v>
      </c>
      <c r="R315" s="14" t="n">
        <v>6</v>
      </c>
    </row>
    <row r="316" customFormat="false" ht="15" hidden="false" customHeight="false" outlineLevel="0" collapsed="false">
      <c r="A316" s="14" t="s">
        <v>681</v>
      </c>
      <c r="B316" s="14" t="s">
        <v>682</v>
      </c>
      <c r="C316" s="14" t="s">
        <v>28</v>
      </c>
      <c r="D316" s="15" t="n">
        <v>89.95</v>
      </c>
      <c r="E316" s="15" t="n">
        <f aca="false">IFERROR(INDEX(Tiers!$B$4:$B$15,MATCH(C316,Tiers!$A$4:$A$15,0)),D316)</f>
        <v>74.95</v>
      </c>
      <c r="F316" s="16"/>
      <c r="G316" s="17" t="n">
        <f aca="false">IF(F316="",E316,F316)</f>
        <v>74.95</v>
      </c>
      <c r="H316" s="18" t="n">
        <f aca="false">G316-D316</f>
        <v>-15</v>
      </c>
      <c r="I316" s="19" t="n">
        <f aca="false">IFERROR((G316-D316)/D316,0)</f>
        <v>-0.166759310728182</v>
      </c>
      <c r="J316" s="14" t="str">
        <f aca="false">IF(G316&gt;D316,"Omhoog",IF(G316&lt;D316,"Omlaag","Gelijk"))</f>
        <v>Omlaag</v>
      </c>
      <c r="K316" s="20" t="str">
        <f aca="false">IF(ABS(I316)&gt;=0.2,"controleren","")</f>
        <v/>
      </c>
      <c r="L316" s="21" t="n">
        <f aca="false">G316*Tiers!$B$19</f>
        <v>46.536455</v>
      </c>
      <c r="M316" s="15" t="n">
        <v>179.9</v>
      </c>
      <c r="N316" s="19" t="n">
        <f aca="false">IFERROR(1-D316/M316,0)</f>
        <v>0.5</v>
      </c>
      <c r="O316" s="19" t="n">
        <f aca="false">IF(Tiers!$B$18="ja",Tiers!$B$20,N316)</f>
        <v>0.5</v>
      </c>
      <c r="P316" s="15" t="n">
        <f aca="false">ROUNDUP(G316/(1-O316),0)-0.05</f>
        <v>149.95</v>
      </c>
      <c r="Q316" s="19" t="n">
        <f aca="false">IFERROR(1-G316/P316,0)</f>
        <v>0.500166722240747</v>
      </c>
      <c r="R316" s="14" t="n">
        <v>14</v>
      </c>
    </row>
    <row r="317" customFormat="false" ht="15" hidden="false" customHeight="false" outlineLevel="0" collapsed="false">
      <c r="A317" s="14" t="s">
        <v>683</v>
      </c>
      <c r="B317" s="14" t="s">
        <v>684</v>
      </c>
      <c r="C317" s="14" t="s">
        <v>28</v>
      </c>
      <c r="D317" s="15" t="n">
        <v>89.95</v>
      </c>
      <c r="E317" s="15" t="n">
        <f aca="false">IFERROR(INDEX(Tiers!$B$4:$B$15,MATCH(C317,Tiers!$A$4:$A$15,0)),D317)</f>
        <v>74.95</v>
      </c>
      <c r="F317" s="16"/>
      <c r="G317" s="17" t="n">
        <f aca="false">IF(F317="",E317,F317)</f>
        <v>74.95</v>
      </c>
      <c r="H317" s="18" t="n">
        <f aca="false">G317-D317</f>
        <v>-15</v>
      </c>
      <c r="I317" s="19" t="n">
        <f aca="false">IFERROR((G317-D317)/D317,0)</f>
        <v>-0.166759310728182</v>
      </c>
      <c r="J317" s="14" t="str">
        <f aca="false">IF(G317&gt;D317,"Omhoog",IF(G317&lt;D317,"Omlaag","Gelijk"))</f>
        <v>Omlaag</v>
      </c>
      <c r="K317" s="20" t="str">
        <f aca="false">IF(ABS(I317)&gt;=0.2,"controleren","")</f>
        <v/>
      </c>
      <c r="L317" s="21" t="n">
        <f aca="false">G317*Tiers!$B$19</f>
        <v>46.536455</v>
      </c>
      <c r="M317" s="15" t="n">
        <v>179.9</v>
      </c>
      <c r="N317" s="19" t="n">
        <f aca="false">IFERROR(1-D317/M317,0)</f>
        <v>0.5</v>
      </c>
      <c r="O317" s="19" t="n">
        <f aca="false">IF(Tiers!$B$18="ja",Tiers!$B$20,N317)</f>
        <v>0.5</v>
      </c>
      <c r="P317" s="15" t="n">
        <f aca="false">ROUNDUP(G317/(1-O317),0)-0.05</f>
        <v>149.95</v>
      </c>
      <c r="Q317" s="19" t="n">
        <f aca="false">IFERROR(1-G317/P317,0)</f>
        <v>0.500166722240747</v>
      </c>
      <c r="R317" s="14" t="n">
        <v>6</v>
      </c>
    </row>
    <row r="318" customFormat="false" ht="15" hidden="false" customHeight="false" outlineLevel="0" collapsed="false">
      <c r="A318" s="14" t="s">
        <v>685</v>
      </c>
      <c r="B318" s="14" t="s">
        <v>686</v>
      </c>
      <c r="C318" s="14" t="s">
        <v>28</v>
      </c>
      <c r="D318" s="15" t="n">
        <v>89.95</v>
      </c>
      <c r="E318" s="15" t="n">
        <f aca="false">IFERROR(INDEX(Tiers!$B$4:$B$15,MATCH(C318,Tiers!$A$4:$A$15,0)),D318)</f>
        <v>74.95</v>
      </c>
      <c r="F318" s="16"/>
      <c r="G318" s="17" t="n">
        <f aca="false">IF(F318="",E318,F318)</f>
        <v>74.95</v>
      </c>
      <c r="H318" s="18" t="n">
        <f aca="false">G318-D318</f>
        <v>-15</v>
      </c>
      <c r="I318" s="19" t="n">
        <f aca="false">IFERROR((G318-D318)/D318,0)</f>
        <v>-0.166759310728182</v>
      </c>
      <c r="J318" s="14" t="str">
        <f aca="false">IF(G318&gt;D318,"Omhoog",IF(G318&lt;D318,"Omlaag","Gelijk"))</f>
        <v>Omlaag</v>
      </c>
      <c r="K318" s="20" t="str">
        <f aca="false">IF(ABS(I318)&gt;=0.2,"controleren","")</f>
        <v/>
      </c>
      <c r="L318" s="21" t="n">
        <f aca="false">G318*Tiers!$B$19</f>
        <v>46.536455</v>
      </c>
      <c r="M318" s="15" t="n">
        <v>149.92</v>
      </c>
      <c r="N318" s="19" t="n">
        <f aca="false">IFERROR(1-D318/M318,0)</f>
        <v>0.400013340448239</v>
      </c>
      <c r="O318" s="19" t="n">
        <f aca="false">IF(Tiers!$B$18="ja",Tiers!$B$20,N318)</f>
        <v>0.400013340448239</v>
      </c>
      <c r="P318" s="15" t="n">
        <f aca="false">ROUNDUP(G318/(1-O318),0)-0.05</f>
        <v>124.95</v>
      </c>
      <c r="Q318" s="19" t="n">
        <f aca="false">IFERROR(1-G318/P318,0)</f>
        <v>0.40016006402561</v>
      </c>
      <c r="R318" s="14" t="n">
        <v>6</v>
      </c>
    </row>
    <row r="319" customFormat="false" ht="15" hidden="false" customHeight="false" outlineLevel="0" collapsed="false">
      <c r="A319" s="14" t="s">
        <v>687</v>
      </c>
      <c r="B319" s="14" t="s">
        <v>688</v>
      </c>
      <c r="C319" s="14" t="s">
        <v>28</v>
      </c>
      <c r="D319" s="15" t="n">
        <v>84.95</v>
      </c>
      <c r="E319" s="15" t="n">
        <f aca="false">IFERROR(INDEX(Tiers!$B$4:$B$15,MATCH(C319,Tiers!$A$4:$A$15,0)),D319)</f>
        <v>74.95</v>
      </c>
      <c r="F319" s="16"/>
      <c r="G319" s="17" t="n">
        <f aca="false">IF(F319="",E319,F319)</f>
        <v>74.95</v>
      </c>
      <c r="H319" s="18" t="n">
        <f aca="false">G319-D319</f>
        <v>-10</v>
      </c>
      <c r="I319" s="19" t="n">
        <f aca="false">IFERROR((G319-D319)/D319,0)</f>
        <v>-0.117716303708064</v>
      </c>
      <c r="J319" s="14" t="str">
        <f aca="false">IF(G319&gt;D319,"Omhoog",IF(G319&lt;D319,"Omlaag","Gelijk"))</f>
        <v>Omlaag</v>
      </c>
      <c r="K319" s="20" t="str">
        <f aca="false">IF(ABS(I319)&gt;=0.2,"controleren","")</f>
        <v/>
      </c>
      <c r="L319" s="21" t="n">
        <f aca="false">G319*Tiers!$B$19</f>
        <v>46.536455</v>
      </c>
      <c r="M319" s="15" t="n">
        <v>141.58</v>
      </c>
      <c r="N319" s="19" t="n">
        <f aca="false">IFERROR(1-D319/M319,0)</f>
        <v>0.399985873710976</v>
      </c>
      <c r="O319" s="19" t="n">
        <f aca="false">IF(Tiers!$B$18="ja",Tiers!$B$20,N319)</f>
        <v>0.399985873710976</v>
      </c>
      <c r="P319" s="15" t="n">
        <f aca="false">ROUNDUP(G319/(1-O319),0)-0.05</f>
        <v>124.95</v>
      </c>
      <c r="Q319" s="19" t="n">
        <f aca="false">IFERROR(1-G319/P319,0)</f>
        <v>0.40016006402561</v>
      </c>
      <c r="R319" s="14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8" min="6" style="0" width="1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689</v>
      </c>
    </row>
    <row r="3" customFormat="false" ht="15" hidden="false" customHeight="false" outlineLevel="0" collapsed="false">
      <c r="A3" s="3" t="s">
        <v>2</v>
      </c>
      <c r="B3" s="3" t="s">
        <v>690</v>
      </c>
      <c r="C3" s="3" t="s">
        <v>691</v>
      </c>
      <c r="D3" s="3" t="s">
        <v>692</v>
      </c>
      <c r="E3" s="3" t="s">
        <v>48</v>
      </c>
      <c r="F3" s="3" t="s">
        <v>693</v>
      </c>
      <c r="G3" s="3" t="s">
        <v>694</v>
      </c>
      <c r="H3" s="3" t="s">
        <v>695</v>
      </c>
      <c r="I3" s="3" t="s">
        <v>696</v>
      </c>
    </row>
    <row r="4" customFormat="false" ht="15" hidden="false" customHeight="false" outlineLevel="0" collapsed="false">
      <c r="A4" s="4" t="s">
        <v>6</v>
      </c>
      <c r="B4" s="4" t="n">
        <f aca="false">COUNTIF(Voorstel!$C$4:$C$319,A4)</f>
        <v>71</v>
      </c>
      <c r="C4" s="22" t="n">
        <f aca="false">IFERROR(AVERAGEIF(Voorstel!$C$4:$C$319,A4,Voorstel!$D$4:$D$319),0)</f>
        <v>47.062676056338</v>
      </c>
      <c r="D4" s="22" t="n">
        <f aca="false">IFERROR(AVERAGEIF(Voorstel!$C$4:$C$319,A4,Voorstel!$G$4:$G$319),0)</f>
        <v>44.95</v>
      </c>
      <c r="E4" s="22" t="n">
        <f aca="false">D4-C4</f>
        <v>-2.11267605633803</v>
      </c>
      <c r="F4" s="4" t="n">
        <f aca="false">COUNTIFS(Voorstel!$C$4:$C$319,A4,Voorstel!$J$4:$J$319,"Omhoog")</f>
        <v>9</v>
      </c>
      <c r="G4" s="4" t="n">
        <f aca="false">COUNTIFS(Voorstel!$C$4:$C$319,A4,Voorstel!$J$4:$J$319,"Omlaag")</f>
        <v>18</v>
      </c>
      <c r="H4" s="4" t="n">
        <f aca="false">COUNTIFS(Voorstel!$C$4:$C$319,A4,Voorstel!$J$4:$J$319,"Gelijk")</f>
        <v>44</v>
      </c>
      <c r="I4" s="4" t="n">
        <f aca="false">COUNTIFS(Voorstel!$C$4:$C$319,A4,Voorstel!$K$4:$K$319,"controleren")</f>
        <v>13</v>
      </c>
    </row>
    <row r="5" customFormat="false" ht="15" hidden="false" customHeight="false" outlineLevel="0" collapsed="false">
      <c r="A5" s="4" t="s">
        <v>8</v>
      </c>
      <c r="B5" s="4" t="n">
        <f aca="false">COUNTIF(Voorstel!$C$4:$C$319,A5)</f>
        <v>5</v>
      </c>
      <c r="C5" s="22" t="n">
        <f aca="false">IFERROR(AVERAGEIF(Voorstel!$C$4:$C$319,A5,Voorstel!$D$4:$D$319),0)</f>
        <v>44.95</v>
      </c>
      <c r="D5" s="22" t="n">
        <f aca="false">IFERROR(AVERAGEIF(Voorstel!$C$4:$C$319,A5,Voorstel!$G$4:$G$319),0)</f>
        <v>44.95</v>
      </c>
      <c r="E5" s="22" t="n">
        <f aca="false">D5-C5</f>
        <v>0</v>
      </c>
      <c r="F5" s="4" t="n">
        <f aca="false">COUNTIFS(Voorstel!$C$4:$C$319,A5,Voorstel!$J$4:$J$319,"Omhoog")</f>
        <v>0</v>
      </c>
      <c r="G5" s="4" t="n">
        <f aca="false">COUNTIFS(Voorstel!$C$4:$C$319,A5,Voorstel!$J$4:$J$319,"Omlaag")</f>
        <v>0</v>
      </c>
      <c r="H5" s="4" t="n">
        <f aca="false">COUNTIFS(Voorstel!$C$4:$C$319,A5,Voorstel!$J$4:$J$319,"Gelijk")</f>
        <v>5</v>
      </c>
      <c r="I5" s="4" t="n">
        <f aca="false">COUNTIFS(Voorstel!$C$4:$C$319,A5,Voorstel!$K$4:$K$319,"controleren")</f>
        <v>0</v>
      </c>
    </row>
    <row r="6" customFormat="false" ht="15" hidden="false" customHeight="false" outlineLevel="0" collapsed="false">
      <c r="A6" s="4" t="s">
        <v>10</v>
      </c>
      <c r="B6" s="4" t="n">
        <f aca="false">COUNTIF(Voorstel!$C$4:$C$319,A6)</f>
        <v>28</v>
      </c>
      <c r="C6" s="22" t="n">
        <f aca="false">IFERROR(AVERAGEIF(Voorstel!$C$4:$C$319,A6,Voorstel!$D$4:$D$319),0)</f>
        <v>45.6642857142857</v>
      </c>
      <c r="D6" s="22" t="n">
        <f aca="false">IFERROR(AVERAGEIF(Voorstel!$C$4:$C$319,A6,Voorstel!$G$4:$G$319),0)</f>
        <v>44.95</v>
      </c>
      <c r="E6" s="22" t="n">
        <f aca="false">D6-C6</f>
        <v>-0.714285714285715</v>
      </c>
      <c r="F6" s="4" t="n">
        <f aca="false">COUNTIFS(Voorstel!$C$4:$C$319,A6,Voorstel!$J$4:$J$319,"Omhoog")</f>
        <v>1</v>
      </c>
      <c r="G6" s="4" t="n">
        <f aca="false">COUNTIFS(Voorstel!$C$4:$C$319,A6,Voorstel!$J$4:$J$319,"Omlaag")</f>
        <v>2</v>
      </c>
      <c r="H6" s="4" t="n">
        <f aca="false">COUNTIFS(Voorstel!$C$4:$C$319,A6,Voorstel!$J$4:$J$319,"Gelijk")</f>
        <v>25</v>
      </c>
      <c r="I6" s="4" t="n">
        <f aca="false">COUNTIFS(Voorstel!$C$4:$C$319,A6,Voorstel!$K$4:$K$319,"controleren")</f>
        <v>2</v>
      </c>
    </row>
    <row r="7" customFormat="false" ht="15" hidden="false" customHeight="false" outlineLevel="0" collapsed="false">
      <c r="A7" s="4" t="s">
        <v>12</v>
      </c>
      <c r="B7" s="4" t="n">
        <f aca="false">COUNTIF(Voorstel!$C$4:$C$319,A7)</f>
        <v>26</v>
      </c>
      <c r="C7" s="22" t="n">
        <f aca="false">IFERROR(AVERAGEIF(Voorstel!$C$4:$C$319,A7,Voorstel!$D$4:$D$319),0)</f>
        <v>54.7576923076923</v>
      </c>
      <c r="D7" s="22" t="n">
        <f aca="false">IFERROR(AVERAGEIF(Voorstel!$C$4:$C$319,A7,Voorstel!$G$4:$G$319),0)</f>
        <v>49.95</v>
      </c>
      <c r="E7" s="22" t="n">
        <f aca="false">D7-C7</f>
        <v>-4.80769230769231</v>
      </c>
      <c r="F7" s="4" t="n">
        <f aca="false">COUNTIFS(Voorstel!$C$4:$C$319,A7,Voorstel!$J$4:$J$319,"Omhoog")</f>
        <v>0</v>
      </c>
      <c r="G7" s="4" t="n">
        <f aca="false">COUNTIFS(Voorstel!$C$4:$C$319,A7,Voorstel!$J$4:$J$319,"Omlaag")</f>
        <v>25</v>
      </c>
      <c r="H7" s="4" t="n">
        <f aca="false">COUNTIFS(Voorstel!$C$4:$C$319,A7,Voorstel!$J$4:$J$319,"Gelijk")</f>
        <v>1</v>
      </c>
      <c r="I7" s="4" t="n">
        <f aca="false">COUNTIFS(Voorstel!$C$4:$C$319,A7,Voorstel!$K$4:$K$319,"controleren")</f>
        <v>0</v>
      </c>
    </row>
    <row r="8" customFormat="false" ht="15" hidden="false" customHeight="false" outlineLevel="0" collapsed="false">
      <c r="A8" s="4" t="s">
        <v>14</v>
      </c>
      <c r="B8" s="4" t="n">
        <f aca="false">COUNTIF(Voorstel!$C$4:$C$319,A8)</f>
        <v>9</v>
      </c>
      <c r="C8" s="22" t="n">
        <f aca="false">IFERROR(AVERAGEIF(Voorstel!$C$4:$C$319,A8,Voorstel!$D$4:$D$319),0)</f>
        <v>56.6166666666667</v>
      </c>
      <c r="D8" s="22" t="n">
        <f aca="false">IFERROR(AVERAGEIF(Voorstel!$C$4:$C$319,A8,Voorstel!$G$4:$G$319),0)</f>
        <v>54.95</v>
      </c>
      <c r="E8" s="22" t="n">
        <f aca="false">D8-C8</f>
        <v>-1.66666666666666</v>
      </c>
      <c r="F8" s="4" t="n">
        <f aca="false">COUNTIFS(Voorstel!$C$4:$C$319,A8,Voorstel!$J$4:$J$319,"Omhoog")</f>
        <v>1</v>
      </c>
      <c r="G8" s="4" t="n">
        <f aca="false">COUNTIFS(Voorstel!$C$4:$C$319,A8,Voorstel!$J$4:$J$319,"Omlaag")</f>
        <v>5</v>
      </c>
      <c r="H8" s="4" t="n">
        <f aca="false">COUNTIFS(Voorstel!$C$4:$C$319,A8,Voorstel!$J$4:$J$319,"Gelijk")</f>
        <v>3</v>
      </c>
      <c r="I8" s="4" t="n">
        <f aca="false">COUNTIFS(Voorstel!$C$4:$C$319,A8,Voorstel!$K$4:$K$319,"controleren")</f>
        <v>1</v>
      </c>
    </row>
    <row r="9" customFormat="false" ht="15" hidden="false" customHeight="false" outlineLevel="0" collapsed="false">
      <c r="A9" s="4" t="s">
        <v>16</v>
      </c>
      <c r="B9" s="4" t="n">
        <f aca="false">COUNTIF(Voorstel!$C$4:$C$319,A9)</f>
        <v>6</v>
      </c>
      <c r="C9" s="22" t="n">
        <f aca="false">IFERROR(AVERAGEIF(Voorstel!$C$4:$C$319,A9,Voorstel!$D$4:$D$319),0)</f>
        <v>59.95</v>
      </c>
      <c r="D9" s="22" t="n">
        <f aca="false">IFERROR(AVERAGEIF(Voorstel!$C$4:$C$319,A9,Voorstel!$G$4:$G$319),0)</f>
        <v>54.95</v>
      </c>
      <c r="E9" s="22" t="n">
        <f aca="false">D9-C9</f>
        <v>-5</v>
      </c>
      <c r="F9" s="4" t="n">
        <f aca="false">COUNTIFS(Voorstel!$C$4:$C$319,A9,Voorstel!$J$4:$J$319,"Omhoog")</f>
        <v>0</v>
      </c>
      <c r="G9" s="4" t="n">
        <f aca="false">COUNTIFS(Voorstel!$C$4:$C$319,A9,Voorstel!$J$4:$J$319,"Omlaag")</f>
        <v>6</v>
      </c>
      <c r="H9" s="4" t="n">
        <f aca="false">COUNTIFS(Voorstel!$C$4:$C$319,A9,Voorstel!$J$4:$J$319,"Gelijk")</f>
        <v>0</v>
      </c>
      <c r="I9" s="4" t="n">
        <f aca="false">COUNTIFS(Voorstel!$C$4:$C$319,A9,Voorstel!$K$4:$K$319,"controleren")</f>
        <v>0</v>
      </c>
    </row>
    <row r="10" customFormat="false" ht="15" hidden="false" customHeight="false" outlineLevel="0" collapsed="false">
      <c r="A10" s="4" t="s">
        <v>18</v>
      </c>
      <c r="B10" s="4" t="n">
        <f aca="false">COUNTIF(Voorstel!$C$4:$C$319,A10)</f>
        <v>24</v>
      </c>
      <c r="C10" s="22" t="n">
        <f aca="false">IFERROR(AVERAGEIF(Voorstel!$C$4:$C$319,A10,Voorstel!$D$4:$D$319),0)</f>
        <v>62.8666666666667</v>
      </c>
      <c r="D10" s="22" t="n">
        <f aca="false">IFERROR(AVERAGEIF(Voorstel!$C$4:$C$319,A10,Voorstel!$G$4:$G$319),0)</f>
        <v>54.95</v>
      </c>
      <c r="E10" s="22" t="n">
        <f aca="false">D10-C10</f>
        <v>-7.91666666666666</v>
      </c>
      <c r="F10" s="4" t="n">
        <f aca="false">COUNTIFS(Voorstel!$C$4:$C$319,A10,Voorstel!$J$4:$J$319,"Omhoog")</f>
        <v>0</v>
      </c>
      <c r="G10" s="4" t="n">
        <f aca="false">COUNTIFS(Voorstel!$C$4:$C$319,A10,Voorstel!$J$4:$J$319,"Omlaag")</f>
        <v>22</v>
      </c>
      <c r="H10" s="4" t="n">
        <f aca="false">COUNTIFS(Voorstel!$C$4:$C$319,A10,Voorstel!$J$4:$J$319,"Gelijk")</f>
        <v>2</v>
      </c>
      <c r="I10" s="4" t="n">
        <f aca="false">COUNTIFS(Voorstel!$C$4:$C$319,A10,Voorstel!$K$4:$K$319,"controleren")</f>
        <v>0</v>
      </c>
    </row>
    <row r="11" customFormat="false" ht="15" hidden="false" customHeight="false" outlineLevel="0" collapsed="false">
      <c r="A11" s="4" t="s">
        <v>20</v>
      </c>
      <c r="B11" s="4" t="n">
        <f aca="false">COUNTIF(Voorstel!$C$4:$C$319,A11)</f>
        <v>107</v>
      </c>
      <c r="C11" s="22" t="n">
        <f aca="false">IFERROR(AVERAGEIF(Voorstel!$C$4:$C$319,A11,Voorstel!$D$4:$D$319),0)</f>
        <v>68.127570093458</v>
      </c>
      <c r="D11" s="22" t="n">
        <f aca="false">IFERROR(AVERAGEIF(Voorstel!$C$4:$C$319,A11,Voorstel!$G$4:$G$319),0)</f>
        <v>59.95</v>
      </c>
      <c r="E11" s="22" t="n">
        <f aca="false">D11-C11</f>
        <v>-8.17757009345795</v>
      </c>
      <c r="F11" s="4" t="n">
        <f aca="false">COUNTIFS(Voorstel!$C$4:$C$319,A11,Voorstel!$J$4:$J$319,"Omhoog")</f>
        <v>8</v>
      </c>
      <c r="G11" s="4" t="n">
        <f aca="false">COUNTIFS(Voorstel!$C$4:$C$319,A11,Voorstel!$J$4:$J$319,"Omlaag")</f>
        <v>97</v>
      </c>
      <c r="H11" s="4" t="n">
        <f aca="false">COUNTIFS(Voorstel!$C$4:$C$319,A11,Voorstel!$J$4:$J$319,"Gelijk")</f>
        <v>2</v>
      </c>
      <c r="I11" s="4" t="n">
        <f aca="false">COUNTIFS(Voorstel!$C$4:$C$319,A11,Voorstel!$K$4:$K$319,"controleren")</f>
        <v>4</v>
      </c>
    </row>
    <row r="12" customFormat="false" ht="15" hidden="false" customHeight="false" outlineLevel="0" collapsed="false">
      <c r="A12" s="4" t="s">
        <v>22</v>
      </c>
      <c r="B12" s="4" t="n">
        <f aca="false">COUNTIF(Voorstel!$C$4:$C$319,A12)</f>
        <v>15</v>
      </c>
      <c r="C12" s="22" t="n">
        <f aca="false">IFERROR(AVERAGEIF(Voorstel!$C$4:$C$319,A12,Voorstel!$D$4:$D$319),0)</f>
        <v>64.95</v>
      </c>
      <c r="D12" s="22" t="n">
        <f aca="false">IFERROR(AVERAGEIF(Voorstel!$C$4:$C$319,A12,Voorstel!$G$4:$G$319),0)</f>
        <v>59.95</v>
      </c>
      <c r="E12" s="22" t="n">
        <f aca="false">D12-C12</f>
        <v>-5</v>
      </c>
      <c r="F12" s="4" t="n">
        <f aca="false">COUNTIFS(Voorstel!$C$4:$C$319,A12,Voorstel!$J$4:$J$319,"Omhoog")</f>
        <v>0</v>
      </c>
      <c r="G12" s="4" t="n">
        <f aca="false">COUNTIFS(Voorstel!$C$4:$C$319,A12,Voorstel!$J$4:$J$319,"Omlaag")</f>
        <v>15</v>
      </c>
      <c r="H12" s="4" t="n">
        <f aca="false">COUNTIFS(Voorstel!$C$4:$C$319,A12,Voorstel!$J$4:$J$319,"Gelijk")</f>
        <v>0</v>
      </c>
      <c r="I12" s="4" t="n">
        <f aca="false">COUNTIFS(Voorstel!$C$4:$C$319,A12,Voorstel!$K$4:$K$319,"controleren")</f>
        <v>0</v>
      </c>
    </row>
    <row r="13" customFormat="false" ht="15" hidden="false" customHeight="false" outlineLevel="0" collapsed="false">
      <c r="A13" s="4" t="s">
        <v>24</v>
      </c>
      <c r="B13" s="4" t="n">
        <f aca="false">COUNTIF(Voorstel!$C$4:$C$319,A13)</f>
        <v>4</v>
      </c>
      <c r="C13" s="22" t="n">
        <f aca="false">IFERROR(AVERAGEIF(Voorstel!$C$4:$C$319,A13,Voorstel!$D$4:$D$319),0)</f>
        <v>69.95</v>
      </c>
      <c r="D13" s="22" t="n">
        <f aca="false">IFERROR(AVERAGEIF(Voorstel!$C$4:$C$319,A13,Voorstel!$G$4:$G$319),0)</f>
        <v>59.95</v>
      </c>
      <c r="E13" s="22" t="n">
        <f aca="false">D13-C13</f>
        <v>-10</v>
      </c>
      <c r="F13" s="4" t="n">
        <f aca="false">COUNTIFS(Voorstel!$C$4:$C$319,A13,Voorstel!$J$4:$J$319,"Omhoog")</f>
        <v>0</v>
      </c>
      <c r="G13" s="4" t="n">
        <f aca="false">COUNTIFS(Voorstel!$C$4:$C$319,A13,Voorstel!$J$4:$J$319,"Omlaag")</f>
        <v>4</v>
      </c>
      <c r="H13" s="4" t="n">
        <f aca="false">COUNTIFS(Voorstel!$C$4:$C$319,A13,Voorstel!$J$4:$J$319,"Gelijk")</f>
        <v>0</v>
      </c>
      <c r="I13" s="4" t="n">
        <f aca="false">COUNTIFS(Voorstel!$C$4:$C$319,A13,Voorstel!$K$4:$K$319,"controleren")</f>
        <v>0</v>
      </c>
    </row>
    <row r="14" customFormat="false" ht="15" hidden="false" customHeight="false" outlineLevel="0" collapsed="false">
      <c r="A14" s="4" t="s">
        <v>26</v>
      </c>
      <c r="B14" s="4" t="n">
        <f aca="false">COUNTIF(Voorstel!$C$4:$C$319,A14)</f>
        <v>13</v>
      </c>
      <c r="C14" s="22" t="n">
        <f aca="false">IFERROR(AVERAGEIF(Voorstel!$C$4:$C$319,A14,Voorstel!$D$4:$D$319),0)</f>
        <v>78.4115384615385</v>
      </c>
      <c r="D14" s="22" t="n">
        <f aca="false">IFERROR(AVERAGEIF(Voorstel!$C$4:$C$319,A14,Voorstel!$G$4:$G$319),0)</f>
        <v>69.95</v>
      </c>
      <c r="E14" s="22" t="n">
        <f aca="false">D14-C14</f>
        <v>-8.46153846153847</v>
      </c>
      <c r="F14" s="4" t="n">
        <f aca="false">COUNTIFS(Voorstel!$C$4:$C$319,A14,Voorstel!$J$4:$J$319,"Omhoog")</f>
        <v>1</v>
      </c>
      <c r="G14" s="4" t="n">
        <f aca="false">COUNTIFS(Voorstel!$C$4:$C$319,A14,Voorstel!$J$4:$J$319,"Omlaag")</f>
        <v>12</v>
      </c>
      <c r="H14" s="4" t="n">
        <f aca="false">COUNTIFS(Voorstel!$C$4:$C$319,A14,Voorstel!$J$4:$J$319,"Gelijk")</f>
        <v>0</v>
      </c>
      <c r="I14" s="4" t="n">
        <f aca="false">COUNTIFS(Voorstel!$C$4:$C$319,A14,Voorstel!$K$4:$K$319,"controleren")</f>
        <v>0</v>
      </c>
    </row>
    <row r="15" customFormat="false" ht="15" hidden="false" customHeight="false" outlineLevel="0" collapsed="false">
      <c r="A15" s="4" t="s">
        <v>28</v>
      </c>
      <c r="B15" s="4" t="n">
        <f aca="false">COUNTIF(Voorstel!$C$4:$C$319,A15)</f>
        <v>8</v>
      </c>
      <c r="C15" s="22" t="n">
        <f aca="false">IFERROR(AVERAGEIF(Voorstel!$C$4:$C$319,A15,Voorstel!$D$4:$D$319),0)</f>
        <v>86.825</v>
      </c>
      <c r="D15" s="22" t="n">
        <f aca="false">IFERROR(AVERAGEIF(Voorstel!$C$4:$C$319,A15,Voorstel!$G$4:$G$319),0)</f>
        <v>74.95</v>
      </c>
      <c r="E15" s="22" t="n">
        <f aca="false">D15-C15</f>
        <v>-11.875</v>
      </c>
      <c r="F15" s="4" t="n">
        <f aca="false">COUNTIFS(Voorstel!$C$4:$C$319,A15,Voorstel!$J$4:$J$319,"Omhoog")</f>
        <v>1</v>
      </c>
      <c r="G15" s="4" t="n">
        <f aca="false">COUNTIFS(Voorstel!$C$4:$C$319,A15,Voorstel!$J$4:$J$319,"Omlaag")</f>
        <v>7</v>
      </c>
      <c r="H15" s="4" t="n">
        <f aca="false">COUNTIFS(Voorstel!$C$4:$C$319,A15,Voorstel!$J$4:$J$319,"Gelijk")</f>
        <v>0</v>
      </c>
      <c r="I15" s="4" t="n">
        <f aca="false">COUNTIFS(Voorstel!$C$4:$C$319,A15,Voorstel!$K$4:$K$319,"controleren")</f>
        <v>0</v>
      </c>
    </row>
    <row r="16" customFormat="false" ht="15" hidden="false" customHeight="false" outlineLevel="0" collapsed="false">
      <c r="A16" s="8" t="s">
        <v>697</v>
      </c>
      <c r="B16" s="8" t="n">
        <f aca="false">SUM(B4:B15)</f>
        <v>316</v>
      </c>
      <c r="C16" s="23" t="n">
        <f aca="false">IFERROR(AVERAGE(Voorstel!$D$4:$D$319),0)</f>
        <v>59.823417721519</v>
      </c>
      <c r="D16" s="23" t="n">
        <f aca="false">IFERROR(AVERAGE(Voorstel!$G$4:$G$319),0)</f>
        <v>54.3645569620253</v>
      </c>
      <c r="E16" s="23" t="n">
        <f aca="false">D16-C16</f>
        <v>-5.45886075949368</v>
      </c>
      <c r="F16" s="8" t="n">
        <f aca="false">SUM(F4:F15)</f>
        <v>21</v>
      </c>
      <c r="G16" s="8" t="n">
        <f aca="false">SUM(G4:G15)</f>
        <v>213</v>
      </c>
      <c r="H16" s="8" t="n">
        <f aca="false">SUM(H4:H15)</f>
        <v>82</v>
      </c>
      <c r="I16" s="8" t="n">
        <f aca="false">SUM(I4:I15)</f>
        <v>20</v>
      </c>
    </row>
    <row r="18" customFormat="false" ht="15" hidden="false" customHeight="false" outlineLevel="0" collapsed="false">
      <c r="A18" s="4" t="s">
        <v>698</v>
      </c>
      <c r="B18" s="22" t="n">
        <f aca="false">MIN(Voorstel!$D$4:$D$319)</f>
        <v>34.95</v>
      </c>
    </row>
    <row r="19" customFormat="false" ht="15" hidden="false" customHeight="false" outlineLevel="0" collapsed="false">
      <c r="A19" s="4" t="s">
        <v>699</v>
      </c>
      <c r="B19" s="22" t="n">
        <f aca="false">MAX(Voorstel!$D$4:$D$319)</f>
        <v>89.95</v>
      </c>
    </row>
    <row r="20" customFormat="false" ht="15" hidden="false" customHeight="false" outlineLevel="0" collapsed="false">
      <c r="A20" s="4" t="s">
        <v>700</v>
      </c>
      <c r="B20" s="22" t="n">
        <f aca="false">MIN(Voorstel!$G$4:$G$319)</f>
        <v>44.95</v>
      </c>
    </row>
    <row r="21" customFormat="false" ht="15" hidden="false" customHeight="false" outlineLevel="0" collapsed="false">
      <c r="A21" s="4" t="s">
        <v>701</v>
      </c>
      <c r="B21" s="22" t="n">
        <f aca="false">MAX(Voorstel!$G$4:$G$319)</f>
        <v>74.95</v>
      </c>
    </row>
    <row r="22" customFormat="false" ht="15" hidden="false" customHeight="false" outlineLevel="0" collapsed="false">
      <c r="A22" s="4" t="s">
        <v>702</v>
      </c>
      <c r="B22" s="24" t="n">
        <f aca="false">D16*Tiers!$B$19</f>
        <v>33.7549534177215</v>
      </c>
    </row>
    <row r="23" customFormat="false" ht="15" hidden="false" customHeight="false" outlineLevel="0" collapsed="false">
      <c r="A23" s="4" t="s">
        <v>703</v>
      </c>
      <c r="B23" s="25" t="n">
        <f aca="false">IFERROR(AVERAGE(Voorstel!$N$4:$N$319),0)</f>
        <v>0.447469540228865</v>
      </c>
    </row>
    <row r="24" customFormat="false" ht="15" hidden="false" customHeight="false" outlineLevel="0" collapsed="false">
      <c r="A24" s="4" t="s">
        <v>704</v>
      </c>
      <c r="B24" s="25" t="n">
        <f aca="false">IFERROR(AVERAGE(Voorstel!$Q$4:$Q$319),0)</f>
        <v>0.448117667805787</v>
      </c>
    </row>
    <row r="26" customFormat="false" ht="15" hidden="false" customHeight="false" outlineLevel="0" collapsed="false">
      <c r="A26" s="8" t="s">
        <v>705</v>
      </c>
    </row>
    <row r="27" customFormat="false" ht="15" hidden="false" customHeight="false" outlineLevel="0" collapsed="false">
      <c r="A27" s="12" t="s">
        <v>706</v>
      </c>
    </row>
    <row r="28" customFormat="false" ht="15" hidden="false" customHeight="false" outlineLevel="0" collapsed="false">
      <c r="A28" s="12" t="s">
        <v>707</v>
      </c>
    </row>
    <row r="29" customFormat="false" ht="15" hidden="false" customHeight="false" outlineLevel="0" collapsed="false">
      <c r="A29" s="12" t="s">
        <v>708</v>
      </c>
    </row>
    <row r="30" customFormat="false" ht="15" hidden="false" customHeight="false" outlineLevel="0" collapsed="false">
      <c r="A30" s="12" t="s">
        <v>709</v>
      </c>
    </row>
    <row r="31" customFormat="false" ht="15" hidden="false" customHeight="false" outlineLevel="0" collapsed="false">
      <c r="A31" s="12" t="s">
        <v>710</v>
      </c>
    </row>
    <row r="32" customFormat="false" ht="15" hidden="false" customHeight="false" outlineLevel="0" collapsed="false">
      <c r="A32" s="12" t="s">
        <v>711</v>
      </c>
    </row>
    <row r="33" customFormat="false" ht="15" hidden="false" customHeight="false" outlineLevel="0" collapsed="false">
      <c r="A33" s="12" t="s">
        <v>712</v>
      </c>
    </row>
    <row r="34" customFormat="false" ht="15" hidden="false" customHeight="false" outlineLevel="0" collapsed="false">
      <c r="A34" s="12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714</v>
      </c>
    </row>
    <row r="2" customFormat="false" ht="15" hidden="false" customHeight="false" outlineLevel="0" collapsed="false">
      <c r="A2" s="2" t="s">
        <v>715</v>
      </c>
    </row>
    <row r="4" customFormat="false" ht="15" hidden="false" customHeight="false" outlineLevel="0" collapsed="false">
      <c r="A4" s="4" t="s">
        <v>716</v>
      </c>
      <c r="B4" s="11" t="n">
        <v>0.3</v>
      </c>
    </row>
    <row r="5" customFormat="false" ht="15" hidden="false" customHeight="false" outlineLevel="0" collapsed="false">
      <c r="A5" s="4" t="s">
        <v>717</v>
      </c>
      <c r="B5" s="26" t="n">
        <v>2.2</v>
      </c>
    </row>
    <row r="6" customFormat="false" ht="15" hidden="false" customHeight="false" outlineLevel="0" collapsed="false">
      <c r="A6" s="4" t="s">
        <v>718</v>
      </c>
      <c r="B6" s="11" t="n">
        <v>0.03</v>
      </c>
    </row>
    <row r="7" customFormat="false" ht="15" hidden="false" customHeight="false" outlineLevel="0" collapsed="false">
      <c r="A7" s="4" t="s">
        <v>719</v>
      </c>
      <c r="B7" s="11" t="n">
        <v>0.04</v>
      </c>
    </row>
    <row r="9" customFormat="false" ht="15" hidden="false" customHeight="false" outlineLevel="0" collapsed="false">
      <c r="A9" s="4" t="s">
        <v>720</v>
      </c>
      <c r="B9" s="25" t="n">
        <f aca="false">IFERROR(1/B5,0)</f>
        <v>0.454545454545455</v>
      </c>
    </row>
    <row r="10" customFormat="false" ht="15" hidden="false" customHeight="false" outlineLevel="0" collapsed="false">
      <c r="A10" s="8" t="s">
        <v>721</v>
      </c>
      <c r="B10" s="27" t="n">
        <f aca="false">1-B4-B9-B6-B7</f>
        <v>0.175454545454545</v>
      </c>
    </row>
    <row r="12" customFormat="false" ht="15" hidden="false" customHeight="false" outlineLevel="0" collapsed="false">
      <c r="A12" s="8" t="s">
        <v>722</v>
      </c>
    </row>
    <row r="13" customFormat="false" ht="26.85" hidden="false" customHeight="false" outlineLevel="0" collapsed="false">
      <c r="A13" s="13" t="s">
        <v>723</v>
      </c>
      <c r="B13" s="13" t="s">
        <v>4</v>
      </c>
      <c r="C13" s="13" t="s">
        <v>724</v>
      </c>
      <c r="D13" s="13" t="s">
        <v>725</v>
      </c>
      <c r="E13" s="13" t="s">
        <v>726</v>
      </c>
      <c r="F13" s="13" t="s">
        <v>727</v>
      </c>
      <c r="G13" s="13" t="s">
        <v>728</v>
      </c>
      <c r="H13" s="13" t="s">
        <v>729</v>
      </c>
    </row>
    <row r="14" customFormat="false" ht="15" hidden="false" customHeight="false" outlineLevel="0" collapsed="false">
      <c r="A14" s="22" t="n">
        <v>39.95</v>
      </c>
      <c r="B14" s="24" t="n">
        <f aca="false">A14*Tiers!$B$19</f>
        <v>24.804955</v>
      </c>
      <c r="C14" s="22" t="n">
        <f aca="false">A14*$B$4</f>
        <v>11.985</v>
      </c>
      <c r="D14" s="22" t="n">
        <f aca="false">A14*$B$9</f>
        <v>18.1590909090909</v>
      </c>
      <c r="E14" s="22" t="n">
        <f aca="false">A14*$B$6</f>
        <v>1.1985</v>
      </c>
      <c r="F14" s="22" t="n">
        <f aca="false">A14*$B$7</f>
        <v>1.598</v>
      </c>
      <c r="G14" s="23" t="n">
        <f aca="false">A14-C14-D14-E14-F14</f>
        <v>7.00940909090909</v>
      </c>
      <c r="H14" s="25" t="n">
        <f aca="false">IFERROR(G14/A14,0)</f>
        <v>0.175454545454546</v>
      </c>
    </row>
    <row r="15" customFormat="false" ht="15" hidden="false" customHeight="false" outlineLevel="0" collapsed="false">
      <c r="A15" s="22" t="n">
        <v>44.95</v>
      </c>
      <c r="B15" s="24" t="n">
        <f aca="false">A15*Tiers!$B$19</f>
        <v>27.909455</v>
      </c>
      <c r="C15" s="22" t="n">
        <f aca="false">A15*$B$4</f>
        <v>13.485</v>
      </c>
      <c r="D15" s="22" t="n">
        <f aca="false">A15*$B$9</f>
        <v>20.4318181818182</v>
      </c>
      <c r="E15" s="22" t="n">
        <f aca="false">A15*$B$6</f>
        <v>1.3485</v>
      </c>
      <c r="F15" s="22" t="n">
        <f aca="false">A15*$B$7</f>
        <v>1.798</v>
      </c>
      <c r="G15" s="23" t="n">
        <f aca="false">A15-C15-D15-E15-F15</f>
        <v>7.88668181818182</v>
      </c>
      <c r="H15" s="25" t="n">
        <f aca="false">IFERROR(G15/A15,0)</f>
        <v>0.175454545454546</v>
      </c>
    </row>
    <row r="16" customFormat="false" ht="15" hidden="false" customHeight="false" outlineLevel="0" collapsed="false">
      <c r="A16" s="22" t="n">
        <v>49.95</v>
      </c>
      <c r="B16" s="24" t="n">
        <f aca="false">A16*Tiers!$B$19</f>
        <v>31.013955</v>
      </c>
      <c r="C16" s="22" t="n">
        <f aca="false">A16*$B$4</f>
        <v>14.985</v>
      </c>
      <c r="D16" s="22" t="n">
        <f aca="false">A16*$B$9</f>
        <v>22.7045454545455</v>
      </c>
      <c r="E16" s="22" t="n">
        <f aca="false">A16*$B$6</f>
        <v>1.4985</v>
      </c>
      <c r="F16" s="22" t="n">
        <f aca="false">A16*$B$7</f>
        <v>1.998</v>
      </c>
      <c r="G16" s="23" t="n">
        <f aca="false">A16-C16-D16-E16-F16</f>
        <v>8.76395454545455</v>
      </c>
      <c r="H16" s="25" t="n">
        <f aca="false">IFERROR(G16/A16,0)</f>
        <v>0.175454545454545</v>
      </c>
    </row>
    <row r="17" customFormat="false" ht="15" hidden="false" customHeight="false" outlineLevel="0" collapsed="false">
      <c r="A17" s="22" t="n">
        <v>54.95</v>
      </c>
      <c r="B17" s="24" t="n">
        <f aca="false">A17*Tiers!$B$19</f>
        <v>34.118455</v>
      </c>
      <c r="C17" s="22" t="n">
        <f aca="false">A17*$B$4</f>
        <v>16.485</v>
      </c>
      <c r="D17" s="22" t="n">
        <f aca="false">A17*$B$9</f>
        <v>24.9772727272727</v>
      </c>
      <c r="E17" s="22" t="n">
        <f aca="false">A17*$B$6</f>
        <v>1.6485</v>
      </c>
      <c r="F17" s="22" t="n">
        <f aca="false">A17*$B$7</f>
        <v>2.198</v>
      </c>
      <c r="G17" s="23" t="n">
        <f aca="false">A17-C17-D17-E17-F17</f>
        <v>9.64122727272728</v>
      </c>
      <c r="H17" s="25" t="n">
        <f aca="false">IFERROR(G17/A17,0)</f>
        <v>0.175454545454546</v>
      </c>
    </row>
    <row r="18" customFormat="false" ht="15" hidden="false" customHeight="false" outlineLevel="0" collapsed="false">
      <c r="A18" s="22" t="n">
        <v>59.95</v>
      </c>
      <c r="B18" s="24" t="n">
        <f aca="false">A18*Tiers!$B$19</f>
        <v>37.222955</v>
      </c>
      <c r="C18" s="22" t="n">
        <f aca="false">A18*$B$4</f>
        <v>17.985</v>
      </c>
      <c r="D18" s="22" t="n">
        <f aca="false">A18*$B$9</f>
        <v>27.25</v>
      </c>
      <c r="E18" s="22" t="n">
        <f aca="false">A18*$B$6</f>
        <v>1.7985</v>
      </c>
      <c r="F18" s="22" t="n">
        <f aca="false">A18*$B$7</f>
        <v>2.398</v>
      </c>
      <c r="G18" s="23" t="n">
        <f aca="false">A18-C18-D18-E18-F18</f>
        <v>10.5185</v>
      </c>
      <c r="H18" s="25" t="n">
        <f aca="false">IFERROR(G18/A18,0)</f>
        <v>0.175454545454546</v>
      </c>
    </row>
    <row r="19" customFormat="false" ht="15" hidden="false" customHeight="false" outlineLevel="0" collapsed="false">
      <c r="A19" s="22" t="n">
        <v>64.95</v>
      </c>
      <c r="B19" s="24" t="n">
        <f aca="false">A19*Tiers!$B$19</f>
        <v>40.327455</v>
      </c>
      <c r="C19" s="22" t="n">
        <f aca="false">A19*$B$4</f>
        <v>19.485</v>
      </c>
      <c r="D19" s="22" t="n">
        <f aca="false">A19*$B$9</f>
        <v>29.5227272727273</v>
      </c>
      <c r="E19" s="22" t="n">
        <f aca="false">A19*$B$6</f>
        <v>1.9485</v>
      </c>
      <c r="F19" s="22" t="n">
        <f aca="false">A19*$B$7</f>
        <v>2.598</v>
      </c>
      <c r="G19" s="23" t="n">
        <f aca="false">A19-C19-D19-E19-F19</f>
        <v>11.3957727272727</v>
      </c>
      <c r="H19" s="25" t="n">
        <f aca="false">IFERROR(G19/A19,0)</f>
        <v>0.175454545454546</v>
      </c>
    </row>
    <row r="20" customFormat="false" ht="15" hidden="false" customHeight="false" outlineLevel="0" collapsed="false">
      <c r="A20" s="22" t="n">
        <v>69.95</v>
      </c>
      <c r="B20" s="24" t="n">
        <f aca="false">A20*Tiers!$B$19</f>
        <v>43.431955</v>
      </c>
      <c r="C20" s="22" t="n">
        <f aca="false">A20*$B$4</f>
        <v>20.985</v>
      </c>
      <c r="D20" s="22" t="n">
        <f aca="false">A20*$B$9</f>
        <v>31.7954545454545</v>
      </c>
      <c r="E20" s="22" t="n">
        <f aca="false">A20*$B$6</f>
        <v>2.0985</v>
      </c>
      <c r="F20" s="22" t="n">
        <f aca="false">A20*$B$7</f>
        <v>2.798</v>
      </c>
      <c r="G20" s="23" t="n">
        <f aca="false">A20-C20-D20-E20-F20</f>
        <v>12.2730454545455</v>
      </c>
      <c r="H20" s="25" t="n">
        <f aca="false">IFERROR(G20/A20,0)</f>
        <v>0.175454545454545</v>
      </c>
    </row>
    <row r="21" customFormat="false" ht="15" hidden="false" customHeight="false" outlineLevel="0" collapsed="false">
      <c r="A21" s="22" t="n">
        <v>74.95</v>
      </c>
      <c r="B21" s="24" t="n">
        <f aca="false">A21*Tiers!$B$19</f>
        <v>46.536455</v>
      </c>
      <c r="C21" s="22" t="n">
        <f aca="false">A21*$B$4</f>
        <v>22.485</v>
      </c>
      <c r="D21" s="22" t="n">
        <f aca="false">A21*$B$9</f>
        <v>34.0681818181818</v>
      </c>
      <c r="E21" s="22" t="n">
        <f aca="false">A21*$B$6</f>
        <v>2.2485</v>
      </c>
      <c r="F21" s="22" t="n">
        <f aca="false">A21*$B$7</f>
        <v>2.998</v>
      </c>
      <c r="G21" s="23" t="n">
        <f aca="false">A21-C21-D21-E21-F21</f>
        <v>13.1503181818182</v>
      </c>
      <c r="H21" s="25" t="n">
        <f aca="false">IFERROR(G21/A21,0)</f>
        <v>0.175454545454545</v>
      </c>
    </row>
    <row r="22" customFormat="false" ht="15" hidden="false" customHeight="false" outlineLevel="0" collapsed="false">
      <c r="A22" s="22" t="n">
        <v>79.95</v>
      </c>
      <c r="B22" s="24" t="n">
        <f aca="false">A22*Tiers!$B$19</f>
        <v>49.640955</v>
      </c>
      <c r="C22" s="22" t="n">
        <f aca="false">A22*$B$4</f>
        <v>23.985</v>
      </c>
      <c r="D22" s="22" t="n">
        <f aca="false">A22*$B$9</f>
        <v>36.3409090909091</v>
      </c>
      <c r="E22" s="22" t="n">
        <f aca="false">A22*$B$6</f>
        <v>2.3985</v>
      </c>
      <c r="F22" s="22" t="n">
        <f aca="false">A22*$B$7</f>
        <v>3.198</v>
      </c>
      <c r="G22" s="23" t="n">
        <f aca="false">A22-C22-D22-E22-F22</f>
        <v>14.0275909090909</v>
      </c>
      <c r="H22" s="25" t="n">
        <f aca="false">IFERROR(G22/A22,0)</f>
        <v>0.175454545454545</v>
      </c>
    </row>
    <row r="24" customFormat="false" ht="15" hidden="false" customHeight="false" outlineLevel="0" collapsed="false">
      <c r="A24" s="8" t="s">
        <v>730</v>
      </c>
    </row>
    <row r="25" customFormat="false" ht="15" hidden="false" customHeight="false" outlineLevel="0" collapsed="false">
      <c r="A25" s="12" t="s">
        <v>731</v>
      </c>
    </row>
    <row r="26" customFormat="false" ht="15" hidden="false" customHeight="false" outlineLevel="0" collapsed="false">
      <c r="A26" s="12" t="s">
        <v>732</v>
      </c>
    </row>
    <row r="27" customFormat="false" ht="15" hidden="false" customHeight="false" outlineLevel="0" collapsed="false">
      <c r="A27" s="12" t="s">
        <v>733</v>
      </c>
    </row>
    <row r="28" customFormat="false" ht="15" hidden="false" customHeight="false" outlineLevel="0" collapsed="false">
      <c r="A28" s="12" t="s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2026-09-20T15:14:03Z</dcterms:created>
  <dc:creator>openpyxl</dc:creator>
  <dc:description/>
  <dc:language>en-US</dc:language>
  <cp:lastModifiedBy/>
  <dcterms:modified xsi:type="dcterms:W3CDTF">2026-09-20T15:14:03Z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