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 categorie" sheetId="1" state="visible" r:id="rId3"/>
    <sheet name="Per product" sheetId="2" state="visible" r:id="rId4"/>
  </sheets>
  <definedNames>
    <definedName function="false" hidden="true" localSheetId="1" name="_xlnm._FilterDatabase" vbProcedure="false">'Per product'!$A$1:$K$463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<sst xmlns="http://schemas.openxmlformats.org/spreadsheetml/2006/main" count="1438" uniqueCount="969">
  <si>
    <t xml:space="preserve">Lady Glam Boutique — prijsvoorstel per categorie (AUD)</t>
  </si>
  <si>
    <t xml:space="preserve">Bron: products export 23-10-2026 · 462 actieve producten · één prijs per product (alle varianten gelijk)</t>
  </si>
  <si>
    <t xml:space="preserve">Categorie</t>
  </si>
  <si>
    <t xml:space="preserve">Producten</t>
  </si>
  <si>
    <t xml:space="preserve">Huidig gem.</t>
  </si>
  <si>
    <t xml:space="preserve">Nieuw gem.</t>
  </si>
  <si>
    <t xml:space="preserve">Verschil %</t>
  </si>
  <si>
    <t xml:space="preserve">Nieuw laagste</t>
  </si>
  <si>
    <t xml:space="preserve">Nieuw hoogste</t>
  </si>
  <si>
    <t xml:space="preserve">Huidig laagste</t>
  </si>
  <si>
    <t xml:space="preserve">Huidig hoogste</t>
  </si>
  <si>
    <t xml:space="preserve">Tops &amp; Blouses</t>
  </si>
  <si>
    <t xml:space="preserve">Shorts</t>
  </si>
  <si>
    <t xml:space="preserve">Swimwear &amp; Beachwear</t>
  </si>
  <si>
    <t xml:space="preserve">Sandals &amp; Slides</t>
  </si>
  <si>
    <t xml:space="preserve">Skirts</t>
  </si>
  <si>
    <t xml:space="preserve">Flats &amp; Loafers</t>
  </si>
  <si>
    <t xml:space="preserve">Trousers &amp; Pants</t>
  </si>
  <si>
    <t xml:space="preserve">Casual Dresses</t>
  </si>
  <si>
    <t xml:space="preserve">Jeans</t>
  </si>
  <si>
    <t xml:space="preserve">Formal &amp; Occasion Dresses</t>
  </si>
  <si>
    <t xml:space="preserve">Heels</t>
  </si>
  <si>
    <t xml:space="preserve">Jumpsuits &amp; Playsuits</t>
  </si>
  <si>
    <t xml:space="preserve">Sets &amp; Co-ords</t>
  </si>
  <si>
    <t xml:space="preserve">Wedding Guest &amp; Bridesmaid Dresses</t>
  </si>
  <si>
    <t xml:space="preserve">Sneakers</t>
  </si>
  <si>
    <t xml:space="preserve">Jackets &amp; Blazers</t>
  </si>
  <si>
    <t xml:space="preserve">Boots</t>
  </si>
  <si>
    <t xml:space="preserve">Hele store</t>
  </si>
  <si>
    <t xml:space="preserve">Regels voorstel:</t>
  </si>
  <si>
    <t xml:space="preserve">• Per categorie een nieuwe prijsband; binnen de band houdt elk product zijn plek (het duurste blijft het duurste). Afgerond op x4,95 / x9,95. Nooit omhoog.</t>
  </si>
  <si>
    <t xml:space="preserve">• Bestsellers 17–22 okt blijven op hun prijs: de 4 Capri Pants, Cocktail Dress Mini Fringe Feather (69,95) en Bandage Dress Maxi (99,95).</t>
  </si>
  <si>
    <t xml:space="preserve">• Compare-at: elk product houdt zijn eigen kortingspercentage (40/45/50%), opnieuw berekend en naar boven afgerond op hele dollars min 0,05 (ook de rare centen zoals 118,09 / 166,58 verdwijnen).</t>
  </si>
  <si>
    <t xml:space="preserve">• Nieuwe prijzen zijn blauw in 'Per product' — aanpassen kan daar, deze tab rekent mee.</t>
  </si>
  <si>
    <t xml:space="preserve">• Let op: 199 producten komen onder de oude LGB-bodem van A$64,95 (tops, shorts, swimwear, sandalen, rokken, casual dresses).</t>
  </si>
  <si>
    <t xml:space="preserve">Titel</t>
  </si>
  <si>
    <t xml:space="preserve">Handle</t>
  </si>
  <si>
    <t xml:space="preserve">Huidige prijs</t>
  </si>
  <si>
    <t xml:space="preserve">Huidige compare-at</t>
  </si>
  <si>
    <t xml:space="preserve">Nieuwe prijs</t>
  </si>
  <si>
    <t xml:space="preserve">Nieuwe compare-at</t>
  </si>
  <si>
    <t xml:space="preserve">Korting %</t>
  </si>
  <si>
    <t xml:space="preserve">Verschil (A$)</t>
  </si>
  <si>
    <t xml:space="preserve">Opmerking</t>
  </si>
  <si>
    <t xml:space="preserve">Women's Cowboy Boots | Cow Print Pointed Toe Block Heel</t>
  </si>
  <si>
    <t xml:space="preserve">womens-cowboy-boots-cow-print-pointed-toe-block-heel</t>
  </si>
  <si>
    <t xml:space="preserve">Women's Platform Boots | Mid-Calf Square Heel Suede</t>
  </si>
  <si>
    <t xml:space="preserve">womens-platform-boots-mid-calf-square-heel-suede</t>
  </si>
  <si>
    <t xml:space="preserve">Women's Slouch Boots | Mid-Calf Suede Buckle Detail Zipper</t>
  </si>
  <si>
    <t xml:space="preserve">womens-slouch-boots-mid-calf-suede-buckle-detail-zipper</t>
  </si>
  <si>
    <t xml:space="preserve">Women's Cowboy Boots | Pointed Toe Leopard Print Block Heel</t>
  </si>
  <si>
    <t xml:space="preserve">womens-cowboy-boots-pointed-toe-leopard-print-block-heel</t>
  </si>
  <si>
    <t xml:space="preserve">Women's Cowboy Boots | Round Toe Chunky Heel Leather Embroidered</t>
  </si>
  <si>
    <t xml:space="preserve">womens-cowboy-boots-round-toe-chunky-heel-leather-embroidered</t>
  </si>
  <si>
    <t xml:space="preserve">Women's Platform Boots | Fur Cuff Suede Slip-On</t>
  </si>
  <si>
    <t xml:space="preserve">womens-platform-boots-fur-cuff-suede-slip-on</t>
  </si>
  <si>
    <t xml:space="preserve">Women's Slouch Boots | Knee High Block Heel Buckle</t>
  </si>
  <si>
    <t xml:space="preserve">womens-slouch-boots-knee-high-block-heel-buckle</t>
  </si>
  <si>
    <t xml:space="preserve">Women's Slouch Boots | Knee High Rounded Toe Low Heel</t>
  </si>
  <si>
    <t xml:space="preserve">womens-slouch-boots-knee-high-rounded-toe-low-heel</t>
  </si>
  <si>
    <t xml:space="preserve">Women's Babydoll Dress | V-Neck Elbow Sleeve Midi Pockets</t>
  </si>
  <si>
    <t xml:space="preserve">womens-babydoll-dress-v-neck-elbow-sleeve-midi-pockets</t>
  </si>
  <si>
    <t xml:space="preserve">Women's Beach Dress | V Neckline Wrap Tie Botanical Print</t>
  </si>
  <si>
    <t xml:space="preserve">womens-beach-dress-v-neckline-wrap-tie-botanical-print</t>
  </si>
  <si>
    <t xml:space="preserve">Women's Boho Dress | V-Neck Puff Sleeve Midi Pockets</t>
  </si>
  <si>
    <t xml:space="preserve">womens-boho-dress-v-neck-puff-sleeve-midi-pockets</t>
  </si>
  <si>
    <t xml:space="preserve">Women's Chiffon Dress | Maxi Length V-Neck Wrap Tiered Ruffles</t>
  </si>
  <si>
    <t xml:space="preserve">womens-chiffon-dress-maxi-length-v-neck-wrap-tiered-ruffles</t>
  </si>
  <si>
    <t xml:space="preserve">Women's Cotton Dress | Draped Neckline Sleeveless Shift</t>
  </si>
  <si>
    <t xml:space="preserve">womens-cotton-dress-draped-neckline-sleeveless-shift</t>
  </si>
  <si>
    <t xml:space="preserve">Women's Cotton Maxi Dress | V-Neck Sleeveless Ruffled Hem</t>
  </si>
  <si>
    <t xml:space="preserve">womens-cotton-maxi-dress-v-neck-sleeveless-ruffled-hem</t>
  </si>
  <si>
    <t xml:space="preserve">Women's Denim Dress | Maxi Length Patchwork Print Relaxed Fit</t>
  </si>
  <si>
    <t xml:space="preserve">womens-denim-dress-maxi-length-patchwork-print-relaxed-fit</t>
  </si>
  <si>
    <t xml:space="preserve">Women's Denim Dress | Midi Length Collared Short Sleeve Button Closure Denim</t>
  </si>
  <si>
    <t xml:space="preserve">womens-denim-dress-midi-length-collared-short-sleeve-button-closure-denim</t>
  </si>
  <si>
    <t xml:space="preserve">Women's Denim Dress | Midi Length Collared Short Sleeve Button Front</t>
  </si>
  <si>
    <t xml:space="preserve">womens-denim-dress-midi-length-collared-short-sleeve-button-front</t>
  </si>
  <si>
    <t xml:space="preserve">Women's Floral Dress | Midi Length Wrap Closure Flutter Sleeve</t>
  </si>
  <si>
    <t xml:space="preserve">womens-floral-dress-midi-length-wrap-closure-flutter-sleeve</t>
  </si>
  <si>
    <t xml:space="preserve">Women's Floral Midi Dress | Midi Length Round Neck Half Sleeve</t>
  </si>
  <si>
    <t xml:space="preserve">womens-floral-midi-dress-midi-length-round-neck-half-sleeve</t>
  </si>
  <si>
    <t xml:space="preserve">Women's Floral Midi Dress | Round Neckline Sleeveless A-Line</t>
  </si>
  <si>
    <t xml:space="preserve">womens-floral-midi-dress-round-neckline-sleeveless-a-line</t>
  </si>
  <si>
    <t xml:space="preserve">Women's Halterneck Dress | Maxi Irregular Ruffle V-Collar Sleeveless</t>
  </si>
  <si>
    <t xml:space="preserve">womens-halterneck-dress-maxi-irregular-ruffle-v-collar-sleeveless</t>
  </si>
  <si>
    <t xml:space="preserve">Women's Halterneck Dress | Maxi Length Sleeveless Linen Tie Closure</t>
  </si>
  <si>
    <t xml:space="preserve">womens-halterneck-dress-maxi-length-sleeveless-linen-tie-closure</t>
  </si>
  <si>
    <t xml:space="preserve">Women's Leopard Print Dress | Maxi V-Neck Long Sleeve Loose</t>
  </si>
  <si>
    <t xml:space="preserve">womens-leopard-print-dress-maxi-v-neck-long-sleeve-loose</t>
  </si>
  <si>
    <t xml:space="preserve">Women's Leopard Print Dress | Sleeveless Midi Patchwork Mixed Animal Print</t>
  </si>
  <si>
    <t xml:space="preserve">womens-leopard-print-dress-sleeveless-midi-patchwork-mixed-animal-print</t>
  </si>
  <si>
    <t xml:space="preserve">Women's Linen Dress | High Neckline Sleeveless Maxi A-Line</t>
  </si>
  <si>
    <t xml:space="preserve">womens-linen-dress-high-neckline-sleeveless-maxi-a-line</t>
  </si>
  <si>
    <t xml:space="preserve">Women's Linen Dress | V-Neck Sleeveless Gingham Midi</t>
  </si>
  <si>
    <t xml:space="preserve">womens-linen-dress-v-neck-sleeveless-gingham-midi</t>
  </si>
  <si>
    <t xml:space="preserve">Women's Linen Midi Dress | Ruffle Collar Cap Sleeve V-Neck</t>
  </si>
  <si>
    <t xml:space="preserve">womens-linen-midi-dress-ruffle-collar-cap-sleeve-v-neck</t>
  </si>
  <si>
    <t xml:space="preserve">Women's Long Dress | Relaxed Silhouette Batwing Sleeve Linen</t>
  </si>
  <si>
    <t xml:space="preserve">womens-long-dress-relaxed-silhouette-batwing-sleeve-linen</t>
  </si>
  <si>
    <t xml:space="preserve">Women's Maxi Dress | One-Shoulder Asymmetric Abstract Print Maxi</t>
  </si>
  <si>
    <t xml:space="preserve">womens-maxi-dress-one-shoulder-asymmetric-abstract-print-maxi</t>
  </si>
  <si>
    <t xml:space="preserve">Women's Midi Dress | Round Neck Short Sleeve Relaxed</t>
  </si>
  <si>
    <t xml:space="preserve">womens-midi-dress-round-neck-short-sleeve-relaxed</t>
  </si>
  <si>
    <t xml:space="preserve">Women's Midi Dress | V-Neck Short Sleeve Botanical Print</t>
  </si>
  <si>
    <t xml:space="preserve">womens-midi-dress-v-neck-short-sleeve-botanical-print</t>
  </si>
  <si>
    <t xml:space="preserve">Women's Mini Dress | V-Neck Puff Sleeve Lace Tassel</t>
  </si>
  <si>
    <t xml:space="preserve">womens-mini-dress-v-neck-puff-sleeve-lace-tassel</t>
  </si>
  <si>
    <t xml:space="preserve">Women's Polka Dot Mini Dress | Square Neckline Lace Sleeveless Chiffon</t>
  </si>
  <si>
    <t xml:space="preserve">womens-polka-dot-mini-dress-square-neckline-lace-sleeveless-chiffon</t>
  </si>
  <si>
    <t xml:space="preserve">Women's Ruffle Dress | Midi Length Round Neckline Flutter Sleeves</t>
  </si>
  <si>
    <t xml:space="preserve">womens-ruffle-dress-midi-length-round-neckline-flutter-sleeves</t>
  </si>
  <si>
    <t xml:space="preserve">Women's Sheer Dress | Midi Wrap V-Neck Three-Quarter Sleeve</t>
  </si>
  <si>
    <t xml:space="preserve">womens-sheer-dress-midi-wrap-v-neck-three-quarter-sleeve-1</t>
  </si>
  <si>
    <t xml:space="preserve">Women's Shirt Dress | V-Neck Sleeveless Mini Striped Button-Front</t>
  </si>
  <si>
    <t xml:space="preserve">womens-shirt-dress-v-neck-sleeveless-mini-striped-button-front</t>
  </si>
  <si>
    <t xml:space="preserve">Women's Smart Dress | Collared Neckline Three Quarter Sleeve A Line</t>
  </si>
  <si>
    <t xml:space="preserve">womens-smart-dress-collared-neckline-three-quarter-sleeve-a-line</t>
  </si>
  <si>
    <t xml:space="preserve">Women's Smart Dress | V Neck Midi Puffed Sleeve</t>
  </si>
  <si>
    <t xml:space="preserve">womens-smart-dress-v-neck-midi-puffed-sleeve</t>
  </si>
  <si>
    <t xml:space="preserve">Women's Smart Dress | V-Neck Short Sleeve Relaxed Fit Midi</t>
  </si>
  <si>
    <t xml:space="preserve">womens-smart-dress-v-neck-short-sleeve-relaxed-fit-midi</t>
  </si>
  <si>
    <t xml:space="preserve">Women's Summer Dress | Midi Collar Puffed Sleeves Leopard Trim</t>
  </si>
  <si>
    <t xml:space="preserve">womens-summer-dress-midi-collar-puffed-sleeves-leopard-trim</t>
  </si>
  <si>
    <t xml:space="preserve">Women's Summer Dress | Midi Collar Short Sleeve Linen</t>
  </si>
  <si>
    <t xml:space="preserve">womens-summer-dress-midi-collar-short-sleeve-linen</t>
  </si>
  <si>
    <t xml:space="preserve">Women's Summer Dress | Midi Shirt Collar Puffed Sleeves Leopard Print</t>
  </si>
  <si>
    <t xml:space="preserve">womens-summer-dress-midi-shirt-collar-puffed-sleeves-leopard-print</t>
  </si>
  <si>
    <t xml:space="preserve">Women's Summer Dress | Scalloped Neckline Sleeveless Mini</t>
  </si>
  <si>
    <t xml:space="preserve">womens-summer-dress-scalloped-neckline-sleeveless-mini</t>
  </si>
  <si>
    <t xml:space="preserve">Women's Sundress | Maxi Length Sleeveless Striped Linen</t>
  </si>
  <si>
    <t xml:space="preserve">womens-sundress-maxi-length-sleeveless-striped-linen</t>
  </si>
  <si>
    <t xml:space="preserve">Women's Sundress | Midi Length Sleeveless Round Neck Linen</t>
  </si>
  <si>
    <t xml:space="preserve">womens-sundress-midi-length-sleeveless-round-neck-linen</t>
  </si>
  <si>
    <t xml:space="preserve">Women's T Shirt Dress | Midi Length Round Neck Short Sleeve Embroidered Floral</t>
  </si>
  <si>
    <t xml:space="preserve">womens-t-shirt-dress-midi-length-round-neck-short-sleeve-embroidered-floral</t>
  </si>
  <si>
    <t xml:space="preserve">Women's Babydoll Dress | Midi Crew Neckline Smocked Cuff</t>
  </si>
  <si>
    <t xml:space="preserve">womens-babydoll-dress-midi-crew-neckline-smocked-cuff</t>
  </si>
  <si>
    <t xml:space="preserve">Women's Boho Dress | Midi Length V-Neck Lantern Sleeve Geometric Print</t>
  </si>
  <si>
    <t xml:space="preserve">womens-boho-dress-midi-length-v-neck-lantern-sleeve-geometric-print</t>
  </si>
  <si>
    <t xml:space="preserve">Women's Casual Maxi Dress | Collared Wrap Front Maxi Length</t>
  </si>
  <si>
    <t xml:space="preserve">womens-casual-maxi-dress-collared-wrap-front-maxi-length</t>
  </si>
  <si>
    <t xml:space="preserve">Women's Casual Maxi Dress | Lapel Collar Long Sleeve Denim Organza</t>
  </si>
  <si>
    <t xml:space="preserve">womens-casual-maxi-dress-lapel-collar-long-sleeve-denim-organza</t>
  </si>
  <si>
    <t xml:space="preserve">Women's Casual Mini Dress | Quarter-Zip Collar Striped Cuffs Relaxed Fit</t>
  </si>
  <si>
    <t xml:space="preserve">womens-casual-mini-dress-quarter-zip-collar-striped-cuffs-relaxed-fit</t>
  </si>
  <si>
    <t xml:space="preserve">Women's Cotton Maxi Dress | Halter V-Neck Sleeveless Plaid</t>
  </si>
  <si>
    <t xml:space="preserve">womens-cotton-maxi-dress-halter-v-neck-sleeveless-plaid</t>
  </si>
  <si>
    <t xml:space="preserve">Women's Denim Mini Dress | Collar Button Closure Striped Sleeves</t>
  </si>
  <si>
    <t xml:space="preserve">womens-denim-mini-dress-collar-button-closure-striped-sleeves</t>
  </si>
  <si>
    <t xml:space="preserve">Women's Denim Mini Dress | Collared Short Sleeve Button Closure</t>
  </si>
  <si>
    <t xml:space="preserve">womens-denim-mini-dress-collared-short-sleeve-button-closure</t>
  </si>
  <si>
    <t xml:space="preserve">Women's Floral Dress | Midi Length Collared Button Front</t>
  </si>
  <si>
    <t xml:space="preserve">womens-floral-dress-midi-length-collared-button-front</t>
  </si>
  <si>
    <t xml:space="preserve">Women's Floral Maxi Dress | Button-Front Collar Maxi</t>
  </si>
  <si>
    <t xml:space="preserve">womens-floral-maxi-dress-button-front-collar-maxi</t>
  </si>
  <si>
    <t xml:space="preserve">Women's Floral Maxi Dress | Square Neckline Sleeveless Pleated</t>
  </si>
  <si>
    <t xml:space="preserve">womens-floral-maxi-dress-square-neckline-sleeveless-pleated</t>
  </si>
  <si>
    <t xml:space="preserve">Women's Flowy Dress | Collared Shirt Maxi Button Front</t>
  </si>
  <si>
    <t xml:space="preserve">womens-flowy-dress-collared-shirt-maxi-button-front</t>
  </si>
  <si>
    <t xml:space="preserve">Women's Flowy Maxi Dress | Square Neckline Puff Sleeve Maxi</t>
  </si>
  <si>
    <t xml:space="preserve">womens-flowy-maxi-dress-square-neckline-puff-sleeve-maxi</t>
  </si>
  <si>
    <t xml:space="preserve">Women's Flowy Maxi Dress | V-Neck Sleeveless Mixed Print</t>
  </si>
  <si>
    <t xml:space="preserve">womens-flowy-maxi-dress-v-neck-sleeveless-mixed-print</t>
  </si>
  <si>
    <t xml:space="preserve">Women's Halter Maxi Dress | V-Neck Sleeveless Midi Length Tie Closure</t>
  </si>
  <si>
    <t xml:space="preserve">womens-halter-maxi-dress-v-neck-sleeveless-midi-length-tie-closure</t>
  </si>
  <si>
    <t xml:space="preserve">Women's Halterneck Dress | Maxi Ruffled Floral Tie Closure</t>
  </si>
  <si>
    <t xml:space="preserve">womens-halterneck-dress-maxi-ruffled-floral-tie-closure</t>
  </si>
  <si>
    <t xml:space="preserve">Women's High Neck Dress | Midi Length Sleeveless Pleated Belted</t>
  </si>
  <si>
    <t xml:space="preserve">womens-high-neck-dress-midi-length-sleeveless-pleated-belted</t>
  </si>
  <si>
    <t xml:space="preserve">Women's Linen Dress | Midi Length V-Neck Floral Button</t>
  </si>
  <si>
    <t xml:space="preserve">womens-linen-dress-midi-length-v-neck-floral-button</t>
  </si>
  <si>
    <t xml:space="preserve">Women's Linen Dress | Midi Pleated Stand Collar Button Front</t>
  </si>
  <si>
    <t xml:space="preserve">womens-linen-dress-midi-pleated-stand-collar-button-front</t>
  </si>
  <si>
    <t xml:space="preserve">Women's Linen Maxi Dress | One-Shoulder Tie Tiered Linen</t>
  </si>
  <si>
    <t xml:space="preserve">womens-linen-maxi-dress-one-shoulder-tie-tiered-linen</t>
  </si>
  <si>
    <t xml:space="preserve">Women's Long Dress | V-Collar Button Front Tiered Linen</t>
  </si>
  <si>
    <t xml:space="preserve">womens-long-dress-v-collar-button-front-tiered-linen</t>
  </si>
  <si>
    <t xml:space="preserve">Women's Mini Dress | Floral Print Camisole Sweetheart Lace Trim</t>
  </si>
  <si>
    <t xml:space="preserve">womens-mini-dress-floral-print-camisole-sweetheart-lace-trim</t>
  </si>
  <si>
    <t xml:space="preserve">Women's Mini Dress | Round Neckline Puff Sleeve Linen</t>
  </si>
  <si>
    <t xml:space="preserve">womens-mini-dress-round-neckline-puff-sleeve-linen</t>
  </si>
  <si>
    <t xml:space="preserve">Women's Mini Dress | V-Neck Sleeveless Crochet Lace A-Line</t>
  </si>
  <si>
    <t xml:space="preserve">womens-mini-dress-v-neck-sleeveless-crochet-lace-a-line</t>
  </si>
  <si>
    <t xml:space="preserve">Women's Ruffle Dress | Midi Length Round Neck Split Sleeves</t>
  </si>
  <si>
    <t xml:space="preserve">womens-ruffle-dress-midi-length-round-neck-split-sleeves</t>
  </si>
  <si>
    <t xml:space="preserve">Women's Shift Dress | Half Sleeve Henley Button Linen</t>
  </si>
  <si>
    <t xml:space="preserve">womens-shift-dress-half-sleeve-henley-button-linen</t>
  </si>
  <si>
    <t xml:space="preserve">Women's Shift Dress | V-Neck Short Sleeve Printed</t>
  </si>
  <si>
    <t xml:space="preserve">womens-shift-dress-v-neck-short-sleeve-printed</t>
  </si>
  <si>
    <t xml:space="preserve">Women's Shirt Dress | Collar Button Front Midi Relaxed</t>
  </si>
  <si>
    <t xml:space="preserve">womens-shirt-dress-collar-button-front-midi-relaxed</t>
  </si>
  <si>
    <t xml:space="preserve">Women's Shirt Dress | Midi Length Button Front Relaxed Fit</t>
  </si>
  <si>
    <t xml:space="preserve">womens-shirt-dress-midi-length-button-front-relaxed-fit</t>
  </si>
  <si>
    <t xml:space="preserve">Women's Short Sleeve Dress | V-Neck Striped Linen Maxi</t>
  </si>
  <si>
    <t xml:space="preserve">womens-short-sleeve-dress-v-neck-striped-linen-maxi</t>
  </si>
  <si>
    <t xml:space="preserve">Women's Slip Dress | Maxi Length Backless V Neck Spaghetti Strap</t>
  </si>
  <si>
    <t xml:space="preserve">womens-slip-dress-maxi-length-backless-v-neck-spaghetti-strap</t>
  </si>
  <si>
    <t xml:space="preserve">Women's Slip Dress | Square Neckline Sleeveless Maxi</t>
  </si>
  <si>
    <t xml:space="preserve">womens-slip-dress-square-neckline-sleeveless-maxi</t>
  </si>
  <si>
    <t xml:space="preserve">Women's Smart Casual Dress | Midi Round Neck Floral Print Short Sleeve</t>
  </si>
  <si>
    <t xml:space="preserve">womens-smart-casual-dress-midi-round-neck-floral-print-short-sleeve</t>
  </si>
  <si>
    <t xml:space="preserve">Women's Smart Casual Dress | V-Neck Midi Linen Button-Front</t>
  </si>
  <si>
    <t xml:space="preserve">womens-smart-casual-dress-v-neck-midi-linen-button-front</t>
  </si>
  <si>
    <t xml:space="preserve">Women's Smocked Dress | Halter Neck Maxi High Slit Mesh</t>
  </si>
  <si>
    <t xml:space="preserve">womens-smocked-dress-halter-neck-maxi-high-slit-mesh</t>
  </si>
  <si>
    <t xml:space="preserve">Women's Beach Dress | Maxi Length Square Neck Sleeveless</t>
  </si>
  <si>
    <t xml:space="preserve">womens-beach-dress-maxi-length-square-neck-sleeveless</t>
  </si>
  <si>
    <t xml:space="preserve">Women's Chiffon Dress | Maxi V-Neck Balloon Sleeve Floral</t>
  </si>
  <si>
    <t xml:space="preserve">womens-chiffon-dress-maxi-v-neck-balloon-sleeve-floral</t>
  </si>
  <si>
    <t xml:space="preserve">Women's Cotton Dress | Maxi Square Neck Spaghetti Sleeveless</t>
  </si>
  <si>
    <t xml:space="preserve">womens-cotton-dress-maxi-square-neck-spaghetti-sleeveless</t>
  </si>
  <si>
    <t xml:space="preserve">Women's Day Dress | Corduroy Button-Up Collar Midi</t>
  </si>
  <si>
    <t xml:space="preserve">womens-day-dress-corduroy-button-up-collar-midi</t>
  </si>
  <si>
    <t xml:space="preserve">Women's Day Dress | V-Neck Gingham Three-Tier Midi</t>
  </si>
  <si>
    <t xml:space="preserve">womens-day-dress-v-neck-gingham-three-tier-midi</t>
  </si>
  <si>
    <t xml:space="preserve">Women's Denim Dress | Midi Polo Collar Short Sleeve Button</t>
  </si>
  <si>
    <t xml:space="preserve">womens-denim-dress-midi-polo-collar-short-sleeve-button</t>
  </si>
  <si>
    <t xml:space="preserve">Women's Floral Dress | Midi Length Three Quarter Sleeve Paisley Print</t>
  </si>
  <si>
    <t xml:space="preserve">womens-floral-dress-midi-length-three-quarter-sleeve-paisley-print</t>
  </si>
  <si>
    <t xml:space="preserve">Women's Floral Mini Dress | Boat Neck Puff Sleeve Lace Mesh</t>
  </si>
  <si>
    <t xml:space="preserve">womens-floral-mini-dress-boat-neck-puff-sleeve-lace-mesh</t>
  </si>
  <si>
    <t xml:space="preserve">Women's Floral Mini Dress | Halter Neck Tiered Ruffle Chiffon</t>
  </si>
  <si>
    <t xml:space="preserve">womens-floral-mini-dress-halter-neck-tiered-ruffle-chiffon</t>
  </si>
  <si>
    <t xml:space="preserve">Women's Flowy Dress | V-Neck Short Sleeve Floral Midi</t>
  </si>
  <si>
    <t xml:space="preserve">womens-flowy-dress-v-neck-short-sleeve-floral-midi</t>
  </si>
  <si>
    <t xml:space="preserve">Women's High Neck Dress | Maxi Length Turtleneck Long Sleeve Knit</t>
  </si>
  <si>
    <t xml:space="preserve">womens-high-neck-dress-maxi-length-turtleneck-long-sleeve-knit</t>
  </si>
  <si>
    <t xml:space="preserve">Women's Linen Maxi Dress | Maxi Sleeveless Crew Neck Checkered</t>
  </si>
  <si>
    <t xml:space="preserve">womens-linen-maxi-dress-maxi-sleeveless-crew-neck-checkered</t>
  </si>
  <si>
    <t xml:space="preserve">Women's Linen Midi Dress | Midi Asymmetric Draped Round Neck</t>
  </si>
  <si>
    <t xml:space="preserve">womens-linen-midi-dress-midi-asymmetric-draped-round-neck</t>
  </si>
  <si>
    <t xml:space="preserve">Women's Linen Mini Dress | Stand Collar Zip Front Sleeveless Mini</t>
  </si>
  <si>
    <t xml:space="preserve">womens-linen-mini-dress-stand-collar-zip-front-sleeveless-mini</t>
  </si>
  <si>
    <t xml:space="preserve">Women's Linen Mini Dress | V-Neck Puff Sleeve Lace Tassel</t>
  </si>
  <si>
    <t xml:space="preserve">womens-linen-mini-dress-v-neck-puff-sleeve-lace-tassel</t>
  </si>
  <si>
    <t xml:space="preserve">Women's Maxi Dress | Off-Shoulder Floral Print Midi Length</t>
  </si>
  <si>
    <t xml:space="preserve">womens-maxi-dress-off-shoulder-floral-print-midi-length</t>
  </si>
  <si>
    <t xml:space="preserve">Women's Mini Dress | Denim Zip Collar Sheer Sleeves Rosette Cuffs</t>
  </si>
  <si>
    <t xml:space="preserve">womens-mini-dress-denim-zip-collar-sheer-sleeves-rosette-cuffs</t>
  </si>
  <si>
    <t xml:space="preserve">Women's Mini Dress | Round Neckline Puff Sleeve Button Front Linen</t>
  </si>
  <si>
    <t xml:space="preserve">womens-mini-dress-round-neckline-puff-sleeve-button-front-linen</t>
  </si>
  <si>
    <t xml:space="preserve">Women's Mini Dress | Zip Closure Sheer Sleeves Rosette Cuffs Denim</t>
  </si>
  <si>
    <t xml:space="preserve">womens-mini-dress-zip-closure-sheer-sleeves-rosette-cuffs-denim</t>
  </si>
  <si>
    <t xml:space="preserve">Women's Polka Dot Mini Dress | V-Neck Flared Sleeve Mini</t>
  </si>
  <si>
    <t xml:space="preserve">womens-polka-dot-mini-dress-v-neck-flared-sleeve-mini</t>
  </si>
  <si>
    <t xml:space="preserve">Women's Short Sleeve Dress | Midi Length Denim Leopard Print</t>
  </si>
  <si>
    <t xml:space="preserve">womens-short-sleeve-dress-midi-length-denim-leopard-print</t>
  </si>
  <si>
    <t xml:space="preserve">Women's Smocked Dress | Halter Keyhole Strapless Maxi</t>
  </si>
  <si>
    <t xml:space="preserve">womens-smocked-dress-halter-keyhole-strapless-maxi</t>
  </si>
  <si>
    <t xml:space="preserve">Women's Strapless Dress | Maxi Sweetheart Chiffon Ruffled</t>
  </si>
  <si>
    <t xml:space="preserve">womens-strapless-dress-maxi-sweetheart-chiffon-ruffled</t>
  </si>
  <si>
    <t xml:space="preserve">Women's Strapless Dress | Maxi Sweetheart Ruffled Pleated Chiffon</t>
  </si>
  <si>
    <t xml:space="preserve">womens-strapless-dress-maxi-sweetheart-ruffled-pleated-chiffon</t>
  </si>
  <si>
    <t xml:space="preserve">Women's Strapless Maxi Dress | Midi Length Striped Smocked Bodice</t>
  </si>
  <si>
    <t xml:space="preserve">womens-strapless-maxi-dress-midi-length-striped-smocked-bodice</t>
  </si>
  <si>
    <t xml:space="preserve">Women's Strapless Maxi Dress | Twisted Bodice A-Line Maxi</t>
  </si>
  <si>
    <t xml:space="preserve">womens-strapless-maxi-dress-twisted-bodice-a-line-maxi</t>
  </si>
  <si>
    <t xml:space="preserve">Women's Summer Dress | Midi Shirt Collar Puffed Sleeve Leopard Trim</t>
  </si>
  <si>
    <t xml:space="preserve">womens-summer-dress-midi-shirt-collar-puffed-sleeve-leopard-trim</t>
  </si>
  <si>
    <t xml:space="preserve">Women's Wrap Dress | Collared Long Sleeve Midi Ruched</t>
  </si>
  <si>
    <t xml:space="preserve">womens-wrap-dress-collared-long-sleeve-midi-ruched</t>
  </si>
  <si>
    <t xml:space="preserve">Women's Wrap Dress | Maxi Length Three Quarter Sleeve Floral Print V Neck</t>
  </si>
  <si>
    <t xml:space="preserve">womens-wrap-dress-maxi-length-three-quarter-sleeve-floral-print-v-neck</t>
  </si>
  <si>
    <t xml:space="preserve">Women's Flats | Square Toe Jeweled Buckle Knit</t>
  </si>
  <si>
    <t xml:space="preserve">womens-flats-square-toe-jeweled-buckle-knit</t>
  </si>
  <si>
    <t xml:space="preserve">Women's Mary Jane | Square Toe Block Heel Buckle Strap</t>
  </si>
  <si>
    <t xml:space="preserve">womens-mary-jane-square-toe-block-heel-buckle-strap</t>
  </si>
  <si>
    <t xml:space="preserve">Women's Mary Jane | Wedge Heel Mary Jane Shoes Platform Closed Toe</t>
  </si>
  <si>
    <t xml:space="preserve">womens-mary-jane-wedge-heel-mary-jane-shoes-platform-closed-toe</t>
  </si>
  <si>
    <t xml:space="preserve">Women's Mesh Ballet Flats | Round Toe Mary Jane Strap Flat</t>
  </si>
  <si>
    <t xml:space="preserve">womens-mesh-ballet-flats-round-toe-mary-jane-strap-flat</t>
  </si>
  <si>
    <t xml:space="preserve">Women's Mesh Ballet Flats | Round Toe Slip-On Metallic Bar</t>
  </si>
  <si>
    <t xml:space="preserve">womens-mesh-ballet-flats-round-toe-slip-on-metallic-bar</t>
  </si>
  <si>
    <t xml:space="preserve">Women's Mesh Ballet Flats | Zebra Print Square Toe Slingback</t>
  </si>
  <si>
    <t xml:space="preserve">womens-mesh-ballet-flats-zebra-print-square-toe-slingback</t>
  </si>
  <si>
    <t xml:space="preserve">Women's Ballet Flats | Leopard Print Loafer Flat Comfortable</t>
  </si>
  <si>
    <t xml:space="preserve">womens-ballet-flats-leopard-print-loafer-flat-comfortable</t>
  </si>
  <si>
    <t xml:space="preserve">Women's Ballet Flats | Leopard Print Loafer Slip On Flat</t>
  </si>
  <si>
    <t xml:space="preserve">womens-ballet-flats-leopard-print-loafer-slip-on-flat</t>
  </si>
  <si>
    <t xml:space="preserve">Women's Ballet Flats | Pointed Toe Ankle Strap</t>
  </si>
  <si>
    <t xml:space="preserve">womens-ballet-flats-pointed-toe-ankle-strap</t>
  </si>
  <si>
    <t xml:space="preserve">Women's Ballet Flats | Pointed Toe Glossy Cap Slip-On</t>
  </si>
  <si>
    <t xml:space="preserve">womens-ballet-flats-pointed-toe-glossy-cap-slip-on</t>
  </si>
  <si>
    <t xml:space="preserve">Women's Ballet Flats | Pointed Toe Tassel Flat</t>
  </si>
  <si>
    <t xml:space="preserve">womens-ballet-flats-pointed-toe-tassel-flat</t>
  </si>
  <si>
    <t xml:space="preserve">Women's Flats | Pointed Toe Strappy Ankle Strap</t>
  </si>
  <si>
    <t xml:space="preserve">womens-flats-pointed-toe-strappy-ankle-strap</t>
  </si>
  <si>
    <t xml:space="preserve">Women's Mary Jane | Rounded Toe Buckle Strap Leather</t>
  </si>
  <si>
    <t xml:space="preserve">womens-mary-jane-rounded-toe-buckle-strap-leather</t>
  </si>
  <si>
    <t xml:space="preserve">Women's Mesh Ballet Flats | Slip-On Knit Flexible Breathable</t>
  </si>
  <si>
    <t xml:space="preserve">womens-mesh-ballet-flats-slip-on-knit-flexible-breathable</t>
  </si>
  <si>
    <t xml:space="preserve">Woven Slingback Flats For Women | Pointed Toe Slip-On Slingback</t>
  </si>
  <si>
    <t xml:space="preserve">woven-slingback-flats-for-women-pointed-toe-slip-on-slingback</t>
  </si>
  <si>
    <t xml:space="preserve">Women's Mary Jane | Rounded Toe Adjustable Strap Leather</t>
  </si>
  <si>
    <t xml:space="preserve">womens-mary-jane-rounded-toe-adjustable-strap-leather</t>
  </si>
  <si>
    <t xml:space="preserve">Women's Bandage Dress | Mini Length Scoop Neck Sleeveless</t>
  </si>
  <si>
    <t xml:space="preserve">womens-bandage-dress-mini-length-scoop-neck-sleeveless</t>
  </si>
  <si>
    <t xml:space="preserve">Women's Christmas Dress | Mini Length Velvet Wrap V-Neck Long Sleeve</t>
  </si>
  <si>
    <t xml:space="preserve">womens-christmas-dress-mini-length-velvet-wrap-v-neck-long-sleeve</t>
  </si>
  <si>
    <t xml:space="preserve">Women's Elegant Dress | V-Neck Three-Quarter Sleeve Ruffle</t>
  </si>
  <si>
    <t xml:space="preserve">womens-elegant-dress-v-neck-three-quarter-sleeve-ruffle</t>
  </si>
  <si>
    <t xml:space="preserve">Women's Evening Dress | Halter Neckline Maxi Sleeveless</t>
  </si>
  <si>
    <t xml:space="preserve">womens-evening-dress-halter-neckline-maxi-sleeveless</t>
  </si>
  <si>
    <t xml:space="preserve">Women's Formal Dress | Midi Cowl Neck Sleeveless Pocket</t>
  </si>
  <si>
    <t xml:space="preserve">womens-formal-dress-midi-cowl-neck-sleeveless-pocket</t>
  </si>
  <si>
    <t xml:space="preserve">Women's Formal Dress | One Shoulder Maxi Asymmetrical Slit</t>
  </si>
  <si>
    <t xml:space="preserve">womens-formal-dress-one-shoulder-maxi-asymmetrical-slit</t>
  </si>
  <si>
    <t xml:space="preserve">Women's Formal Evening Gown | Halter Neck Open Back Maxi Satin</t>
  </si>
  <si>
    <t xml:space="preserve">womens-formal-evening-gown-halter-neck-open-back-maxi-satin</t>
  </si>
  <si>
    <t xml:space="preserve">Women's Mini Cocktail Dress | Wrap Neckline Sleeveless Ruched</t>
  </si>
  <si>
    <t xml:space="preserve">womens-mini-cocktail-dress-wrap-neckline-sleeveless-ruched</t>
  </si>
  <si>
    <t xml:space="preserve">Women's Mini Party Dress | Halter Neckline Backless Bodycon</t>
  </si>
  <si>
    <t xml:space="preserve">womens-mini-party-dress-halter-neckline-backless-bodycon</t>
  </si>
  <si>
    <t xml:space="preserve">Women's Mini Party Dress | V-Neck Short Sleeve Ruched Paisley</t>
  </si>
  <si>
    <t xml:space="preserve">womens-mini-party-dress-v-neck-short-sleeve-ruched-paisley</t>
  </si>
  <si>
    <t xml:space="preserve">Women's Sequin Dress | Three-Quarter Sleeve Midi Velvet Sequin</t>
  </si>
  <si>
    <t xml:space="preserve">womens-sequin-dress-three-quarter-sleeve-midi-velvet-sequin</t>
  </si>
  <si>
    <t xml:space="preserve">Women's Sparkle Dress | Midi Draped Sleeveless Embellished</t>
  </si>
  <si>
    <t xml:space="preserve">womens-sparkle-dress-midi-draped-sleeveless-embellished</t>
  </si>
  <si>
    <t xml:space="preserve">Women's Christmas Dress | Maxi Sleeveless Ruffle Collar Linen</t>
  </si>
  <si>
    <t xml:space="preserve">womens-christmas-dress-maxi-sleeveless-ruffle-collar-linen</t>
  </si>
  <si>
    <t xml:space="preserve">Women's Christmas Party Dress | Cowl Neck Long Sleeve Velvet Midi Wrap</t>
  </si>
  <si>
    <t xml:space="preserve">womens-christmas-party-dress-cowl-neck-long-sleeve-velvet-midi-wrap</t>
  </si>
  <si>
    <t xml:space="preserve">Women's Christmas Party Dress | V-Neck Mini Sequin Long Sleeve</t>
  </si>
  <si>
    <t xml:space="preserve">womens-christmas-party-dress-v-neck-mini-sequin-long-sleeve</t>
  </si>
  <si>
    <t xml:space="preserve">Women's Cocktail Dress | Cowl Neck Lace Sleeve Mini</t>
  </si>
  <si>
    <t xml:space="preserve">womens-cocktail-dress-cowl-neck-lace-sleeve-mini</t>
  </si>
  <si>
    <t xml:space="preserve">Women's Cocktail Dress | Midi Length Keyhole Neckline Floral Print</t>
  </si>
  <si>
    <t xml:space="preserve">womens-cocktail-dress-midi-length-keyhole-neckline-floral-print</t>
  </si>
  <si>
    <t xml:space="preserve">Women's Cocktail Dress | Mini Fringe Feather Sleeveless V-Neck</t>
  </si>
  <si>
    <t xml:space="preserve">womens-cocktail-dress-mini-fringe-feather-sleeveless-v-neck</t>
  </si>
  <si>
    <t xml:space="preserve">bestseller 17–22 okt — prijs blijft</t>
  </si>
  <si>
    <t xml:space="preserve">Women's Evening Dress | V-Neck Short Sleeve Sequin Midi</t>
  </si>
  <si>
    <t xml:space="preserve">womens-evening-dress-v-neck-short-sleeve-sequin-midi</t>
  </si>
  <si>
    <t xml:space="preserve">Women's Formal Dress | Maxi Strapless Choker Draped</t>
  </si>
  <si>
    <t xml:space="preserve">womens-formal-dress-maxi-strapless-choker-draped</t>
  </si>
  <si>
    <t xml:space="preserve">Women's Formal Dress | V-Neck Floral Maxi Wrapped</t>
  </si>
  <si>
    <t xml:space="preserve">womens-formal-dress-v-neck-floral-maxi-wrapped</t>
  </si>
  <si>
    <t xml:space="preserve">Women's Formal Dress | V-Neck Wraparound Floral Maxi</t>
  </si>
  <si>
    <t xml:space="preserve">womens-formal-dress-v-neck-wraparound-floral-maxi</t>
  </si>
  <si>
    <t xml:space="preserve">Women's Lace Dress | V-Neck Floral Long Sleeve</t>
  </si>
  <si>
    <t xml:space="preserve">womens-lace-dress-v-neck-floral-long-sleeve</t>
  </si>
  <si>
    <t xml:space="preserve">Women's Lace Dress | V-Neck Midi Knit Lace Sleeves</t>
  </si>
  <si>
    <t xml:space="preserve">womens-lace-dress-v-neck-midi-knit-lace-sleeves</t>
  </si>
  <si>
    <t xml:space="preserve">Women's Lace Dress | V-Neck Sleeveless Midi Lace Trim</t>
  </si>
  <si>
    <t xml:space="preserve">womens-lace-dress-v-neck-sleeveless-midi-lace-trim</t>
  </si>
  <si>
    <t xml:space="preserve">Women's Lace Maxi Dress | Strapless Ruched Bodice Sheer Overlay</t>
  </si>
  <si>
    <t xml:space="preserve">womens-lace-maxi-dress-strapless-ruched-bodice-sheer-overlay</t>
  </si>
  <si>
    <t xml:space="preserve">Women's Lace Mini Dress | V-Neck Three-Quarter Sleeve Crochet</t>
  </si>
  <si>
    <t xml:space="preserve">womens-lace-mini-dress-v-neck-three-quarter-sleeve-crochet</t>
  </si>
  <si>
    <t xml:space="preserve">Women's Midi Elegant Dress | Round Neckline Short Sleeve Tiered</t>
  </si>
  <si>
    <t xml:space="preserve">womens-midi-elegant-dress-round-neckline-short-sleeve-tiered</t>
  </si>
  <si>
    <t xml:space="preserve">Women's Mini Cocktail Dress | V Neckline Long Sleeves Ribbed Knit</t>
  </si>
  <si>
    <t xml:space="preserve">womens-mini-cocktail-dress-v-neckline-long-sleeves-ribbed-knit</t>
  </si>
  <si>
    <t xml:space="preserve">Women's Mini Cocktail Dress | V-Neck Flutter Sleeve Lace Trim Zipper</t>
  </si>
  <si>
    <t xml:space="preserve">womens-mini-cocktail-dress-v-neck-flutter-sleeve-lace-trim-zipper</t>
  </si>
  <si>
    <t xml:space="preserve">Women's Party Dress | Off-Shoulder Maxi Draped Ruched</t>
  </si>
  <si>
    <t xml:space="preserve">womens-party-dress-off-shoulder-maxi-draped-ruched</t>
  </si>
  <si>
    <t xml:space="preserve">Women's Race Day Dress | V-Neck Long Sleeves Midi Side Slit</t>
  </si>
  <si>
    <t xml:space="preserve">womens-race-day-dress-v-neck-long-sleeves-midi-side-slit</t>
  </si>
  <si>
    <t xml:space="preserve">Women's Satin Dress | Midi Length Off-Shoulder Shawl Embellished</t>
  </si>
  <si>
    <t xml:space="preserve">womens-satin-dress-midi-length-off-shoulder-shawl-embellished</t>
  </si>
  <si>
    <t xml:space="preserve">Women's Sequin Dress | Cowl Neckline Sequin Sleeves Velvet Mini</t>
  </si>
  <si>
    <t xml:space="preserve">womens-sequin-dress-cowl-neckline-sequin-sleeves-velvet-mini</t>
  </si>
  <si>
    <t xml:space="preserve">Women's Sequin Dress | Midi Length Pleated Sequin Sleeves</t>
  </si>
  <si>
    <t xml:space="preserve">womens-sequin-dress-midi-length-pleated-sequin-sleeves</t>
  </si>
  <si>
    <t xml:space="preserve">Women's Sequin Dress | Mini Length Square Neckline Velvet</t>
  </si>
  <si>
    <t xml:space="preserve">womens-sequin-dress-mini-length-square-neckline-velvet</t>
  </si>
  <si>
    <t xml:space="preserve">Women's Silk Dress | Midi Length V-Neck Puffed Sleeve Pleated</t>
  </si>
  <si>
    <t xml:space="preserve">womens-silk-dress-midi-length-v-neck-puffed-sleeve-pleated</t>
  </si>
  <si>
    <t xml:space="preserve">Women's Sparkle Dress | Mini Length Velvet Square Neckline Embellished</t>
  </si>
  <si>
    <t xml:space="preserve">womens-sparkle-dress-mini-length-velvet-square-neckline-embellished</t>
  </si>
  <si>
    <t xml:space="preserve">Women's Bodycon Dress | Midi Length Off-Shoulder Satin</t>
  </si>
  <si>
    <t xml:space="preserve">womens-bodycon-dress-midi-length-off-shoulder-satin</t>
  </si>
  <si>
    <t xml:space="preserve">Women's Bodycon Dress | Midi Turtleneck Long Sleeve Velvet</t>
  </si>
  <si>
    <t xml:space="preserve">womens-bodycon-dress-midi-turtleneck-long-sleeve-velvet</t>
  </si>
  <si>
    <t xml:space="preserve">Women's Christmas Dress | Maxi Feather Trim Long Sleeve</t>
  </si>
  <si>
    <t xml:space="preserve">womens-christmas-dress-maxi-feather-trim-long-sleeve</t>
  </si>
  <si>
    <t xml:space="preserve">Women's Christmas Dress | Maxi Length V-Neck Wrap Half Sleeve Floral Print</t>
  </si>
  <si>
    <t xml:space="preserve">womens-christmas-dress-maxi-length-v-neck-wrap-half-sleeve-floral-print</t>
  </si>
  <si>
    <t xml:space="preserve">Women's Christmas Party Dress | Mini Length Sequin Sweetheart Long Sleeve</t>
  </si>
  <si>
    <t xml:space="preserve">womens-christmas-party-dress-mini-length-sequin-sweetheart-long-sleeve</t>
  </si>
  <si>
    <t xml:space="preserve">Women's Cocktail Dress | Notched Collar Wrap Midi Pleated</t>
  </si>
  <si>
    <t xml:space="preserve">womens-cocktail-dress-notched-collar-wrap-midi-pleated</t>
  </si>
  <si>
    <t xml:space="preserve">Women's Cocktail Dress | V-Neck Spaghetti Strap Mini Feather</t>
  </si>
  <si>
    <t xml:space="preserve">womens-cocktail-dress-v-neck-spaghetti-strap-mini-feather</t>
  </si>
  <si>
    <t xml:space="preserve">Women's Formal Dress | Deep V-Neck Maxi Sleeveless Pleated</t>
  </si>
  <si>
    <t xml:space="preserve">womens-formal-dress-deep-v-neck-maxi-sleeveless-pleated</t>
  </si>
  <si>
    <t xml:space="preserve">Women's Formal Dress | Midi V-Neck Wrap Three-Quarter Sleeve</t>
  </si>
  <si>
    <t xml:space="preserve">womens-formal-dress-midi-v-neck-wrap-three-quarter-sleeve</t>
  </si>
  <si>
    <t xml:space="preserve">Women's Formal Evening Gown | Maxi High Neck Long Sleeve Knit</t>
  </si>
  <si>
    <t xml:space="preserve">womens-formal-evening-gown-maxi-high-neck-long-sleeve-knit</t>
  </si>
  <si>
    <t xml:space="preserve">Women's Lace Maxi Dress | Maxi Length V-Neck Tiered Geometric Print</t>
  </si>
  <si>
    <t xml:space="preserve">womens-lace-maxi-dress-maxi-length-v-neck-tiered-geometric-print</t>
  </si>
  <si>
    <t xml:space="preserve">Women's Lace Mini Dress | Square Neckline Long Sleeve Bodycon</t>
  </si>
  <si>
    <t xml:space="preserve">womens-lace-mini-dress-square-neckline-long-sleeve-bodycon</t>
  </si>
  <si>
    <t xml:space="preserve">Women's Party Dress | Midi Length V-Neck Puff Sleeve Floral</t>
  </si>
  <si>
    <t xml:space="preserve">womens-party-dress-midi-length-v-neck-puff-sleeve-floral</t>
  </si>
  <si>
    <t xml:space="preserve">Women's Party Dress | V Neckline Cami Straps Mini Fringe Hem</t>
  </si>
  <si>
    <t xml:space="preserve">womens-party-dress-v-neckline-cami-straps-mini-fringe-hem</t>
  </si>
  <si>
    <t xml:space="preserve">Women's Race Day Dress | Mini Length Balloon Sleeve Round Neckline Ruffle Hem</t>
  </si>
  <si>
    <t xml:space="preserve">womens-race-day-dress-mini-length-balloon-sleeve-round-neckline-ruffle-hem</t>
  </si>
  <si>
    <t xml:space="preserve">Women's Satin Dress | Mini Length Pleated Cowl Neckline Flutter Sleeve</t>
  </si>
  <si>
    <t xml:space="preserve">womens-satin-dress-mini-length-pleated-cowl-neckline-flutter-sleeve</t>
  </si>
  <si>
    <t xml:space="preserve">Women's Semi Formal Dress | Midi Length High Neckline Long Sleeve Pleated</t>
  </si>
  <si>
    <t xml:space="preserve">womens-semi-formal-dress-midi-length-high-neckline-long-sleeve-pleated</t>
  </si>
  <si>
    <t xml:space="preserve">Women's Silk Dress | Midi Length V-Neck Short Sleeve Pleated</t>
  </si>
  <si>
    <t xml:space="preserve">womens-silk-dress-midi-length-v-neck-short-sleeve-pleated</t>
  </si>
  <si>
    <t xml:space="preserve">Women's Bandage Dress | Maxi Scoop Neckline Sleeveless Stretch</t>
  </si>
  <si>
    <t xml:space="preserve">womens-bandage-dress-maxi-scoop-neckline-sleeveless-stretch</t>
  </si>
  <si>
    <t xml:space="preserve">Women's High Heels | Open Toe T-Strap Peep Suede</t>
  </si>
  <si>
    <t xml:space="preserve">womens-high-heels-open-toe-t-strap-peep-suede</t>
  </si>
  <si>
    <t xml:space="preserve">Women's Kitten Heels | Open-Toe Knotted Square-Toe Slip-On</t>
  </si>
  <si>
    <t xml:space="preserve">womens-kitten-heels-open-toe-knotted-square-toe-slip-on</t>
  </si>
  <si>
    <t xml:space="preserve">Women's Mules | Embroidered Floral Canvas Slip-On</t>
  </si>
  <si>
    <t xml:space="preserve">womens-mules-embroidered-floral-canvas-slip-on</t>
  </si>
  <si>
    <t xml:space="preserve">Women's Mules | Pointed Toe Buckle Strap Heel</t>
  </si>
  <si>
    <t xml:space="preserve">womens-mules-pointed-toe-buckle-strap-heel</t>
  </si>
  <si>
    <t xml:space="preserve">Women's Thong Heels | Open Toe Block Heel Slip On</t>
  </si>
  <si>
    <t xml:space="preserve">womens-thong-heels-open-toe-block-heel-slip-on</t>
  </si>
  <si>
    <t xml:space="preserve">Women's Block Heels | Braided Toe Ankle Strap Buckle Platform</t>
  </si>
  <si>
    <t xml:space="preserve">womens-block-heels-braided-toe-ankle-strap-buckle-platform</t>
  </si>
  <si>
    <t xml:space="preserve">Women's High Heels | Suede Buckle Closure Block Heel Square Toe</t>
  </si>
  <si>
    <t xml:space="preserve">womens-high-heels-suede-buckle-closure-block-heel-square-toe</t>
  </si>
  <si>
    <t xml:space="preserve">Women's Mules | Hollow-Out Design Bow Closure Flat Sole</t>
  </si>
  <si>
    <t xml:space="preserve">womens-mules-hollow-out-design-bow-closure-flat-sole</t>
  </si>
  <si>
    <t xml:space="preserve">Women's Mules | Hollow-Out Design Flat Bow Closure</t>
  </si>
  <si>
    <t xml:space="preserve">womens-mules-hollow-out-design-flat-bow-closure</t>
  </si>
  <si>
    <t xml:space="preserve">Women's Mules | Pointed Toe Mary Jane Leather</t>
  </si>
  <si>
    <t xml:space="preserve">womens-mules-pointed-toe-mary-jane-strap-leather</t>
  </si>
  <si>
    <t xml:space="preserve">Women's Mules | Pointed Toe Mary Jane Strap Leather</t>
  </si>
  <si>
    <t xml:space="preserve">womens-mules-pointed-toe-mary-jane-strap-leather-1</t>
  </si>
  <si>
    <t xml:space="preserve">Women's Thong Heels | Platform Sole Block Heel Slip-On</t>
  </si>
  <si>
    <t xml:space="preserve">womens-thong-heels-platform-sole-block-heel-slip-on</t>
  </si>
  <si>
    <t xml:space="preserve">Women's Block Heels | Open Toe Leather Slip On</t>
  </si>
  <si>
    <t xml:space="preserve">womens-block-heels-open-toe-leather-slip-on</t>
  </si>
  <si>
    <t xml:space="preserve">Women's Block Heels | Open Toe Peep Toe Chunky Heel Mule</t>
  </si>
  <si>
    <t xml:space="preserve">womens-block-heels-open-toe-peep-toe-chunky-heel-mule</t>
  </si>
  <si>
    <t xml:space="preserve">Women's Block Heels | T-Strap Buckle Closure Leather</t>
  </si>
  <si>
    <t xml:space="preserve">womens-block-heels-t-strap-buckle-closure-leather</t>
  </si>
  <si>
    <t xml:space="preserve">Women's High Heels | Leopard Print Square Toe Ankle Strap</t>
  </si>
  <si>
    <t xml:space="preserve">womens-high-heels-leopard-print-square-toe-ankle-strap</t>
  </si>
  <si>
    <t xml:space="preserve">Women's High Heels | Pointed Toe Block Heel Leather</t>
  </si>
  <si>
    <t xml:space="preserve">womens-high-heels-pointed-toe-block-heel-leather</t>
  </si>
  <si>
    <t xml:space="preserve">Women's High Heels | Square Toe Ankle Strap Leopard Print</t>
  </si>
  <si>
    <t xml:space="preserve">womens-high-heels-square-toe-ankle-strap-leopard-print</t>
  </si>
  <si>
    <t xml:space="preserve">Women's Kitten Heels | Open Toe Strappy Peep Leather</t>
  </si>
  <si>
    <t xml:space="preserve">womens-kitten-heels-open-toe-strappy-peep-leather</t>
  </si>
  <si>
    <t xml:space="preserve">Women's Kitten Heels | Pointed Toe Leather Embossed</t>
  </si>
  <si>
    <t xml:space="preserve">womens-kitten-heels-pointed-toe-leather-embossed</t>
  </si>
  <si>
    <t xml:space="preserve">Women's Kitten Heels | Pointed Toe Pearl Strap Jacquard</t>
  </si>
  <si>
    <t xml:space="preserve">womens-kitten-heels-pointed-toe-pearl-strap-jacquard</t>
  </si>
  <si>
    <t xml:space="preserve">Women's Kitten Heels | Pointed Toe Pearl Strap Slingback</t>
  </si>
  <si>
    <t xml:space="preserve">womens-kitten-heels-pointed-toe-pearl-strap-slingback</t>
  </si>
  <si>
    <t xml:space="preserve">Women's Kitten Heels | T-Strap Rounded Toe Suede</t>
  </si>
  <si>
    <t xml:space="preserve">womens-kitten-heels-t-strap-rounded-toe-suede-1</t>
  </si>
  <si>
    <t xml:space="preserve">Women's Platform Heels | Leather Ankle Bootie Pointed Toe Zipper</t>
  </si>
  <si>
    <t xml:space="preserve">womens-platform-heels-leather-ankle-bootie-pointed-toe-zipper</t>
  </si>
  <si>
    <t xml:space="preserve">Women's Platform Heels | Rounded Toe Ankle Strap Buckle Block Heel</t>
  </si>
  <si>
    <t xml:space="preserve">womens-platform-heels-rounded-toe-ankle-strap-buckle-block-heel</t>
  </si>
  <si>
    <t xml:space="preserve">Women's Platform Heels | Rounded Toe T-Strap Leather Block Heel</t>
  </si>
  <si>
    <t xml:space="preserve">womens-platform-heels-rounded-toe-t-strap-leather-block-heel</t>
  </si>
  <si>
    <t xml:space="preserve">Women's Thong Heels | Open Toe Block Heel Braided Straps</t>
  </si>
  <si>
    <t xml:space="preserve">womens-thong-heels-open-toe-block-heel-braided-straps</t>
  </si>
  <si>
    <t xml:space="preserve">Women's Thong Heels | Pointed Toe Stiletto Slingback Leopard Print</t>
  </si>
  <si>
    <t xml:space="preserve">womens-thong-heels-pointed-toe-stiletto-slingback-leopard-print</t>
  </si>
  <si>
    <t xml:space="preserve">Women's Blazer | Suede-Touch Button-Front Tailored</t>
  </si>
  <si>
    <t xml:space="preserve">womens-blazer-suede-touch-button-front-tailored</t>
  </si>
  <si>
    <t xml:space="preserve">Women's Blazer | Button-Front Suede Tailored Long Sleeve</t>
  </si>
  <si>
    <t xml:space="preserve">womens-blazer-button-front-suede-tailored-long-sleeve</t>
  </si>
  <si>
    <t xml:space="preserve">Women's Blazer | Suede Button-Front Tailored Single-Breasted</t>
  </si>
  <si>
    <t xml:space="preserve">womens-blazer-suede-button-front-tailored-single-breasted</t>
  </si>
  <si>
    <t xml:space="preserve">Women's Blazer | Tweed Herringbone Button Closure Tailored</t>
  </si>
  <si>
    <t xml:space="preserve">womens-blazer-tweed-herringbone-button-closure-tailored</t>
  </si>
  <si>
    <t xml:space="preserve">Women's Denim Jacket | Collared Button Closure Long Sleeve</t>
  </si>
  <si>
    <t xml:space="preserve">womens-denim-jacket-collared-button-closure-long-sleeve</t>
  </si>
  <si>
    <t xml:space="preserve">Women's Denim Jacket | Plaid Knit Relaxed Fit Button Front</t>
  </si>
  <si>
    <t xml:space="preserve">womens-denim-jacket-plaid-knit-relaxed-fit-button-front</t>
  </si>
  <si>
    <t xml:space="preserve">Women's Denim Jacket | Hooded Zip Closure Color Block Hybrid</t>
  </si>
  <si>
    <t xml:space="preserve">womens-denim-jacket-hooded-zip-closure-color-block-hybrid</t>
  </si>
  <si>
    <t xml:space="preserve">Women's Bootcut Jeans | Light Wash Denim Straight Leg</t>
  </si>
  <si>
    <t xml:space="preserve">womens-bootcut-jeans-light-wash-denim-straight-leg</t>
  </si>
  <si>
    <t xml:space="preserve">Women's Straight Leg Jeans | Elastic Waistband Functional Pockets Denim</t>
  </si>
  <si>
    <t xml:space="preserve">womens-straight-leg-jeans-elastic-waistband-functional-pockets-denim</t>
  </si>
  <si>
    <t xml:space="preserve">Women's Straight Leg Jeans | Retro Wash Distressed Ankle Denim</t>
  </si>
  <si>
    <t xml:space="preserve">womens-straight-leg-jeans-retro-wash-distressed-ankle-denim</t>
  </si>
  <si>
    <t xml:space="preserve">Women's Baggy Jeans | Wide-Leg Polka-Dot Denim High-Rise</t>
  </si>
  <si>
    <t xml:space="preserve">womens-baggy-jeans-wide-leg-polka-dot-denim-high-rise</t>
  </si>
  <si>
    <t xml:space="preserve">Women's Bootcut Jeans | High Rise Flare Denim Stretch</t>
  </si>
  <si>
    <t xml:space="preserve">womens-bootcut-jeans-high-rise-flare-denim-stretch</t>
  </si>
  <si>
    <t xml:space="preserve">Women's Straight Leg Jeans | Cropped Ankle Distressed Denim</t>
  </si>
  <si>
    <t xml:space="preserve">womens-straight-leg-jeans-cropped-ankle-distressed-denim</t>
  </si>
  <si>
    <t xml:space="preserve">Women's Baggy Jeans | High Waist Wide Leg Pleated Denim</t>
  </si>
  <si>
    <t xml:space="preserve">womens-baggy-jeans-high-waist-wide-leg-pleated-denim</t>
  </si>
  <si>
    <t xml:space="preserve">Women's Baggy Jeans | Relaxed Fit Wide-Leg Distressed Denim</t>
  </si>
  <si>
    <t xml:space="preserve">womens-baggy-jeans-relaxed-fit-wide-leg-distressed-denim</t>
  </si>
  <si>
    <t xml:space="preserve">Women's Flare Jeans | High Rise Flared Leg Denim Button Closure</t>
  </si>
  <si>
    <t xml:space="preserve">womens-flare-jeans-high-rise-flared-leg-denim-button-closure</t>
  </si>
  <si>
    <t xml:space="preserve">Women's Flare Jeans | High Waist Button Closure Denim</t>
  </si>
  <si>
    <t xml:space="preserve">womens-flare-jeans-high-waist-button-closure-denim</t>
  </si>
  <si>
    <t xml:space="preserve">Women's Denim Jumpsuit | Button Front Relaxed Fit Wide Leg</t>
  </si>
  <si>
    <t xml:space="preserve">womens-denim-jumpsuit-button-front-relaxed-fit-wide-leg</t>
  </si>
  <si>
    <t xml:space="preserve">Women's Denim Jumpsuit | Button Front Sleeveless Ankle</t>
  </si>
  <si>
    <t xml:space="preserve">womens-denim-jumpsuit-button-front-sleeveless-ankle</t>
  </si>
  <si>
    <t xml:space="preserve">Women's Denim Jumpsuit | V-Neck Short Sleeve Midi Relaxed</t>
  </si>
  <si>
    <t xml:space="preserve">womens-denim-jumpsuit-v-neck-short-sleeve-midi-relaxed</t>
  </si>
  <si>
    <t xml:space="preserve">Women's Denim Overall | Button Front Adjustable Straps Relaxed Fit</t>
  </si>
  <si>
    <t xml:space="preserve">womens-denim-overall-button-front-adjustable-straps-relaxed-fit</t>
  </si>
  <si>
    <t xml:space="preserve">Women's Denim Overall | Relaxed Fit Button Front Pockets</t>
  </si>
  <si>
    <t xml:space="preserve">womens-denim-overall-relaxed-fit-button-front-pockets</t>
  </si>
  <si>
    <t xml:space="preserve">Women's Jumpsuit | Cold Shoulder Long Sleeve Wide Leg</t>
  </si>
  <si>
    <t xml:space="preserve">womens-jumpsuit-cold-shoulder-long-sleeve-wide-leg</t>
  </si>
  <si>
    <t xml:space="preserve">Women's Denim Jumpsuit | Cold Shoulder Button Front Maxi</t>
  </si>
  <si>
    <t xml:space="preserve">womens-denim-jumpsuit-cold-shoulder-button-front-maxi</t>
  </si>
  <si>
    <t xml:space="preserve">Women's Denim Overall | Button Front Relaxed Fit Wide Leg</t>
  </si>
  <si>
    <t xml:space="preserve">womens-denim-overall-button-front-relaxed-fit-wide-leg</t>
  </si>
  <si>
    <t xml:space="preserve">Women's Jumpsuit | Halter Neckline Wide Leg Abstract Print</t>
  </si>
  <si>
    <t xml:space="preserve">womens-jumpsuit-halter-neckline-wide-leg-abstract-print</t>
  </si>
  <si>
    <t xml:space="preserve">Women's Jumpsuit | V-Neck Button Front Wide Leg</t>
  </si>
  <si>
    <t xml:space="preserve">womens-jumpsuit-v-neck-button-front-wide-leg</t>
  </si>
  <si>
    <t xml:space="preserve">Women's Jumpsuit | Wrap Neckline Wide Leg Leopard Print</t>
  </si>
  <si>
    <t xml:space="preserve">womens-jumpsuit-wrap-neckline-wide-leg-leopard-print</t>
  </si>
  <si>
    <t xml:space="preserve">Women's Playsuit | Cross Halter Neckline Sleeveless Wide Leg</t>
  </si>
  <si>
    <t xml:space="preserve">womens-playsuit-cross-halter-neckline-sleeveless-wide-leg</t>
  </si>
  <si>
    <t xml:space="preserve">Women's Playsuit | Lace Camisole Sleeveless Wide Leg</t>
  </si>
  <si>
    <t xml:space="preserve">womens-playsuit-lace-camisole-sleeveless-wide-leg</t>
  </si>
  <si>
    <t xml:space="preserve">Women's Playsuit | Stand Collar Button Front Sleeveless Linen</t>
  </si>
  <si>
    <t xml:space="preserve">womens-playsuit-stand-collar-button-front-sleeveless-linen</t>
  </si>
  <si>
    <t xml:space="preserve">Women's Playsuit | V-Neck Short Sleeve Wide Leg Tie Waist</t>
  </si>
  <si>
    <t xml:space="preserve">womens-playsuit-v-neck-short-sleeve-wide-leg-tie-waist</t>
  </si>
  <si>
    <t xml:space="preserve">Women's Playsuit | V-Neck Wide-Leg Tie-Waist Short Sleeve</t>
  </si>
  <si>
    <t xml:space="preserve">womens-playsuit-v-neck-wide-leg-tie-waist-short-sleeve</t>
  </si>
  <si>
    <t xml:space="preserve">Thong Sandals For Women | Slip-On Comfort Footbed</t>
  </si>
  <si>
    <t xml:space="preserve">thong-sandals-for-women-slip-on-comfort-footbed</t>
  </si>
  <si>
    <t xml:space="preserve">Women's Leather Sandals | Open Toe Slingback Block Heel Crocodile</t>
  </si>
  <si>
    <t xml:space="preserve">womens-leather-sandals-open-toe-slingback-block-heel-crocodile</t>
  </si>
  <si>
    <t xml:space="preserve">Women's Slide | Open Toe Buckle Strap Canvas</t>
  </si>
  <si>
    <t xml:space="preserve">womens-slide-open-toe-buckle-strap-canvas</t>
  </si>
  <si>
    <t xml:space="preserve">Women's Thong Sandals | Thong Toe Platform Buckle Studded</t>
  </si>
  <si>
    <t xml:space="preserve">womens-thong-sandals-thong-toe-platform-buckle-studded</t>
  </si>
  <si>
    <t xml:space="preserve">Women's Chunky Sandals | Open Toe Denim Cork Wedge</t>
  </si>
  <si>
    <t xml:space="preserve">womens-chunky-sandals-open-toe-denim-cork-wedge</t>
  </si>
  <si>
    <t xml:space="preserve">Women's Chunky Sandals | Square Toe Block Heel Metal Strap</t>
  </si>
  <si>
    <t xml:space="preserve">womens-chunky-sandals-square-toe-block-heel-metal-strap</t>
  </si>
  <si>
    <t xml:space="preserve">Women's Chunky Sandals | Square Toe Buckle Leather</t>
  </si>
  <si>
    <t xml:space="preserve">womens-chunky-sandals-square-toe-buckle-leather</t>
  </si>
  <si>
    <t xml:space="preserve">Women's Closed Toe Sandals | Cutout Adjustable Strap Flexible</t>
  </si>
  <si>
    <t xml:space="preserve">womens-closed-toe-sandals-cutout-adjustable-strap-flexible</t>
  </si>
  <si>
    <t xml:space="preserve">Women's Closed Toe Sandals | Wedge Heel Ankle Strap</t>
  </si>
  <si>
    <t xml:space="preserve">womens-closed-toe-sandals-wedge-heel-ankle-strap</t>
  </si>
  <si>
    <t xml:space="preserve">Women's Flip Flop | Braided Strap Flat Sole Textured Comfortable</t>
  </si>
  <si>
    <t xml:space="preserve">womens-flip-flop-braided-strap-flat-sole-textured-comfortable</t>
  </si>
  <si>
    <t xml:space="preserve">Women's Flip Flop | Open Toe Flower Embellished Wedge</t>
  </si>
  <si>
    <t xml:space="preserve">womens-flip-flop-open-toe-flower-embellished-wedge</t>
  </si>
  <si>
    <t xml:space="preserve">Women's Flip Flop | Thong Strap Arch Support Cushioned Sole</t>
  </si>
  <si>
    <t xml:space="preserve">womens-flip-flop-thong-strap-arch-support-cushioned-sole</t>
  </si>
  <si>
    <t xml:space="preserve">Women's Flip Flop | Toe Post Thong Buckle Strap Cushioned</t>
  </si>
  <si>
    <t xml:space="preserve">womens-flip-flop-toe-post-thong-buckle-strap-cushioned</t>
  </si>
  <si>
    <t xml:space="preserve">Women's Leather Sandals | Mary Jane Strap Closed Toe Low Heel</t>
  </si>
  <si>
    <t xml:space="preserve">womens-leather-sandals-mary-jane-strap-closed-toe-low-heel</t>
  </si>
  <si>
    <t xml:space="preserve">Women's Leather Sandals | Open Toe Slingback Block Heel Metallic Accent</t>
  </si>
  <si>
    <t xml:space="preserve">womens-leather-sandals-open-toe-slingback-block-heel-metallic-accent</t>
  </si>
  <si>
    <t xml:space="preserve">Women's Platform Sandals | Braided Straps Ankle Buckle Open Toe</t>
  </si>
  <si>
    <t xml:space="preserve">womens-platform-sandals-braided-straps-ankle-buckle-open-toe</t>
  </si>
  <si>
    <t xml:space="preserve">Women's Platform Sandals | Open Toe Strappy Espadrille Cushioned</t>
  </si>
  <si>
    <t xml:space="preserve">womens-platform-sandals-open-toe-strappy-espadrille-cushioned</t>
  </si>
  <si>
    <t xml:space="preserve">Women's Platform Sandals | Open Toe Strappy Wedge</t>
  </si>
  <si>
    <t xml:space="preserve">womens-platform-sandals-open-toe-strappy-wedge</t>
  </si>
  <si>
    <t xml:space="preserve">Women's Platform Sandals | Open Toe Straps Wedge Cushioned</t>
  </si>
  <si>
    <t xml:space="preserve">womens-platform-sandals-open-toe-straps-wedge-cushioned</t>
  </si>
  <si>
    <t xml:space="preserve">Women's Platform Sandals | Open Toe Velcro Chunky Platform</t>
  </si>
  <si>
    <t xml:space="preserve">womens-platform-sandals-open-toe-velcro-chunky-platform</t>
  </si>
  <si>
    <t xml:space="preserve">Women's Platform Sandals | Open Toe Wedge Buckle Strap</t>
  </si>
  <si>
    <t xml:space="preserve">womens-platform-sandals-open-toe-wedge-buckle-strap</t>
  </si>
  <si>
    <t xml:space="preserve">Women's Platform Slide | Open Toe Block Heel Wedge Sole</t>
  </si>
  <si>
    <t xml:space="preserve">womens-platform-slide-open-toe-block-heel-wedge-sole</t>
  </si>
  <si>
    <t xml:space="preserve">Women's Platform Slide | Open Toe Buckle Metallic Heel</t>
  </si>
  <si>
    <t xml:space="preserve">womens-platform-slide-open-toe-buckle-metallic-heel</t>
  </si>
  <si>
    <t xml:space="preserve">Women's Platform Slide | Open Toe Woven Knit Espadrille Sole</t>
  </si>
  <si>
    <t xml:space="preserve">womens-platform-slide-open-toe-woven-knit-espadrille-sole</t>
  </si>
  <si>
    <t xml:space="preserve">Women's Slide | Braided Straps Open Toe Platform</t>
  </si>
  <si>
    <t xml:space="preserve">womens-slide-braided-straps-open-toe-platform</t>
  </si>
  <si>
    <t xml:space="preserve">Women's Slide | Open Toe Rhinestone Strap Flat Sole</t>
  </si>
  <si>
    <t xml:space="preserve">womens-slide-open-toe-rhinestone-strap-flat-sole</t>
  </si>
  <si>
    <t xml:space="preserve">Women's Slide | Padded Criss-Cross Square Toe Flat</t>
  </si>
  <si>
    <t xml:space="preserve">womens-slide-padded-criss-cross-square-toe-flat</t>
  </si>
  <si>
    <t xml:space="preserve">Women's Thong Sandals | Adjustable Buckle Contoured Footbed Flat Sole</t>
  </si>
  <si>
    <t xml:space="preserve">womens-thong-sandals-adjustable-buckle-contoured-footbed-flat-sole</t>
  </si>
  <si>
    <t xml:space="preserve">Women's Thong Wedge | Open Toe Cutout Platform Cork</t>
  </si>
  <si>
    <t xml:space="preserve">womens-thong-wedge-open-toe-cutout-platform-cork</t>
  </si>
  <si>
    <t xml:space="preserve">Women's Wedge Sandals | Open Toe Buckle Strap Cork Platform</t>
  </si>
  <si>
    <t xml:space="preserve">womens-wedge-sandals-open-toe-buckle-strap-cork-platform</t>
  </si>
  <si>
    <t xml:space="preserve">Women's Wedge | Open Toe Buckle Strap Suede</t>
  </si>
  <si>
    <t xml:space="preserve">womens-wedge-open-toe-buckle-strap-suede</t>
  </si>
  <si>
    <t xml:space="preserve">Women's Wedge | Open Toe Slingback Rhinestone Embellished</t>
  </si>
  <si>
    <t xml:space="preserve">womens-wedge-open-toe-slingback-rhinestone-embellished</t>
  </si>
  <si>
    <t xml:space="preserve">Women's Wedge | Platform Heel Slip-On Woven Strap</t>
  </si>
  <si>
    <t xml:space="preserve">womens-wedge-platform-heel-slip-on-woven-strap</t>
  </si>
  <si>
    <t xml:space="preserve">Women's Flip Flop | Open Toe Chain Detail Croc Print Sole</t>
  </si>
  <si>
    <t xml:space="preserve">womens-flip-flop-open-toe-chain-detail-croc-print-sole</t>
  </si>
  <si>
    <t xml:space="preserve">Women's Wedge | Glitter Upper Slip On Flatform Sole Pointed Toe</t>
  </si>
  <si>
    <t xml:space="preserve">womens-wedge-glitter-upper-slip-on-flatform-sole-pointed-toe</t>
  </si>
  <si>
    <t xml:space="preserve">Women's Wedge | Open Toe Strappy Textured Upper Metallic Ring</t>
  </si>
  <si>
    <t xml:space="preserve">womens-wedge-open-toe-strappy-textured-upper-metallic-ring</t>
  </si>
  <si>
    <t xml:space="preserve">Women's Two Piece Set | Sleeveless High Neck Button Closure</t>
  </si>
  <si>
    <t xml:space="preserve">womens-two-piece-set-sleeveless-high-neck-button-closure</t>
  </si>
  <si>
    <t xml:space="preserve">Women's Two Piece Set | V-Neck Sleeveless Knit Over Hip</t>
  </si>
  <si>
    <t xml:space="preserve">womens-two-piece-set-v-neck-sleeveless-knit-over-hip</t>
  </si>
  <si>
    <t xml:space="preserve">Women's Two Piece Skirt Set | Square Neck Sleeveless Polka Dot</t>
  </si>
  <si>
    <t xml:space="preserve">womens-two-piece-skirt-set-square-neck-sleeveless-polka-dot</t>
  </si>
  <si>
    <t xml:space="preserve">Women's Two Piece Set | Knit Crew Neck Short Sleeve Linen</t>
  </si>
  <si>
    <t xml:space="preserve">womens-two-piece-set-knit-crew-neck-short-sleeve-linen</t>
  </si>
  <si>
    <t xml:space="preserve">Women's Co Ord Set | Maxi Pants Relaxed Drape Soft Knit</t>
  </si>
  <si>
    <t xml:space="preserve">womens-co-ord-set-maxi-pants-relaxed-drape-soft-knit</t>
  </si>
  <si>
    <t xml:space="preserve">Women's Co Ord Set | Striped Asymmetric Tunic Wide Leg Linen</t>
  </si>
  <si>
    <t xml:space="preserve">womens-co-ord-set-striped-asymmetric-tunic-wide-leg-linen</t>
  </si>
  <si>
    <t xml:space="preserve">Women's Two Piece Pants Set | Half-High Neck Long Sleeves Wide Leg</t>
  </si>
  <si>
    <t xml:space="preserve">womens-two-piece-pants-set-half-high-neck-long-sleeves-wide-leg</t>
  </si>
  <si>
    <t xml:space="preserve">Women's Two Piece Pants Set | Off Shoulder Knit Batwing Sleeve</t>
  </si>
  <si>
    <t xml:space="preserve">womens-two-piece-pants-set-off-shoulder-knit-batwing-sleeve</t>
  </si>
  <si>
    <t xml:space="preserve">Women's Two Piece Pants Set | Turtleneck Three-Quarter Sleeve Knit Cargo Pockets</t>
  </si>
  <si>
    <t xml:space="preserve">womens-two-piece-pants-set-turtleneck-three-quarter-sleeve-knit-cargo-pockets</t>
  </si>
  <si>
    <t xml:space="preserve">Women's Two Piece Skirt Set | Cold Shoulder Batwing Sleeve Midi</t>
  </si>
  <si>
    <t xml:space="preserve">womens-two-piece-skirt-set-cold-shoulder-batwing-sleeve-midi</t>
  </si>
  <si>
    <t xml:space="preserve">Women's Beach Shorts | Relaxed Fit Drawstring Elastic Waist</t>
  </si>
  <si>
    <t xml:space="preserve">womens-beach-shorts-relaxed-fit-drawstring-elastic-waist</t>
  </si>
  <si>
    <t xml:space="preserve">Women's Bermuda Shorts | High Waist Tailored Flat Front Pockets</t>
  </si>
  <si>
    <t xml:space="preserve">womens-bermuda-shorts-high-waist-tailored-flat-front-pockets</t>
  </si>
  <si>
    <t xml:space="preserve">Women's Denim Shorts | Adjustable Straps Wide Leg Soft Denim</t>
  </si>
  <si>
    <t xml:space="preserve">womens-denim-shorts-adjustable-straps-wide-leg-soft-denim</t>
  </si>
  <si>
    <t xml:space="preserve">Women's Denim Shorts | Distressed Front Ripped Raw Hem</t>
  </si>
  <si>
    <t xml:space="preserve">womens-denim-shorts-distressed-front-ripped-raw-hem</t>
  </si>
  <si>
    <t xml:space="preserve">Women's Jean Shorts | Distressed Denim Mid-Rise</t>
  </si>
  <si>
    <t xml:space="preserve">womens-jean-shorts-distressed-denim-mid-rise</t>
  </si>
  <si>
    <t xml:space="preserve">Women's Mini Shorts | High Rise Denim Close Fit</t>
  </si>
  <si>
    <t xml:space="preserve">womens-mini-shorts-high-rise-denim-close-fit</t>
  </si>
  <si>
    <t xml:space="preserve">Women's Bermuda Shorts | Elastic Waist Knee Length Linen</t>
  </si>
  <si>
    <t xml:space="preserve">womens-bermuda-shorts-elastic-waist-knee-length-linen</t>
  </si>
  <si>
    <t xml:space="preserve">Women's Bermuda Shorts | Knee-Length Elastic Waist Pockets</t>
  </si>
  <si>
    <t xml:space="preserve">womens-bermuda-shorts-knee-length-elastic-waist-pockets</t>
  </si>
  <si>
    <t xml:space="preserve">Women's Denim Shorts | Distressed Frayed Hem Regular Fit</t>
  </si>
  <si>
    <t xml:space="preserve">womens-denim-shorts-distressed-frayed-hem-regular-fit</t>
  </si>
  <si>
    <t xml:space="preserve">Women's Denim Shorts | Distressed Ripped Hem Button Fly</t>
  </si>
  <si>
    <t xml:space="preserve">womens-denim-shorts-distressed-ripped-hem-button-fly</t>
  </si>
  <si>
    <t xml:space="preserve">Women's Denim Shorts | High-Rise Wide-Leg Rolled Cuff Denim</t>
  </si>
  <si>
    <t xml:space="preserve">womens-denim-shorts-high-rise-wide-leg-rolled-cuff-denim</t>
  </si>
  <si>
    <t xml:space="preserve">Women's Denim Shorts | High-Waisted Structured Rolled Hem</t>
  </si>
  <si>
    <t xml:space="preserve">womens-denim-shorts-high-waisted-structured-rolled-hem</t>
  </si>
  <si>
    <t xml:space="preserve">Women's Jean Shorts | Mid-rise Denim Button Cuffed</t>
  </si>
  <si>
    <t xml:space="preserve">womens-jean-shorts-mid-rise-denim-button-cuffed</t>
  </si>
  <si>
    <t xml:space="preserve">Women's Jean Shorts | Straight Leg Knee Length Denim</t>
  </si>
  <si>
    <t xml:space="preserve">womens-jean-shorts-straight-leg-knee-length-denim</t>
  </si>
  <si>
    <t xml:space="preserve">Women's Mini Shorts | High Rise Relaxed Fit Button Detail</t>
  </si>
  <si>
    <t xml:space="preserve">womens-mini-shorts-high-rise-relaxed-fit-button-detail</t>
  </si>
  <si>
    <t xml:space="preserve">Women's Mini Shorts | Relaxed Fit Elastic Waist Lightweight</t>
  </si>
  <si>
    <t xml:space="preserve">womens-mini-shorts-relaxed-fit-elastic-waist-lightweight</t>
  </si>
  <si>
    <t xml:space="preserve">Women's Satin Skirt | Maxi Floral Print Elasticated Waist</t>
  </si>
  <si>
    <t xml:space="preserve">womens-satin-skirt-maxi-floral-print-elasticated-waist</t>
  </si>
  <si>
    <t xml:space="preserve">Women's Skort | Midi Pleated Striped Multicolor</t>
  </si>
  <si>
    <t xml:space="preserve">womens-skort-midi-pleated-striped-multicolor</t>
  </si>
  <si>
    <t xml:space="preserve">Women's A Line Skirt | Midi Length Flared Silhouette Smooth Satin</t>
  </si>
  <si>
    <t xml:space="preserve">womens-a-line-skirt-midi-length-flared-silhouette-smooth-satin</t>
  </si>
  <si>
    <t xml:space="preserve">Women's Long Skirt | Maxi Length Pleated Tulle A-Line</t>
  </si>
  <si>
    <t xml:space="preserve">womens-long-skirt-maxi-length-pleated-tulle-a-line</t>
  </si>
  <si>
    <t xml:space="preserve">Women's Maxi Skirt | High Waist A-Line Midi Pockets</t>
  </si>
  <si>
    <t xml:space="preserve">womens-maxi-skirt-high-waist-a-line-midi-pockets</t>
  </si>
  <si>
    <t xml:space="preserve">Women's Midi Skirt | A-Line Waist Tie Pleated</t>
  </si>
  <si>
    <t xml:space="preserve">womens-midi-skirt-a-line-waist-tie-pleated</t>
  </si>
  <si>
    <t xml:space="preserve">Women's Mini Skirt | Tiered Mesh Elastic Waist Above Knee</t>
  </si>
  <si>
    <t xml:space="preserve">womens-mini-skirt-tiered-mesh-elastic-waist-above-knee</t>
  </si>
  <si>
    <t xml:space="preserve">Women's Pleated Skirt | Midi Length Tulle Sequin Embellished</t>
  </si>
  <si>
    <t xml:space="preserve">womens-pleated-skirt-midi-length-tulle-sequin-embellished</t>
  </si>
  <si>
    <t xml:space="preserve">Women's Satin Skirt | Midi Length High Waist Fishtail</t>
  </si>
  <si>
    <t xml:space="preserve">womens-satin-skirt-midi-length-high-waist-fishtail</t>
  </si>
  <si>
    <t xml:space="preserve">Women's Satin Skirt | Mini Length Lace Corset Sweetheart Sleeveless</t>
  </si>
  <si>
    <t xml:space="preserve">womens-satin-skirt-mini-length-lace-corset-sweetheart-sleeveless</t>
  </si>
  <si>
    <t xml:space="preserve">Women's Skort | Maxi Length Embroidered Scalloped Hem</t>
  </si>
  <si>
    <t xml:space="preserve">womens-skort-maxi-length-embroidered-scalloped-hem</t>
  </si>
  <si>
    <t xml:space="preserve">Women's Skort | Midi Length Floral Print Mesh Elastic Waist</t>
  </si>
  <si>
    <t xml:space="preserve">womens-skort-midi-length-floral-print-mesh-elastic-waist</t>
  </si>
  <si>
    <t xml:space="preserve">Women's A Line Skirt | Maxi Pleated Elastic Waist A-line</t>
  </si>
  <si>
    <t xml:space="preserve">womens-a-line-skirt-maxi-pleated-elastic-waist-a-line</t>
  </si>
  <si>
    <t xml:space="preserve">Women's Denim Skirt | Maxi Length Button Front Tiered</t>
  </si>
  <si>
    <t xml:space="preserve">womens-denim-skirt-maxi-length-button-front-tiered</t>
  </si>
  <si>
    <t xml:space="preserve">Women's Denim Skirt | Maxi Length High Waist Split Denim</t>
  </si>
  <si>
    <t xml:space="preserve">womens-denim-skirt-maxi-length-high-waist-split-denim</t>
  </si>
  <si>
    <t xml:space="preserve">Women's Denim Skirt | Maxi Length Tiered Mesh Button Front</t>
  </si>
  <si>
    <t xml:space="preserve">womens-denim-skirt-maxi-length-tiered-mesh-button-front</t>
  </si>
  <si>
    <t xml:space="preserve">Women's Denim Skirt | Midi Length Button Front A-Line Raw Hem</t>
  </si>
  <si>
    <t xml:space="preserve">womens-denim-skirt-midi-length-button-front-a-line-raw-hem</t>
  </si>
  <si>
    <t xml:space="preserve">Women's Long Skirt | Maxi Plaid Wool A-Line Flared</t>
  </si>
  <si>
    <t xml:space="preserve">womens-long-skirt-maxi-plaid-wool-a-line-flared</t>
  </si>
  <si>
    <t xml:space="preserve">Women's Maxi Skirt | Flowing Linen Elastic Waist Ankle Length</t>
  </si>
  <si>
    <t xml:space="preserve">womens-maxi-skirt-flowing-linen-elastic-waist-ankle-length</t>
  </si>
  <si>
    <t xml:space="preserve">Women's Maxi Skirt | Knit Sweater Top Pleated Maxi</t>
  </si>
  <si>
    <t xml:space="preserve">womens-maxi-skirt-knit-sweater-top-pleated-maxi</t>
  </si>
  <si>
    <t xml:space="preserve">Women's Maxi Skirt | Long Sleeves Round Neckline Satin Chiffon</t>
  </si>
  <si>
    <t xml:space="preserve">womens-maxi-skirt-long-sleeves-round-neckline-satin-chiffon</t>
  </si>
  <si>
    <t xml:space="preserve">Women's Maxi Skirt | Striped Pleated Maxi Woven</t>
  </si>
  <si>
    <t xml:space="preserve">womens-maxi-skirt-striped-pleated-maxi-woven</t>
  </si>
  <si>
    <t xml:space="preserve">Women's Maxi Skirt | Tiered Lace Strapless Maxi</t>
  </si>
  <si>
    <t xml:space="preserve">womens-maxi-skirt-tiered-lace-strapless-maxi</t>
  </si>
  <si>
    <t xml:space="preserve">Women's Midi Skirt | High Waist Draped Satin</t>
  </si>
  <si>
    <t xml:space="preserve">womens-midi-skirt-high-waist-draped-satin</t>
  </si>
  <si>
    <t xml:space="preserve">Women's Midi Skirt | High Waist Fitted Midi</t>
  </si>
  <si>
    <t xml:space="preserve">womens-midi-skirt-high-waist-fitted-midi</t>
  </si>
  <si>
    <t xml:space="preserve">Women's Midi Skirt | Jacquard Print Elastic Waist Maxi Length</t>
  </si>
  <si>
    <t xml:space="preserve">womens-midi-skirt-jacquard-print-elastic-waist-maxi-length</t>
  </si>
  <si>
    <t xml:space="preserve">Women's Midi Skirt | Maxi Length Linen Print Embellishment A-Line</t>
  </si>
  <si>
    <t xml:space="preserve">womens-midi-skirt-maxi-length-linen-print-embellishment-a-line</t>
  </si>
  <si>
    <t xml:space="preserve">Women's Mini Skirt | Pleated A-Line High Waist Knit</t>
  </si>
  <si>
    <t xml:space="preserve">womens-mini-skirt-pleated-a-line-high-waist-knit</t>
  </si>
  <si>
    <t xml:space="preserve">Women's Mini Skirt | Suede V-Seam Fringe Mini</t>
  </si>
  <si>
    <t xml:space="preserve">womens-mini-skirt-suede-v-seam-fringe-mini</t>
  </si>
  <si>
    <t xml:space="preserve">Women's Pleated Skirt | V-Neck Maxi Tie Waist Long Sleeve</t>
  </si>
  <si>
    <t xml:space="preserve">womens-pleated-skirt-v-neck-maxi-tie-waist-long-sleeve</t>
  </si>
  <si>
    <t xml:space="preserve">Women's Pleated Skirt | V-Neck Sleeveless Midi Floral</t>
  </si>
  <si>
    <t xml:space="preserve">womens-pleated-skirt-v-neck-sleeveless-midi-floral</t>
  </si>
  <si>
    <t xml:space="preserve">Women's Skort | Midi Length Wrap Closure Linen</t>
  </si>
  <si>
    <t xml:space="preserve">womens-skort-midi-length-wrap-closure-linen</t>
  </si>
  <si>
    <t xml:space="preserve">Women's Platform Sneakers | Lace Up Cushioned Suede</t>
  </si>
  <si>
    <t xml:space="preserve">womens-platform-sneakers-lace-up-cushioned-suede</t>
  </si>
  <si>
    <t xml:space="preserve">Women's Platform Sneakers | Lace-Up Round Toe Studded Upper</t>
  </si>
  <si>
    <t xml:space="preserve">womens-platform-sneakers-lace-up-round-toe-studded-upper</t>
  </si>
  <si>
    <t xml:space="preserve">Women's Platform Sneakers | Lace-Up Rounded Toe Low-Top</t>
  </si>
  <si>
    <t xml:space="preserve">womens-platform-sneakers-lace-up-rounded-toe-low-top</t>
  </si>
  <si>
    <t xml:space="preserve">Women's Platform Sneakers | Metallic Upper Lace Closure Zipper</t>
  </si>
  <si>
    <t xml:space="preserve">womens-platform-sneakers-metallic-upper-lace-closure-zipper</t>
  </si>
  <si>
    <t xml:space="preserve">Women's Bikini Top | V-Neck High Waist Swimwear</t>
  </si>
  <si>
    <t xml:space="preserve">womens-bikini-top-v-neck-high-waist-swimwear</t>
  </si>
  <si>
    <t xml:space="preserve">Women's High Waisted Bikini | Sweetheart Neckline Tie Back Pleated</t>
  </si>
  <si>
    <t xml:space="preserve">womens-high-waisted-bikini-sweetheart-neckline-tie-back-pleated</t>
  </si>
  <si>
    <t xml:space="preserve">Women's One Piece Swimsuit | Scoop Neck Racerback Sleeveless Print</t>
  </si>
  <si>
    <t xml:space="preserve">womens-one-piece-swimsuit-scoop-neck-racerback-sleeveless-print</t>
  </si>
  <si>
    <t xml:space="preserve">Women's One Piece Swimsuit | Sweetheart Neckline Ruched Skirt</t>
  </si>
  <si>
    <t xml:space="preserve">womens-one-piece-swimsuit-sweetheart-neckline-ruched-skirt</t>
  </si>
  <si>
    <t xml:space="preserve">Women's Push Up Bikini | V-Neck Ribbed Knit Ring Detail</t>
  </si>
  <si>
    <t xml:space="preserve">womens-push-up-bikini-v-neck-ribbed-knit-ring-detail</t>
  </si>
  <si>
    <t xml:space="preserve">Women's Bikini Bottom | Crossover Wrap High-Rise Ruched</t>
  </si>
  <si>
    <t xml:space="preserve">womens-bikini-bottom-crossover-wrap-high-rise-ruched</t>
  </si>
  <si>
    <t xml:space="preserve">Women's Bikini Bottom | Striped Adjustable Strap Tie Back</t>
  </si>
  <si>
    <t xml:space="preserve">womens-bikini-bottom-striped-adjustable-strap-tie-back</t>
  </si>
  <si>
    <t xml:space="preserve">Women's Bikini Top | Halter Neckline Triangle Cups Open Back</t>
  </si>
  <si>
    <t xml:space="preserve">womens-bikini-top-halter-neckline-triangle-cups-open-back</t>
  </si>
  <si>
    <t xml:space="preserve">Women's Bikini Top | Ribbed Knit Scoop Neck Spaghetti Strap</t>
  </si>
  <si>
    <t xml:space="preserve">womens-bikini-top-ribbed-knit-scoop-neck-spaghetti-strap</t>
  </si>
  <si>
    <t xml:space="preserve">Women's Bikini Top | Textured Scoop Neck Spaghetti Strap Cropped</t>
  </si>
  <si>
    <t xml:space="preserve">womens-bikini-top-textured-scoop-neck-spaghetti-strap-cropped</t>
  </si>
  <si>
    <t xml:space="preserve">Women's High Waisted Bikini | V-Neck Adjustable Straps Supportive</t>
  </si>
  <si>
    <t xml:space="preserve">womens-high-waisted-bikini-v-neck-adjustable-straps-supportive</t>
  </si>
  <si>
    <t xml:space="preserve">Women's High Waisted Bikini | Wrap V-Neck Floral Print Cut-Out</t>
  </si>
  <si>
    <t xml:space="preserve">womens-high-waisted-bikini-wrap-v-neck-floral-print-cut-out</t>
  </si>
  <si>
    <t xml:space="preserve">Women's Push Up Bikini | Geometric Print Halter Tie Underwire</t>
  </si>
  <si>
    <t xml:space="preserve">womens-push-up-bikini-geometric-print-halter-tie-underwire</t>
  </si>
  <si>
    <t xml:space="preserve">Women's Tankini | Sweetheart Neckline Leaf Print Tie Closure</t>
  </si>
  <si>
    <t xml:space="preserve">womens-tankini-sweetheart-neckline-leaf-print-tie-closure</t>
  </si>
  <si>
    <t xml:space="preserve">Women's Tankini | Sweetheart Neckline Tie Side Adjustable</t>
  </si>
  <si>
    <t xml:space="preserve">womens-tankini-sweetheart-neckline-tie-side-adjustable</t>
  </si>
  <si>
    <t xml:space="preserve">Women's Triangle Bikini | Halter Neck Push Up Adjustable</t>
  </si>
  <si>
    <t xml:space="preserve">womens-triangle-bikini-halter-neck-push-up-adjustable</t>
  </si>
  <si>
    <t xml:space="preserve">Women's Triangle Bikini | Halter Neck String Tie Side</t>
  </si>
  <si>
    <t xml:space="preserve">womens-triangle-bikini-halter-neck-string-tie-side</t>
  </si>
  <si>
    <t xml:space="preserve">Women's Triangle Bikini | Halter Tie Straps Adjustable Back Closure</t>
  </si>
  <si>
    <t xml:space="preserve">womens-triangle-bikini-halter-tie-straps-adjustable-back-closure</t>
  </si>
  <si>
    <t xml:space="preserve">Women's Bikini Bottom | Halter Neckline Ring Detail Drawstring</t>
  </si>
  <si>
    <t xml:space="preserve">womens-bikini-bottom-halter-neckline-ring-detail-drawstring</t>
  </si>
  <si>
    <t xml:space="preserve">Women's Bikini Set | Sweetheart Neckline High Waist Ruched</t>
  </si>
  <si>
    <t xml:space="preserve">womens-bikini-set-sweetheart-neckline-high-waist-ruched</t>
  </si>
  <si>
    <t xml:space="preserve">Women's Bikini Set | V Neck Ruched Short Sleeve Drawstring</t>
  </si>
  <si>
    <t xml:space="preserve">womens-bikini-set-v-neck-ruched-short-sleeve-drawstring</t>
  </si>
  <si>
    <t xml:space="preserve">Women's Bikini Set | Wrap Front V-Neck Floral Bandeau</t>
  </si>
  <si>
    <t xml:space="preserve">womens-bikini-set-wrap-front-v-neck-floral-bandeau</t>
  </si>
  <si>
    <t xml:space="preserve">Women's Long Sleeve Swimsuit | Floral Print Cutout Crew Neck</t>
  </si>
  <si>
    <t xml:space="preserve">womens-long-sleeve-swimsuit-floral-print-cutout-crew-neck</t>
  </si>
  <si>
    <t xml:space="preserve">Women's Long Sleeve Swimsuit | Zip Front V Neck Long Sleeve</t>
  </si>
  <si>
    <t xml:space="preserve">womens-long-sleeve-swimsuit-zip-front-v-neck-long-sleeve</t>
  </si>
  <si>
    <t xml:space="preserve">Women's One Piece Swimsuit | Deep V-Neck Striped Sleeveless</t>
  </si>
  <si>
    <t xml:space="preserve">womens-one-piece-swimsuit-deep-v-neck-striped-sleeveless</t>
  </si>
  <si>
    <t xml:space="preserve">Women's One Piece Swimsuit | Strapless Ruched Front High Cut</t>
  </si>
  <si>
    <t xml:space="preserve">womens-one-piece-swimsuit-strapless-ruched-front-high-cut</t>
  </si>
  <si>
    <t xml:space="preserve">Women's One Piece Swimsuit | Strapless Ruffle Denim Sculpting</t>
  </si>
  <si>
    <t xml:space="preserve">womens-one-piece-swimsuit-strapless-ruffle-denim-sculpting</t>
  </si>
  <si>
    <t xml:space="preserve">Women's One Piece Swimsuit | Wrapped Neckline Adjustable Straps Chlorine Resistant</t>
  </si>
  <si>
    <t xml:space="preserve">womens-one-piece-swimsuit-wrapped-neckline-adjustable-straps-chlorine-resistant</t>
  </si>
  <si>
    <t xml:space="preserve">Women's Tankini | V-Neck Halter Ruched Sides</t>
  </si>
  <si>
    <t xml:space="preserve">womens-tankini-v-neck-halter-ruched-sides</t>
  </si>
  <si>
    <t xml:space="preserve">Women's Bikini Set | V Neck Tie Front Ruched Cover Up</t>
  </si>
  <si>
    <t xml:space="preserve">womens-bikini-set-v-neck-tie-front-ruched-cover-up</t>
  </si>
  <si>
    <t xml:space="preserve">Women's Tankini | V-Neck Sleeveless Ruched Flared</t>
  </si>
  <si>
    <t xml:space="preserve">womens-tankini-v-neck-sleeveless-ruched-flared</t>
  </si>
  <si>
    <t xml:space="preserve">Women's Tankini | V-Neck Tank Top Polka Dot Shorts</t>
  </si>
  <si>
    <t xml:space="preserve">womens-tankini-v-neck-tank-top-polka-dot-shorts</t>
  </si>
  <si>
    <t xml:space="preserve">Women's Denim Top | V-Neck Relaxed Fit Three-Quarter Sleeve</t>
  </si>
  <si>
    <t xml:space="preserve">womens-denim-top-v-neck-relaxed-fit-three-quarter-sleeve</t>
  </si>
  <si>
    <t xml:space="preserve">Women's Denim Top | V-Neck Sleeveless Mesh Panel Zip</t>
  </si>
  <si>
    <t xml:space="preserve">womens-denim-top-v-neck-sleeveless-mesh-panel-zip</t>
  </si>
  <si>
    <t xml:space="preserve">Women's Going Out Top | One Shoulder Asymmetric Knit Sleeveless</t>
  </si>
  <si>
    <t xml:space="preserve">womens-going-out-top-one-shoulder-asymmetric-knit-sleeveless</t>
  </si>
  <si>
    <t xml:space="preserve">Women's Lace Top | V-Neck Sleeveless Scalloped Hem Linen</t>
  </si>
  <si>
    <t xml:space="preserve">womens-lace-top-v-neck-sleeveless-scalloped-hem-linen</t>
  </si>
  <si>
    <t xml:space="preserve">Women's Mesh Top | V-Neck Sleeveless Sequin</t>
  </si>
  <si>
    <t xml:space="preserve">womens-mesh-top-v-neck-sleeveless-sequin</t>
  </si>
  <si>
    <t xml:space="preserve">Women's Polka Dot Top | Round Neck Sleeveless Fitted Knit</t>
  </si>
  <si>
    <t xml:space="preserve">womens-polka-dot-top-round-neck-sleeveless-fitted-knit</t>
  </si>
  <si>
    <t xml:space="preserve">Women's Sheer Top | Mock Neck Long Sleeve Lace</t>
  </si>
  <si>
    <t xml:space="preserve">womens-sheer-top-mock-neck-long-sleeve-lace</t>
  </si>
  <si>
    <t xml:space="preserve">Women's Summer Top | Polo Collar Short Sleeve Cotton Linen</t>
  </si>
  <si>
    <t xml:space="preserve">womens-summer-top-polo-collar-short-sleeve-cotton-linen</t>
  </si>
  <si>
    <t xml:space="preserve">Women's T Shirt | V Neck Short Sleeve Twist Front</t>
  </si>
  <si>
    <t xml:space="preserve">womens-t-shirt-v-neck-short-sleeve-twist-front</t>
  </si>
  <si>
    <t xml:space="preserve">Women's Tank Top | V-Neck Long Sleeve Cotton Loose</t>
  </si>
  <si>
    <t xml:space="preserve">womens-tank-top-v-neck-long-sleeve-cotton-loose</t>
  </si>
  <si>
    <t xml:space="preserve">Women's t shirt | V-Neck Short Sleeve Embroidered Linen-Blend</t>
  </si>
  <si>
    <t xml:space="preserve">womens-t-shirt-v-neck-short-sleeve-embroidered-linen-blend</t>
  </si>
  <si>
    <t xml:space="preserve">Women's Lace Top | Square Neckline Three-Quarter Sleeve Denim</t>
  </si>
  <si>
    <t xml:space="preserve">womens-lace-top-square-neckline-three-quarter-sleeve-denim</t>
  </si>
  <si>
    <t xml:space="preserve">Women's Off The Shoulder Top | Semi-Sheer Knit Long Sleeve Relaxed</t>
  </si>
  <si>
    <t xml:space="preserve">womens-off-the-shoulder-top-semi-sheer-knit-long-sleeve-relaxed</t>
  </si>
  <si>
    <t xml:space="preserve">Women's Sequin Top | Round Neck Long Sleeve Mesh</t>
  </si>
  <si>
    <t xml:space="preserve">womens-sequin-top-round-neck-long-sleeve-mesh</t>
  </si>
  <si>
    <t xml:space="preserve">Women's Sparkly Top | V-Neck Long Sleeve Sequin</t>
  </si>
  <si>
    <t xml:space="preserve">womens-sparkly-top-v-neck-long-sleeve-sequin</t>
  </si>
  <si>
    <t xml:space="preserve">Women's Tank Top | Halter Neckline Button Front Denim</t>
  </si>
  <si>
    <t xml:space="preserve">womens-tank-top-halter-neckline-button-front-denim</t>
  </si>
  <si>
    <t xml:space="preserve">Women's Tank Top | Shirt Collar Long Sleeve Mesh</t>
  </si>
  <si>
    <t xml:space="preserve">womens-tank-top-shirt-collar-long-sleeve-mesh</t>
  </si>
  <si>
    <t xml:space="preserve">Women's Asymmetrical Top | Turtleneck Long Sleeve Draped Knit</t>
  </si>
  <si>
    <t xml:space="preserve">womens-asymmetrical-top-turtleneck-long-sleeve-draped-knit</t>
  </si>
  <si>
    <t xml:space="preserve">Women's Asymmetrical Top | V Neck Long Sleeve Wrap</t>
  </si>
  <si>
    <t xml:space="preserve">womens-asymmetrical-top-v-neck-long-sleeve-wrap</t>
  </si>
  <si>
    <t xml:space="preserve">Women's Camisole | Cowl Neck Button Closure Knit</t>
  </si>
  <si>
    <t xml:space="preserve">womens-camisole-cowl-neck-button-closure-knit</t>
  </si>
  <si>
    <t xml:space="preserve">Women's Camisole | V-Neck Button Closure Short Sleeve</t>
  </si>
  <si>
    <t xml:space="preserve">womens-camisole-v-neck-button-closure-short-sleeve</t>
  </si>
  <si>
    <t xml:space="preserve">Women's Corset Top | Crinkle Texture Light-Filtering Grommet</t>
  </si>
  <si>
    <t xml:space="preserve">womens-corset-top-crinkle-texture-light-filtering-grommet</t>
  </si>
  <si>
    <t xml:space="preserve">Women's Corset Top | Grommet Closure Sleeveless Fitted</t>
  </si>
  <si>
    <t xml:space="preserve">womens-corset-top-grommet-closure-sleeveless-fitted</t>
  </si>
  <si>
    <t xml:space="preserve">Women's Corset Top | Square Neck Denim Sleeveless Structured</t>
  </si>
  <si>
    <t xml:space="preserve">womens-corset-top-square-neck-denim-sleeveless-structured</t>
  </si>
  <si>
    <t xml:space="preserve">Women's Going Out Top | Lace Detail Short Sleeve Crew Knit</t>
  </si>
  <si>
    <t xml:space="preserve">womens-going-out-top-lace-detail-short-sleeve-crew-knit</t>
  </si>
  <si>
    <t xml:space="preserve">Women's Going Out Top | Lapel Collar Sequin Sleeves</t>
  </si>
  <si>
    <t xml:space="preserve">womens-going-out-top-lapel-collar-sequin-sleeves</t>
  </si>
  <si>
    <t xml:space="preserve">Women's Going Out Top | V-Neck Button Long Sleeve</t>
  </si>
  <si>
    <t xml:space="preserve">womens-going-out-top-v-neck-button-long-sleeve</t>
  </si>
  <si>
    <t xml:space="preserve">Women's Halter Top | Crochet V-Neck Halter Adjustable Back</t>
  </si>
  <si>
    <t xml:space="preserve">womens-halter-top-crochet-v-neck-halter-adjustable-back</t>
  </si>
  <si>
    <t xml:space="preserve">Women's Halter Top | Gathered Neckline Sleeveless Loose Fit</t>
  </si>
  <si>
    <t xml:space="preserve">womens-halter-top-gathered-neckline-sleeveless-loose-fit</t>
  </si>
  <si>
    <t xml:space="preserve">Women's Halter Top | Round Neck Sleeveless Knit</t>
  </si>
  <si>
    <t xml:space="preserve">womens-halter-top-round-neck-sleeveless-knit</t>
  </si>
  <si>
    <t xml:space="preserve">Women's Halter Top | Ruffled Neckline Sleeveless Open Back</t>
  </si>
  <si>
    <t xml:space="preserve">womens-halter-top-ruffled-neckline-sleeveless-open-back</t>
  </si>
  <si>
    <t xml:space="preserve">Women's Halter Top | Sleeveless Halter Neck Cotton Linen</t>
  </si>
  <si>
    <t xml:space="preserve">womens-halter-top-sleeveless-halter-neck-cotton-linen</t>
  </si>
  <si>
    <t xml:space="preserve">Women's Lace Cami | V Neck Sleeveless Knit Straight Fit</t>
  </si>
  <si>
    <t xml:space="preserve">womens-lace-cami-v-neck-sleeveless-knit-straight-fit</t>
  </si>
  <si>
    <t xml:space="preserve">Women's Lace Cami | V-Neck Spaghetti Straps Scalloped Hem</t>
  </si>
  <si>
    <t xml:space="preserve">womens-lace-cami-v-neck-spaghetti-straps-scalloped-hem</t>
  </si>
  <si>
    <t xml:space="preserve">Women's Lace Top | Scalloped Neckline Short Sleeve Floral</t>
  </si>
  <si>
    <t xml:space="preserve">womens-lace-top-scalloped-neckline-short-sleeve-floral</t>
  </si>
  <si>
    <t xml:space="preserve">Women's Linen Shirt | Collared V-Neck Button-Front Relaxed</t>
  </si>
  <si>
    <t xml:space="preserve">womens-linen-shirt-collared-v-neck-button-front-relaxed</t>
  </si>
  <si>
    <t xml:space="preserve">Women's Linen Top | V-Neck Button Closure Three-Quarter Sleeve</t>
  </si>
  <si>
    <t xml:space="preserve">womens-linen-top-v-neck-button-closure-three-quarter-sleeve</t>
  </si>
  <si>
    <t xml:space="preserve">Women's Linen Top | V-Neck Button Relaxed Fit</t>
  </si>
  <si>
    <t xml:space="preserve">womens-linen-top-v-neck-button-relaxed-fit</t>
  </si>
  <si>
    <t xml:space="preserve">Women's Mesh Top | Crew Neck Long Sleeve Shimmer Knit</t>
  </si>
  <si>
    <t xml:space="preserve">womens-mesh-top-crew-neck-long-sleeve-shimmer-knit</t>
  </si>
  <si>
    <t xml:space="preserve">Women's Off The Shoulder Top | Denim Long Sleeve Cold Shoulder</t>
  </si>
  <si>
    <t xml:space="preserve">womens-off-the-shoulder-top-denim-long-sleeve-cold-shoulder</t>
  </si>
  <si>
    <t xml:space="preserve">Women's Peplum Top | Sweetheart Neckline Flutter Sleeve Tie Closure</t>
  </si>
  <si>
    <t xml:space="preserve">womens-peplum-top-sweetheart-neckline-flutter-sleeve-tie-closure</t>
  </si>
  <si>
    <t xml:space="preserve">Women's Peplum Top | Wrap Neckline Sheer Puff Sleeves Belted</t>
  </si>
  <si>
    <t xml:space="preserve">womens-peplum-top-wrap-neckline-sheer-puff-sleeves-belted</t>
  </si>
  <si>
    <t xml:space="preserve">Women's Polka Dot Top | Collar Button Closure Long Sleeve</t>
  </si>
  <si>
    <t xml:space="preserve">womens-polka-dot-top-collar-button-closure-long-sleeve</t>
  </si>
  <si>
    <t xml:space="preserve">Women's Sequin Top | V-Neck Sleeveless Tank</t>
  </si>
  <si>
    <t xml:space="preserve">womens-sequin-top-v-neck-sleeveless-tank</t>
  </si>
  <si>
    <t xml:space="preserve">Women's Sequin Top | Wrap V Neckline Long Sleeve Pullover</t>
  </si>
  <si>
    <t xml:space="preserve">womens-sequin-top-wrap-v-neckline-long-sleeve-pullover</t>
  </si>
  <si>
    <t xml:space="preserve">Women's Sheer Top | Long Sleeve Mesh Round Neck Fitted</t>
  </si>
  <si>
    <t xml:space="preserve">womens-sheer-top-long-sleeve-mesh-round-neck-fitted</t>
  </si>
  <si>
    <t xml:space="preserve">Women's Sparkly Top | Asymmetric Lace Floral Embellished</t>
  </si>
  <si>
    <t xml:space="preserve">womens-sparkly-top-asymmetric-lace-floral-embellished</t>
  </si>
  <si>
    <t xml:space="preserve">Women's Strapless Top | Lace Mesh Bell Sleeves Cutout</t>
  </si>
  <si>
    <t xml:space="preserve">womens-strapless-top-lace-mesh-bell-sleeves-cutout</t>
  </si>
  <si>
    <t xml:space="preserve">Women's Strapless Top | Sweetheart Neckline Sleeveless Corset</t>
  </si>
  <si>
    <t xml:space="preserve">womens-strapless-top-sweetheart-neckline-sleeveless-corset</t>
  </si>
  <si>
    <t xml:space="preserve">Women's Summer Top | Floral Print Button Front Short Sleeve</t>
  </si>
  <si>
    <t xml:space="preserve">womens-summer-top-floral-print-button-front-short-sleeve</t>
  </si>
  <si>
    <t xml:space="preserve">Women's Summer Top | V-Neck Short Sleeve Striped</t>
  </si>
  <si>
    <t xml:space="preserve">womens-summer-top-v-neck-short-sleeve-striped</t>
  </si>
  <si>
    <t xml:space="preserve">Women's Tank Top | Long Sleeve Stand Collar Polka Dot Cotton</t>
  </si>
  <si>
    <t xml:space="preserve">womens-tank-top-long-sleeve-stand-collar-polka-dot-cotton</t>
  </si>
  <si>
    <t xml:space="preserve">Women's Tank Top | Mock Neck Sleeveless Stretch Knit</t>
  </si>
  <si>
    <t xml:space="preserve">womens-tank-top-mock-neck-sleeveless-stretch-knit</t>
  </si>
  <si>
    <t xml:space="preserve">Women's Tank Top | Sleeveless Crew Neck Asymmetrical Overlap Woven</t>
  </si>
  <si>
    <t xml:space="preserve">womens-tank-top-sleeveless-crew-neck-asymmetrical-overlap-woven</t>
  </si>
  <si>
    <t xml:space="preserve">Women's Wrap Top | V-Neck Knit Floral Button-Front</t>
  </si>
  <si>
    <t xml:space="preserve">womens-wrap-top-v-neck-knit-floral-button-front</t>
  </si>
  <si>
    <t xml:space="preserve">Women's Wrap Top | V-Neck Long Sleeve Knit</t>
  </si>
  <si>
    <t xml:space="preserve">womens-wrap-top-v-neck-long-sleeve-knit</t>
  </si>
  <si>
    <t xml:space="preserve">Women's Flare Pants | Drawstring Textured Relaxed Fit</t>
  </si>
  <si>
    <t xml:space="preserve">womens-flare-pants-drawstring-textured-relaxed-fit</t>
  </si>
  <si>
    <t xml:space="preserve">Women's Flare Pants | High Waist Wide Leg Split</t>
  </si>
  <si>
    <t xml:space="preserve">womens-flare-pants-high-waist-wide-leg-split</t>
  </si>
  <si>
    <t xml:space="preserve">Women's Lace Pants | Midi Length Balloon Leg Linen</t>
  </si>
  <si>
    <t xml:space="preserve">womens-lace-pants-midi-length-balloon-leg-linen</t>
  </si>
  <si>
    <t xml:space="preserve">Women's Linen Pants | Elastic Waist Cropped Wide Leg</t>
  </si>
  <si>
    <t xml:space="preserve">womens-linen-pants-elastic-waist-cropped-wide-leg</t>
  </si>
  <si>
    <t xml:space="preserve">Women's Linen Pants | Floral Print Casual Elastic Waist</t>
  </si>
  <si>
    <t xml:space="preserve">womens-linen-pants-floral-print-casual-elastic-waist</t>
  </si>
  <si>
    <t xml:space="preserve">Women's Linen Pants | Wide-Leg Cargo Pockets Loose Fit</t>
  </si>
  <si>
    <t xml:space="preserve">womens-linen-pants-wide-leg-cargo-pockets-loose-fit</t>
  </si>
  <si>
    <t xml:space="preserve">Women's Palazzo Pants | High Waist Drawstring Wide Leg Knit</t>
  </si>
  <si>
    <t xml:space="preserve">womens-palazzo-pants-high-waist-drawstring-wide-leg-knit</t>
  </si>
  <si>
    <t xml:space="preserve">Women's Palazzo Pants | High Waist Wide Leg Drawstring Print</t>
  </si>
  <si>
    <t xml:space="preserve">womens-palazzo-pants-high-waist-wide-leg-drawstring-print</t>
  </si>
  <si>
    <t xml:space="preserve">Women's Palazzo Pants | Wide Leg Drawstring Stripe</t>
  </si>
  <si>
    <t xml:space="preserve">womens-palazzo-pants-wide-leg-drawstring-stripe</t>
  </si>
  <si>
    <t xml:space="preserve">Women's Capri Pants | Relaxed Fit Drawstring Linen Cuffs</t>
  </si>
  <si>
    <t xml:space="preserve">womens-capri-pants-relaxed-fit-drawstring-linen-cuffs</t>
  </si>
  <si>
    <t xml:space="preserve">Women's Capri Pants | Relaxed Fit Linen V-Notch Waistband</t>
  </si>
  <si>
    <t xml:space="preserve">womens-capri-pants-relaxed-fit-linen-v-notch-waistband</t>
  </si>
  <si>
    <t xml:space="preserve">Women's Capri Pants | Cargo Pockets Drawcord Relaxed Fit</t>
  </si>
  <si>
    <t xml:space="preserve">womens-capri-pants-cargo-pockets-drawcord-relaxed-fit</t>
  </si>
  <si>
    <t xml:space="preserve">Women's Capri Pants | Relaxed Wide-Leg Elastic Waist Cropped</t>
  </si>
  <si>
    <t xml:space="preserve">womens-capri-pants-relaxed-wide-leg-elastic-waist-cropped</t>
  </si>
  <si>
    <t xml:space="preserve">Women's Cargo Pants | Midi Length Drawstring Wide Leg Cotton</t>
  </si>
  <si>
    <t xml:space="preserve">womens-cargo-pants-midi-length-drawstring-wide-leg-cotton</t>
  </si>
  <si>
    <t xml:space="preserve">Women's Lace Pants | Floral Embroidered Cropped Relaxed Fit</t>
  </si>
  <si>
    <t xml:space="preserve">womens-lace-pants-floral-embroidered-cropped-relaxed-fit</t>
  </si>
  <si>
    <t xml:space="preserve">Women's Lace Pants | High-Waisted Wide-Leg Denim Zipper</t>
  </si>
  <si>
    <t xml:space="preserve">womens-lace-pants-high-waisted-wide-leg-denim-zipper</t>
  </si>
  <si>
    <t xml:space="preserve">Women's Linen Pants | Drawstring Wide-Leg Sleeveless Crew Chiffon</t>
  </si>
  <si>
    <t xml:space="preserve">womens-linen-pants-drawstring-wide-leg-sleeveless-crew-chiffon</t>
  </si>
  <si>
    <t xml:space="preserve">Women's Mother Of The Groom Dress | Midi Length V-Neck Lace Short Sleeve</t>
  </si>
  <si>
    <t xml:space="preserve">womens-mother-of-the-groom-dress-midi-length-v-neck-lace-short-sleeve</t>
  </si>
  <si>
    <t xml:space="preserve">Women's Wedding Guest Dress | Midi V-Neck Sleeveless Wrap</t>
  </si>
  <si>
    <t xml:space="preserve">womens-wedding-guest-dress-midi-v-neck-sleeveless-wrap</t>
  </si>
  <si>
    <t xml:space="preserve">Women's Formal Wedding Guest Dress | Halter Neckline Maxi Sequin</t>
  </si>
  <si>
    <t xml:space="preserve">womens-formal-wedding-guest-dress-halter-neckline-maxi-sequin</t>
  </si>
  <si>
    <t xml:space="preserve">Women's Mother Of The Groom Dress | Maxi Square Neck Draped</t>
  </si>
  <si>
    <t xml:space="preserve">womens-mother-of-the-groom-dress-maxi-square-neck-draped</t>
  </si>
  <si>
    <t xml:space="preserve">Women's Mother Of The Groom Dress | Midi Length Layered Tiered Front</t>
  </si>
  <si>
    <t xml:space="preserve">womens-mother-of-the-groom-dress-midi-length-layered-tiered-front</t>
  </si>
  <si>
    <t xml:space="preserve">Women's Wedding Guest Cocktail Dress | Midi Wrap V-Neck Sleeveless</t>
  </si>
  <si>
    <t xml:space="preserve">womens-wedding-guest-cocktail-dress-midi-wrap-v-neck-sleeveless</t>
  </si>
  <si>
    <t xml:space="preserve">Women's Wedding Guest Dress | Midi Length Ruffle Sleeve Twisted Waist Knit</t>
  </si>
  <si>
    <t xml:space="preserve">womens-wedding-guest-dress-midi-length-ruffle-sleeve-twisted-waist-knit</t>
  </si>
  <si>
    <t xml:space="preserve">Women's Formal Wedding Guest Dress | Maxi V-Neck Sleeveless Floral</t>
  </si>
  <si>
    <t xml:space="preserve">womens-formal-wedding-guest-dress-maxi-v-neck-sleeveless-floral</t>
  </si>
  <si>
    <t xml:space="preserve">Women's Formal Wedding Guest Dress | Midi Cowl Neck Sleeveless Pleated</t>
  </si>
  <si>
    <t xml:space="preserve">womens-formal-wedding-guest-dress-midi-cowl-neck-sleeveless-pleated</t>
  </si>
  <si>
    <t xml:space="preserve">Women's Formal Wedding Guest Dress | Midi Length Puff Sleeve Floral Print</t>
  </si>
  <si>
    <t xml:space="preserve">womens-formal-wedding-guest-dress-midi-length-puff-sleeve-floral-print</t>
  </si>
  <si>
    <t xml:space="preserve">Women's Wedding Guest Cocktail Dress | Midi Asymmetric Wrap V-Neck Sleeveless</t>
  </si>
  <si>
    <t xml:space="preserve">womens-wedding-guest-cocktail-dress-midi-asymmetric-wrap-v-neck-sleeveless</t>
  </si>
  <si>
    <t xml:space="preserve">Women's Wedding Guest Cocktail Dress | Midi Lace Cap Sleeve Scalloped</t>
  </si>
  <si>
    <t xml:space="preserve">womens-wedding-guest-cocktail-dress-midi-lace-cap-sleeve-scalloped</t>
  </si>
  <si>
    <t xml:space="preserve">Women's Wedding Guest Dress | Maxi Length V-Neck Floral Print Long Sleeve</t>
  </si>
  <si>
    <t xml:space="preserve">womens-wedding-guest-dress-maxi-length-v-neck-floral-print-long-sleeve</t>
  </si>
  <si>
    <t xml:space="preserve">Women's Wedding Guest Dress | Midi Asymmetric Wrap V-Neck Sleeveless</t>
  </si>
  <si>
    <t xml:space="preserve">womens-wedding-guest-dress-midi-asymmetric-wrap-v-neck-sleeveless</t>
  </si>
  <si>
    <t xml:space="preserve">Women's Wedding Guest Dress | Midi Wrap V-Neck Sleeveless Asymmetric</t>
  </si>
  <si>
    <t xml:space="preserve">womens-wedding-guest-dress-midi-wrap-v-neck-sleeveless-asymmetric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</si>
</sst>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A$&quot;#,##0.00"/>
    <numFmt numFmtId="166" formatCode="0.0%;\-0.0%;\-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B394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B39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9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9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f aca="false">COUNTIF('Per product'!$A$2:$A$463,A5)</f>
        <v>56</v>
      </c>
      <c r="C5" s="5" t="n">
        <f aca="false">AVERAGEIF('Per product'!$A$2:$A$463,A5,'Per product'!$D$2:$D$463)</f>
        <v>60.6642857142857</v>
      </c>
      <c r="D5" s="5" t="n">
        <f aca="false">AVERAGEIF('Per product'!$A$2:$A$463,A5,'Per product'!$F$2:$F$463)</f>
        <v>52.45</v>
      </c>
      <c r="E5" s="6" t="n">
        <f aca="false">IF(C5=0,0,D5/C5-1)</f>
        <v>-0.135405628164371</v>
      </c>
      <c r="F5" s="5" t="n">
        <f aca="false">_xlfn.MINIFS('Per product'!$F$2:$F$463,'Per product'!$A$2:$A$463,A5)</f>
        <v>44.95</v>
      </c>
      <c r="G5" s="5" t="n">
        <f aca="false">_xlfn.MAXIFS('Per product'!$F$2:$F$463,'Per product'!$A$2:$A$463,A5)</f>
        <v>54.95</v>
      </c>
      <c r="H5" s="5" t="n">
        <f aca="false">_xlfn.MINIFS('Per product'!$D$2:$D$463,'Per product'!$A$2:$A$463,A5)</f>
        <v>44.95</v>
      </c>
      <c r="I5" s="5" t="n">
        <f aca="false">_xlfn.MAXIFS('Per product'!$D$2:$D$463,'Per product'!$A$2:$A$463,A5)</f>
        <v>69.95</v>
      </c>
    </row>
    <row r="6" customFormat="false" ht="15" hidden="false" customHeight="false" outlineLevel="0" collapsed="false">
      <c r="A6" s="4" t="s">
        <v>12</v>
      </c>
      <c r="B6" s="4" t="n">
        <f aca="false">COUNTIF('Per product'!$A$2:$A$463,A6)</f>
        <v>16</v>
      </c>
      <c r="C6" s="5" t="n">
        <f aca="false">AVERAGEIF('Per product'!$A$2:$A$463,A6,'Per product'!$D$2:$D$463)</f>
        <v>60.575</v>
      </c>
      <c r="D6" s="5" t="n">
        <f aca="false">AVERAGEIF('Per product'!$A$2:$A$463,A6,'Per product'!$F$2:$F$463)</f>
        <v>53.075</v>
      </c>
      <c r="E6" s="6" t="n">
        <f aca="false">IF(C6=0,0,D6/C6-1)</f>
        <v>-0.123813454395378</v>
      </c>
      <c r="F6" s="5" t="n">
        <f aca="false">_xlfn.MINIFS('Per product'!$F$2:$F$463,'Per product'!$A$2:$A$463,A6)</f>
        <v>49.95</v>
      </c>
      <c r="G6" s="5" t="n">
        <f aca="false">_xlfn.MAXIFS('Per product'!$F$2:$F$463,'Per product'!$A$2:$A$463,A6)</f>
        <v>54.95</v>
      </c>
      <c r="H6" s="5" t="n">
        <f aca="false">_xlfn.MINIFS('Per product'!$D$2:$D$463,'Per product'!$A$2:$A$463,A6)</f>
        <v>49.95</v>
      </c>
      <c r="I6" s="5" t="n">
        <f aca="false">_xlfn.MAXIFS('Per product'!$D$2:$D$463,'Per product'!$A$2:$A$463,A6)</f>
        <v>64.95</v>
      </c>
    </row>
    <row r="7" customFormat="false" ht="15" hidden="false" customHeight="false" outlineLevel="0" collapsed="false">
      <c r="A7" s="4" t="s">
        <v>13</v>
      </c>
      <c r="B7" s="4" t="n">
        <f aca="false">COUNTIF('Per product'!$A$2:$A$463,A7)</f>
        <v>32</v>
      </c>
      <c r="C7" s="5" t="n">
        <f aca="false">AVERAGEIF('Per product'!$A$2:$A$463,A7,'Per product'!$D$2:$D$463)</f>
        <v>68.3875</v>
      </c>
      <c r="D7" s="5" t="n">
        <f aca="false">AVERAGEIF('Per product'!$A$2:$A$463,A7,'Per product'!$F$2:$F$463)</f>
        <v>56.825</v>
      </c>
      <c r="E7" s="6" t="n">
        <f aca="false">IF(C7=0,0,D7/C7-1)</f>
        <v>-0.169073295558399</v>
      </c>
      <c r="F7" s="5" t="n">
        <f aca="false">_xlfn.MINIFS('Per product'!$F$2:$F$463,'Per product'!$A$2:$A$463,A7)</f>
        <v>49.95</v>
      </c>
      <c r="G7" s="5" t="n">
        <f aca="false">_xlfn.MAXIFS('Per product'!$F$2:$F$463,'Per product'!$A$2:$A$463,A7)</f>
        <v>64.95</v>
      </c>
      <c r="H7" s="5" t="n">
        <f aca="false">_xlfn.MINIFS('Per product'!$D$2:$D$463,'Per product'!$A$2:$A$463,A7)</f>
        <v>49.95</v>
      </c>
      <c r="I7" s="5" t="n">
        <f aca="false">_xlfn.MAXIFS('Per product'!$D$2:$D$463,'Per product'!$A$2:$A$463,A7)</f>
        <v>89.95</v>
      </c>
    </row>
    <row r="8" customFormat="false" ht="15" hidden="false" customHeight="false" outlineLevel="0" collapsed="false">
      <c r="A8" s="4" t="s">
        <v>14</v>
      </c>
      <c r="B8" s="4" t="n">
        <f aca="false">COUNTIF('Per product'!$A$2:$A$463,A8)</f>
        <v>36</v>
      </c>
      <c r="C8" s="5" t="n">
        <f aca="false">AVERAGEIF('Per product'!$A$2:$A$463,A8,'Per product'!$D$2:$D$463)</f>
        <v>74.5333333333334</v>
      </c>
      <c r="D8" s="5" t="n">
        <f aca="false">AVERAGEIF('Per product'!$A$2:$A$463,A8,'Per product'!$F$2:$F$463)</f>
        <v>59.8111111111111</v>
      </c>
      <c r="E8" s="6" t="n">
        <f aca="false">IF(C8=0,0,D8/C8-1)</f>
        <v>-0.19752534287418</v>
      </c>
      <c r="F8" s="5" t="n">
        <f aca="false">_xlfn.MINIFS('Per product'!$F$2:$F$463,'Per product'!$A$2:$A$463,A8)</f>
        <v>54.95</v>
      </c>
      <c r="G8" s="5" t="n">
        <f aca="false">_xlfn.MAXIFS('Per product'!$F$2:$F$463,'Per product'!$A$2:$A$463,A8)</f>
        <v>64.95</v>
      </c>
      <c r="H8" s="5" t="n">
        <f aca="false">_xlfn.MINIFS('Per product'!$D$2:$D$463,'Per product'!$A$2:$A$463,A8)</f>
        <v>54.95</v>
      </c>
      <c r="I8" s="5" t="n">
        <f aca="false">_xlfn.MAXIFS('Per product'!$D$2:$D$463,'Per product'!$A$2:$A$463,A8)</f>
        <v>94.95</v>
      </c>
    </row>
    <row r="9" customFormat="false" ht="15" hidden="false" customHeight="false" outlineLevel="0" collapsed="false">
      <c r="A9" s="4" t="s">
        <v>15</v>
      </c>
      <c r="B9" s="4" t="n">
        <f aca="false">COUNTIF('Per product'!$A$2:$A$463,A9)</f>
        <v>32</v>
      </c>
      <c r="C9" s="5" t="n">
        <f aca="false">AVERAGEIF('Per product'!$A$2:$A$463,A9,'Per product'!$D$2:$D$463)</f>
        <v>74.6375</v>
      </c>
      <c r="D9" s="5" t="n">
        <f aca="false">AVERAGEIF('Per product'!$A$2:$A$463,A9,'Per product'!$F$2:$F$463)</f>
        <v>62.7625</v>
      </c>
      <c r="E9" s="6" t="n">
        <f aca="false">IF(C9=0,0,D9/C9-1)</f>
        <v>-0.159102327918272</v>
      </c>
      <c r="F9" s="5" t="n">
        <f aca="false">_xlfn.MINIFS('Per product'!$F$2:$F$463,'Per product'!$A$2:$A$463,A9)</f>
        <v>54.95</v>
      </c>
      <c r="G9" s="5" t="n">
        <f aca="false">_xlfn.MAXIFS('Per product'!$F$2:$F$463,'Per product'!$A$2:$A$463,A9)</f>
        <v>64.95</v>
      </c>
      <c r="H9" s="5" t="n">
        <f aca="false">_xlfn.MINIFS('Per product'!$D$2:$D$463,'Per product'!$A$2:$A$463,A9)</f>
        <v>54.95</v>
      </c>
      <c r="I9" s="5" t="n">
        <f aca="false">_xlfn.MAXIFS('Per product'!$D$2:$D$463,'Per product'!$A$2:$A$463,A9)</f>
        <v>79.95</v>
      </c>
    </row>
    <row r="10" customFormat="false" ht="15" hidden="false" customHeight="false" outlineLevel="0" collapsed="false">
      <c r="A10" s="4" t="s">
        <v>16</v>
      </c>
      <c r="B10" s="4" t="n">
        <f aca="false">COUNTIF('Per product'!$A$2:$A$463,A10)</f>
        <v>16</v>
      </c>
      <c r="C10" s="5" t="n">
        <f aca="false">AVERAGEIF('Per product'!$A$2:$A$463,A10,'Per product'!$D$2:$D$463)</f>
        <v>79.6375</v>
      </c>
      <c r="D10" s="5" t="n">
        <f aca="false">AVERAGEIF('Per product'!$A$2:$A$463,A10,'Per product'!$F$2:$F$463)</f>
        <v>63.3875</v>
      </c>
      <c r="E10" s="6" t="n">
        <f aca="false">IF(C10=0,0,D10/C10-1)</f>
        <v>-0.204049599748862</v>
      </c>
      <c r="F10" s="5" t="n">
        <f aca="false">_xlfn.MINIFS('Per product'!$F$2:$F$463,'Per product'!$A$2:$A$463,A10)</f>
        <v>59.95</v>
      </c>
      <c r="G10" s="5" t="n">
        <f aca="false">_xlfn.MAXIFS('Per product'!$F$2:$F$463,'Per product'!$A$2:$A$463,A10)</f>
        <v>69.95</v>
      </c>
      <c r="H10" s="5" t="n">
        <f aca="false">_xlfn.MINIFS('Per product'!$D$2:$D$463,'Per product'!$A$2:$A$463,A10)</f>
        <v>64.95</v>
      </c>
      <c r="I10" s="5" t="n">
        <f aca="false">_xlfn.MAXIFS('Per product'!$D$2:$D$463,'Per product'!$A$2:$A$463,A10)</f>
        <v>94.95</v>
      </c>
    </row>
    <row r="11" customFormat="false" ht="15" hidden="false" customHeight="false" outlineLevel="0" collapsed="false">
      <c r="A11" s="4" t="s">
        <v>17</v>
      </c>
      <c r="B11" s="4" t="n">
        <f aca="false">COUNTIF('Per product'!$A$2:$A$463,A11)</f>
        <v>17</v>
      </c>
      <c r="C11" s="5" t="n">
        <f aca="false">AVERAGEIF('Per product'!$A$2:$A$463,A11,'Per product'!$D$2:$D$463)</f>
        <v>72.0088235294118</v>
      </c>
      <c r="D11" s="5" t="n">
        <f aca="false">AVERAGEIF('Per product'!$A$2:$A$463,A11,'Per product'!$F$2:$F$463)</f>
        <v>64.0676470588235</v>
      </c>
      <c r="E11" s="6" t="n">
        <f aca="false">IF(C11=0,0,D11/C11-1)</f>
        <v>-0.110280602867296</v>
      </c>
      <c r="F11" s="5" t="n">
        <f aca="false">_xlfn.MINIFS('Per product'!$F$2:$F$463,'Per product'!$A$2:$A$463,A11)</f>
        <v>59.95</v>
      </c>
      <c r="G11" s="5" t="n">
        <f aca="false">_xlfn.MAXIFS('Per product'!$F$2:$F$463,'Per product'!$A$2:$A$463,A11)</f>
        <v>69.95</v>
      </c>
      <c r="H11" s="5" t="n">
        <f aca="false">_xlfn.MINIFS('Per product'!$D$2:$D$463,'Per product'!$A$2:$A$463,A11)</f>
        <v>64.95</v>
      </c>
      <c r="I11" s="5" t="n">
        <f aca="false">_xlfn.MAXIFS('Per product'!$D$2:$D$463,'Per product'!$A$2:$A$463,A11)</f>
        <v>84.95</v>
      </c>
    </row>
    <row r="12" customFormat="false" ht="15" hidden="false" customHeight="false" outlineLevel="0" collapsed="false">
      <c r="A12" s="4" t="s">
        <v>18</v>
      </c>
      <c r="B12" s="4" t="n">
        <f aca="false">COUNTIF('Per product'!$A$2:$A$463,A12)</f>
        <v>102</v>
      </c>
      <c r="C12" s="5" t="n">
        <f aca="false">AVERAGEIF('Per product'!$A$2:$A$463,A12,'Per product'!$D$2:$D$463)</f>
        <v>83.4303921568627</v>
      </c>
      <c r="D12" s="5" t="n">
        <f aca="false">AVERAGEIF('Per product'!$A$2:$A$463,A12,'Per product'!$F$2:$F$463)</f>
        <v>64.5088235294118</v>
      </c>
      <c r="E12" s="6" t="n">
        <f aca="false">IF(C12=0,0,D12/C12-1)</f>
        <v>-0.226794674438007</v>
      </c>
      <c r="F12" s="5" t="n">
        <f aca="false">_xlfn.MINIFS('Per product'!$F$2:$F$463,'Per product'!$A$2:$A$463,A12)</f>
        <v>59.95</v>
      </c>
      <c r="G12" s="5" t="n">
        <f aca="false">_xlfn.MAXIFS('Per product'!$F$2:$F$463,'Per product'!$A$2:$A$463,A12)</f>
        <v>69.95</v>
      </c>
      <c r="H12" s="5" t="n">
        <f aca="false">_xlfn.MINIFS('Per product'!$D$2:$D$463,'Per product'!$A$2:$A$463,A12)</f>
        <v>69.95</v>
      </c>
      <c r="I12" s="5" t="n">
        <f aca="false">_xlfn.MAXIFS('Per product'!$D$2:$D$463,'Per product'!$A$2:$A$463,A12)</f>
        <v>99.95</v>
      </c>
    </row>
    <row r="13" customFormat="false" ht="15" hidden="false" customHeight="false" outlineLevel="0" collapsed="false">
      <c r="A13" s="4" t="s">
        <v>19</v>
      </c>
      <c r="B13" s="4" t="n">
        <f aca="false">COUNTIF('Per product'!$A$2:$A$463,A13)</f>
        <v>10</v>
      </c>
      <c r="C13" s="5" t="n">
        <f aca="false">AVERAGEIF('Per product'!$A$2:$A$463,A13,'Per product'!$D$2:$D$463)</f>
        <v>84.45</v>
      </c>
      <c r="D13" s="5" t="n">
        <f aca="false">AVERAGEIF('Per product'!$A$2:$A$463,A13,'Per product'!$F$2:$F$463)</f>
        <v>70.45</v>
      </c>
      <c r="E13" s="6" t="n">
        <f aca="false">IF(C13=0,0,D13/C13-1)</f>
        <v>-0.165778567199526</v>
      </c>
      <c r="F13" s="5" t="n">
        <f aca="false">_xlfn.MINIFS('Per product'!$F$2:$F$463,'Per product'!$A$2:$A$463,A13)</f>
        <v>64.95</v>
      </c>
      <c r="G13" s="5" t="n">
        <f aca="false">_xlfn.MAXIFS('Per product'!$F$2:$F$463,'Per product'!$A$2:$A$463,A13)</f>
        <v>74.95</v>
      </c>
      <c r="H13" s="5" t="n">
        <f aca="false">_xlfn.MINIFS('Per product'!$D$2:$D$463,'Per product'!$A$2:$A$463,A13)</f>
        <v>69.95</v>
      </c>
      <c r="I13" s="5" t="n">
        <f aca="false">_xlfn.MAXIFS('Per product'!$D$2:$D$463,'Per product'!$A$2:$A$463,A13)</f>
        <v>94.95</v>
      </c>
    </row>
    <row r="14" customFormat="false" ht="15" hidden="false" customHeight="false" outlineLevel="0" collapsed="false">
      <c r="A14" s="4" t="s">
        <v>20</v>
      </c>
      <c r="B14" s="4" t="n">
        <f aca="false">COUNTIF('Per product'!$A$2:$A$463,A14)</f>
        <v>57</v>
      </c>
      <c r="C14" s="5" t="n">
        <f aca="false">AVERAGEIF('Per product'!$A$2:$A$463,A14,'Per product'!$D$2:$D$463)</f>
        <v>85.8271929824562</v>
      </c>
      <c r="D14" s="5" t="n">
        <f aca="false">AVERAGEIF('Per product'!$A$2:$A$463,A14,'Per product'!$F$2:$F$463)</f>
        <v>71.0026315789474</v>
      </c>
      <c r="E14" s="6" t="n">
        <f aca="false">IF(C14=0,0,D14/C14-1)</f>
        <v>-0.172725693202375</v>
      </c>
      <c r="F14" s="5" t="n">
        <f aca="false">_xlfn.MINIFS('Per product'!$F$2:$F$463,'Per product'!$A$2:$A$463,A14)</f>
        <v>64.95</v>
      </c>
      <c r="G14" s="5" t="n">
        <f aca="false">_xlfn.MAXIFS('Per product'!$F$2:$F$463,'Per product'!$A$2:$A$463,A14)</f>
        <v>99.95</v>
      </c>
      <c r="H14" s="5" t="n">
        <f aca="false">_xlfn.MINIFS('Per product'!$D$2:$D$463,'Per product'!$A$2:$A$463,A14)</f>
        <v>69.95</v>
      </c>
      <c r="I14" s="5" t="n">
        <f aca="false">_xlfn.MAXIFS('Per product'!$D$2:$D$463,'Per product'!$A$2:$A$463,A14)</f>
        <v>99.95</v>
      </c>
    </row>
    <row r="15" customFormat="false" ht="15" hidden="false" customHeight="false" outlineLevel="0" collapsed="false">
      <c r="A15" s="4" t="s">
        <v>21</v>
      </c>
      <c r="B15" s="4" t="n">
        <f aca="false">COUNTIF('Per product'!$A$2:$A$463,A15)</f>
        <v>28</v>
      </c>
      <c r="C15" s="5" t="n">
        <f aca="false">AVERAGEIF('Per product'!$A$2:$A$463,A15,'Per product'!$D$2:$D$463)</f>
        <v>87.45</v>
      </c>
      <c r="D15" s="5" t="n">
        <f aca="false">AVERAGEIF('Per product'!$A$2:$A$463,A15,'Per product'!$F$2:$F$463)</f>
        <v>71.9142857142857</v>
      </c>
      <c r="E15" s="6" t="n">
        <f aca="false">IF(C15=0,0,D15/C15-1)</f>
        <v>-0.177652536143102</v>
      </c>
      <c r="F15" s="5" t="n">
        <f aca="false">_xlfn.MINIFS('Per product'!$F$2:$F$463,'Per product'!$A$2:$A$463,A15)</f>
        <v>64.95</v>
      </c>
      <c r="G15" s="5" t="n">
        <f aca="false">_xlfn.MAXIFS('Per product'!$F$2:$F$463,'Per product'!$A$2:$A$463,A15)</f>
        <v>74.95</v>
      </c>
      <c r="H15" s="5" t="n">
        <f aca="false">_xlfn.MINIFS('Per product'!$D$2:$D$463,'Per product'!$A$2:$A$463,A15)</f>
        <v>69.95</v>
      </c>
      <c r="I15" s="5" t="n">
        <f aca="false">_xlfn.MAXIFS('Per product'!$D$2:$D$463,'Per product'!$A$2:$A$463,A15)</f>
        <v>94.95</v>
      </c>
    </row>
    <row r="16" customFormat="false" ht="15" hidden="false" customHeight="false" outlineLevel="0" collapsed="false">
      <c r="A16" s="4" t="s">
        <v>22</v>
      </c>
      <c r="B16" s="4" t="n">
        <f aca="false">COUNTIF('Per product'!$A$2:$A$463,A16)</f>
        <v>16</v>
      </c>
      <c r="C16" s="5" t="n">
        <f aca="false">AVERAGEIF('Per product'!$A$2:$A$463,A16,'Per product'!$D$2:$D$463)</f>
        <v>90.575</v>
      </c>
      <c r="D16" s="5" t="n">
        <f aca="false">AVERAGEIF('Per product'!$A$2:$A$463,A16,'Per product'!$F$2:$F$463)</f>
        <v>72.45</v>
      </c>
      <c r="E16" s="6" t="n">
        <f aca="false">IF(C16=0,0,D16/C16-1)</f>
        <v>-0.200110405741099</v>
      </c>
      <c r="F16" s="5" t="n">
        <f aca="false">_xlfn.MINIFS('Per product'!$F$2:$F$463,'Per product'!$A$2:$A$463,A16)</f>
        <v>64.95</v>
      </c>
      <c r="G16" s="5" t="n">
        <f aca="false">_xlfn.MAXIFS('Per product'!$F$2:$F$463,'Per product'!$A$2:$A$463,A16)</f>
        <v>74.95</v>
      </c>
      <c r="H16" s="5" t="n">
        <f aca="false">_xlfn.MINIFS('Per product'!$D$2:$D$463,'Per product'!$A$2:$A$463,A16)</f>
        <v>79.95</v>
      </c>
      <c r="I16" s="5" t="n">
        <f aca="false">_xlfn.MAXIFS('Per product'!$D$2:$D$463,'Per product'!$A$2:$A$463,A16)</f>
        <v>94.95</v>
      </c>
    </row>
    <row r="17" customFormat="false" ht="15" hidden="false" customHeight="false" outlineLevel="0" collapsed="false">
      <c r="A17" s="4" t="s">
        <v>23</v>
      </c>
      <c r="B17" s="4" t="n">
        <f aca="false">COUNTIF('Per product'!$A$2:$A$463,A17)</f>
        <v>10</v>
      </c>
      <c r="C17" s="5" t="n">
        <f aca="false">AVERAGEIF('Per product'!$A$2:$A$463,A17,'Per product'!$D$2:$D$463)</f>
        <v>93.95</v>
      </c>
      <c r="D17" s="5" t="n">
        <f aca="false">AVERAGEIF('Per product'!$A$2:$A$463,A17,'Per product'!$F$2:$F$463)</f>
        <v>76.45</v>
      </c>
      <c r="E17" s="6" t="n">
        <f aca="false">IF(C17=0,0,D17/C17-1)</f>
        <v>-0.18626929217669</v>
      </c>
      <c r="F17" s="5" t="n">
        <f aca="false">_xlfn.MINIFS('Per product'!$F$2:$F$463,'Per product'!$A$2:$A$463,A17)</f>
        <v>69.95</v>
      </c>
      <c r="G17" s="5" t="n">
        <f aca="false">_xlfn.MAXIFS('Per product'!$F$2:$F$463,'Per product'!$A$2:$A$463,A17)</f>
        <v>79.95</v>
      </c>
      <c r="H17" s="5" t="n">
        <f aca="false">_xlfn.MINIFS('Per product'!$D$2:$D$463,'Per product'!$A$2:$A$463,A17)</f>
        <v>79.95</v>
      </c>
      <c r="I17" s="5" t="n">
        <f aca="false">_xlfn.MAXIFS('Per product'!$D$2:$D$463,'Per product'!$A$2:$A$463,A17)</f>
        <v>99.95</v>
      </c>
    </row>
    <row r="18" customFormat="false" ht="15" hidden="false" customHeight="false" outlineLevel="0" collapsed="false">
      <c r="A18" s="4" t="s">
        <v>24</v>
      </c>
      <c r="B18" s="4" t="n">
        <f aca="false">COUNTIF('Per product'!$A$2:$A$463,A18)</f>
        <v>15</v>
      </c>
      <c r="C18" s="5" t="n">
        <f aca="false">AVERAGEIF('Per product'!$A$2:$A$463,A18,'Per product'!$D$2:$D$463)</f>
        <v>91.2833333333333</v>
      </c>
      <c r="D18" s="5" t="n">
        <f aca="false">AVERAGEIF('Per product'!$A$2:$A$463,A18,'Per product'!$F$2:$F$463)</f>
        <v>76.95</v>
      </c>
      <c r="E18" s="6" t="n">
        <f aca="false">IF(C18=0,0,D18/C18-1)</f>
        <v>-0.15702026656929</v>
      </c>
      <c r="F18" s="5" t="n">
        <f aca="false">_xlfn.MINIFS('Per product'!$F$2:$F$463,'Per product'!$A$2:$A$463,A18)</f>
        <v>69.95</v>
      </c>
      <c r="G18" s="5" t="n">
        <f aca="false">_xlfn.MAXIFS('Per product'!$F$2:$F$463,'Per product'!$A$2:$A$463,A18)</f>
        <v>79.95</v>
      </c>
      <c r="H18" s="5" t="n">
        <f aca="false">_xlfn.MINIFS('Per product'!$D$2:$D$463,'Per product'!$A$2:$A$463,A18)</f>
        <v>69.95</v>
      </c>
      <c r="I18" s="5" t="n">
        <f aca="false">_xlfn.MAXIFS('Per product'!$D$2:$D$463,'Per product'!$A$2:$A$463,A18)</f>
        <v>99.95</v>
      </c>
    </row>
    <row r="19" customFormat="false" ht="15" hidden="false" customHeight="false" outlineLevel="0" collapsed="false">
      <c r="A19" s="4" t="s">
        <v>25</v>
      </c>
      <c r="B19" s="4" t="n">
        <f aca="false">COUNTIF('Per product'!$A$2:$A$463,A19)</f>
        <v>4</v>
      </c>
      <c r="C19" s="5" t="n">
        <f aca="false">AVERAGEIF('Per product'!$A$2:$A$463,A19,'Per product'!$D$2:$D$463)</f>
        <v>96.2</v>
      </c>
      <c r="D19" s="5" t="n">
        <f aca="false">AVERAGEIF('Per product'!$A$2:$A$463,A19,'Per product'!$F$2:$F$463)</f>
        <v>77.45</v>
      </c>
      <c r="E19" s="6" t="n">
        <f aca="false">IF(C19=0,0,D19/C19-1)</f>
        <v>-0.194906444906445</v>
      </c>
      <c r="F19" s="5" t="n">
        <f aca="false">_xlfn.MINIFS('Per product'!$F$2:$F$463,'Per product'!$A$2:$A$463,A19)</f>
        <v>69.95</v>
      </c>
      <c r="G19" s="5" t="n">
        <f aca="false">_xlfn.MAXIFS('Per product'!$F$2:$F$463,'Per product'!$A$2:$A$463,A19)</f>
        <v>79.95</v>
      </c>
      <c r="H19" s="5" t="n">
        <f aca="false">_xlfn.MINIFS('Per product'!$D$2:$D$463,'Per product'!$A$2:$A$463,A19)</f>
        <v>84.95</v>
      </c>
      <c r="I19" s="5" t="n">
        <f aca="false">_xlfn.MAXIFS('Per product'!$D$2:$D$463,'Per product'!$A$2:$A$463,A19)</f>
        <v>99.95</v>
      </c>
    </row>
    <row r="20" customFormat="false" ht="15" hidden="false" customHeight="false" outlineLevel="0" collapsed="false">
      <c r="A20" s="4" t="s">
        <v>26</v>
      </c>
      <c r="B20" s="4" t="n">
        <f aca="false">COUNTIF('Per product'!$A$2:$A$463,A20)</f>
        <v>7</v>
      </c>
      <c r="C20" s="5" t="n">
        <f aca="false">AVERAGEIF('Per product'!$A$2:$A$463,A20,'Per product'!$D$2:$D$463)</f>
        <v>99.95</v>
      </c>
      <c r="D20" s="5" t="n">
        <f aca="false">AVERAGEIF('Per product'!$A$2:$A$463,A20,'Per product'!$F$2:$F$463)</f>
        <v>79.95</v>
      </c>
      <c r="E20" s="6" t="n">
        <f aca="false">IF(C20=0,0,D20/C20-1)</f>
        <v>-0.200100050025013</v>
      </c>
      <c r="F20" s="5" t="n">
        <f aca="false">_xlfn.MINIFS('Per product'!$F$2:$F$463,'Per product'!$A$2:$A$463,A20)</f>
        <v>74.95</v>
      </c>
      <c r="G20" s="5" t="n">
        <f aca="false">_xlfn.MAXIFS('Per product'!$F$2:$F$463,'Per product'!$A$2:$A$463,A20)</f>
        <v>84.95</v>
      </c>
      <c r="H20" s="5" t="n">
        <f aca="false">_xlfn.MINIFS('Per product'!$D$2:$D$463,'Per product'!$A$2:$A$463,A20)</f>
        <v>84.95</v>
      </c>
      <c r="I20" s="5" t="n">
        <f aca="false">_xlfn.MAXIFS('Per product'!$D$2:$D$463,'Per product'!$A$2:$A$463,A20)</f>
        <v>114.95</v>
      </c>
    </row>
    <row r="21" customFormat="false" ht="15" hidden="false" customHeight="false" outlineLevel="0" collapsed="false">
      <c r="A21" s="4" t="s">
        <v>27</v>
      </c>
      <c r="B21" s="4" t="n">
        <f aca="false">COUNTIF('Per product'!$A$2:$A$463,A21)</f>
        <v>8</v>
      </c>
      <c r="C21" s="5" t="n">
        <f aca="false">AVERAGEIF('Per product'!$A$2:$A$463,A21,'Per product'!$D$2:$D$463)</f>
        <v>107.45</v>
      </c>
      <c r="D21" s="5" t="n">
        <f aca="false">AVERAGEIF('Per product'!$A$2:$A$463,A21,'Per product'!$F$2:$F$463)</f>
        <v>86.2</v>
      </c>
      <c r="E21" s="6" t="n">
        <f aca="false">IF(C21=0,0,D21/C21-1)</f>
        <v>-0.197766402978129</v>
      </c>
      <c r="F21" s="5" t="n">
        <f aca="false">_xlfn.MINIFS('Per product'!$F$2:$F$463,'Per product'!$A$2:$A$463,A21)</f>
        <v>79.95</v>
      </c>
      <c r="G21" s="5" t="n">
        <f aca="false">_xlfn.MAXIFS('Per product'!$F$2:$F$463,'Per product'!$A$2:$A$463,A21)</f>
        <v>89.95</v>
      </c>
      <c r="H21" s="5" t="n">
        <f aca="false">_xlfn.MINIFS('Per product'!$D$2:$D$463,'Per product'!$A$2:$A$463,A21)</f>
        <v>94.95</v>
      </c>
      <c r="I21" s="5" t="n">
        <f aca="false">_xlfn.MAXIFS('Per product'!$D$2:$D$463,'Per product'!$A$2:$A$463,A21)</f>
        <v>114.95</v>
      </c>
    </row>
    <row r="22" customFormat="false" ht="15" hidden="false" customHeight="false" outlineLevel="0" collapsed="false">
      <c r="A22" s="7" t="s">
        <v>28</v>
      </c>
      <c r="B22" s="7" t="n">
        <f aca="false">SUM(B5:B21)</f>
        <v>462</v>
      </c>
      <c r="C22" s="8" t="n">
        <f aca="false">AVERAGE('Per product'!$D$2:$D$463)</f>
        <v>79.0517316017316</v>
      </c>
      <c r="D22" s="8" t="n">
        <f aca="false">AVERAGE('Per product'!$F$2:$F$463)</f>
        <v>64.6145021645022</v>
      </c>
      <c r="E22" s="9" t="n">
        <f aca="false">IF(C22=0,0,D22/C22-1)</f>
        <v>-0.182630147938634</v>
      </c>
      <c r="F22" s="8" t="n">
        <f aca="false">MIN('Per product'!$F$2:$F$463)</f>
        <v>44.95</v>
      </c>
      <c r="G22" s="8" t="n">
        <f aca="false">MAX('Per product'!$F$2:$F$463)</f>
        <v>99.95</v>
      </c>
      <c r="H22" s="8" t="n">
        <f aca="false">MIN('Per product'!$D$2:$D$463)</f>
        <v>44.95</v>
      </c>
      <c r="I22" s="8" t="n">
        <f aca="false">MAX('Per product'!$D$2:$D$463)</f>
        <v>114.95</v>
      </c>
    </row>
    <row r="24" customFormat="false" ht="15" hidden="false" customHeight="false" outlineLevel="0" collapsed="false">
      <c r="A24" s="7" t="s">
        <v>29</v>
      </c>
    </row>
    <row r="25" customFormat="false" ht="15" hidden="false" customHeight="false" outlineLevel="0" collapsed="false">
      <c r="A25" s="2" t="s">
        <v>30</v>
      </c>
    </row>
    <row r="26" customFormat="false" ht="15" hidden="false" customHeight="false" outlineLevel="0" collapsed="false">
      <c r="A26" s="2" t="s">
        <v>31</v>
      </c>
    </row>
    <row r="27" customFormat="false" ht="15" hidden="false" customHeight="false" outlineLevel="0" collapsed="false">
      <c r="A27" s="2" t="s">
        <v>32</v>
      </c>
    </row>
    <row r="28" customFormat="false" ht="15" hidden="false" customHeight="false" outlineLevel="0" collapsed="false">
      <c r="A28" s="2" t="s">
        <v>33</v>
      </c>
    </row>
    <row r="29" customFormat="false" ht="15" hidden="false" customHeight="false" outlineLevel="0" collapsed="false">
      <c r="A29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10" t="s">
        <v>2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6</v>
      </c>
      <c r="K1" s="10" t="s">
        <v>43</v>
      </c>
    </row>
    <row r="2" customFormat="false" ht="15" hidden="false" customHeight="false" outlineLevel="0" collapsed="false">
      <c r="A2" s="4" t="s">
        <v>27</v>
      </c>
      <c r="B2" s="4" t="s">
        <v>44</v>
      </c>
      <c r="C2" s="4" t="s">
        <v>45</v>
      </c>
      <c r="D2" s="5" t="n">
        <v>99.95</v>
      </c>
      <c r="E2" s="5" t="n">
        <v>166.58</v>
      </c>
      <c r="F2" s="11" t="n">
        <v>79.95</v>
      </c>
      <c r="G2" s="11" t="n">
        <v>133.95</v>
      </c>
      <c r="H2" s="12" t="n">
        <v>0.4</v>
      </c>
      <c r="I2" s="5" t="n">
        <f aca="false">F2-D2</f>
        <v>-20</v>
      </c>
      <c r="J2" s="6" t="n">
        <f aca="false">IF(D2=0,0,F2/D2-1)</f>
        <v>-0.200100050025013</v>
      </c>
      <c r="K2" s="4"/>
    </row>
    <row r="3" customFormat="false" ht="15" hidden="false" customHeight="false" outlineLevel="0" collapsed="false">
      <c r="A3" s="4" t="s">
        <v>27</v>
      </c>
      <c r="B3" s="4" t="s">
        <v>46</v>
      </c>
      <c r="C3" s="4" t="s">
        <v>47</v>
      </c>
      <c r="D3" s="5" t="n">
        <v>94.95</v>
      </c>
      <c r="E3" s="5" t="n">
        <v>189.9</v>
      </c>
      <c r="F3" s="11" t="n">
        <v>79.95</v>
      </c>
      <c r="G3" s="11" t="n">
        <v>159.95</v>
      </c>
      <c r="H3" s="12" t="n">
        <v>0.5</v>
      </c>
      <c r="I3" s="5" t="n">
        <f aca="false">F3-D3</f>
        <v>-15</v>
      </c>
      <c r="J3" s="6" t="n">
        <f aca="false">IF(D3=0,0,F3/D3-1)</f>
        <v>-0.157977883096367</v>
      </c>
      <c r="K3" s="4"/>
    </row>
    <row r="4" customFormat="false" ht="15" hidden="false" customHeight="false" outlineLevel="0" collapsed="false">
      <c r="A4" s="4" t="s">
        <v>27</v>
      </c>
      <c r="B4" s="4" t="s">
        <v>48</v>
      </c>
      <c r="C4" s="4" t="s">
        <v>49</v>
      </c>
      <c r="D4" s="5" t="n">
        <v>99.95</v>
      </c>
      <c r="E4" s="5" t="n">
        <v>199.9</v>
      </c>
      <c r="F4" s="11" t="n">
        <v>79.95</v>
      </c>
      <c r="G4" s="11" t="n">
        <v>159.95</v>
      </c>
      <c r="H4" s="12" t="n">
        <v>0.5</v>
      </c>
      <c r="I4" s="5" t="n">
        <f aca="false">F4-D4</f>
        <v>-20</v>
      </c>
      <c r="J4" s="6" t="n">
        <f aca="false">IF(D4=0,0,F4/D4-1)</f>
        <v>-0.200100050025013</v>
      </c>
      <c r="K4" s="4"/>
    </row>
    <row r="5" customFormat="false" ht="15" hidden="false" customHeight="false" outlineLevel="0" collapsed="false">
      <c r="A5" s="4" t="s">
        <v>27</v>
      </c>
      <c r="B5" s="4" t="s">
        <v>50</v>
      </c>
      <c r="C5" s="4" t="s">
        <v>51</v>
      </c>
      <c r="D5" s="5" t="n">
        <v>114.95</v>
      </c>
      <c r="E5" s="5" t="n">
        <v>229.9</v>
      </c>
      <c r="F5" s="11" t="n">
        <v>89.95</v>
      </c>
      <c r="G5" s="11" t="n">
        <v>179.95</v>
      </c>
      <c r="H5" s="12" t="n">
        <v>0.5</v>
      </c>
      <c r="I5" s="5" t="n">
        <f aca="false">F5-D5</f>
        <v>-25</v>
      </c>
      <c r="J5" s="6" t="n">
        <f aca="false">IF(D5=0,0,F5/D5-1)</f>
        <v>-0.217485863418878</v>
      </c>
      <c r="K5" s="4"/>
    </row>
    <row r="6" customFormat="false" ht="15" hidden="false" customHeight="false" outlineLevel="0" collapsed="false">
      <c r="A6" s="4" t="s">
        <v>27</v>
      </c>
      <c r="B6" s="4" t="s">
        <v>52</v>
      </c>
      <c r="C6" s="4" t="s">
        <v>53</v>
      </c>
      <c r="D6" s="5" t="n">
        <v>114.95</v>
      </c>
      <c r="E6" s="5" t="n">
        <v>229.9</v>
      </c>
      <c r="F6" s="11" t="n">
        <v>89.95</v>
      </c>
      <c r="G6" s="11" t="n">
        <v>179.95</v>
      </c>
      <c r="H6" s="12" t="n">
        <v>0.5</v>
      </c>
      <c r="I6" s="5" t="n">
        <f aca="false">F6-D6</f>
        <v>-25</v>
      </c>
      <c r="J6" s="6" t="n">
        <f aca="false">IF(D6=0,0,F6/D6-1)</f>
        <v>-0.217485863418878</v>
      </c>
      <c r="K6" s="4"/>
    </row>
    <row r="7" customFormat="false" ht="15" hidden="false" customHeight="false" outlineLevel="0" collapsed="false">
      <c r="A7" s="4" t="s">
        <v>27</v>
      </c>
      <c r="B7" s="4" t="s">
        <v>54</v>
      </c>
      <c r="C7" s="4" t="s">
        <v>55</v>
      </c>
      <c r="D7" s="5" t="n">
        <v>109.95</v>
      </c>
      <c r="E7" s="5" t="n">
        <v>219.9</v>
      </c>
      <c r="F7" s="11" t="n">
        <v>89.95</v>
      </c>
      <c r="G7" s="11" t="n">
        <v>179.95</v>
      </c>
      <c r="H7" s="12" t="n">
        <v>0.5</v>
      </c>
      <c r="I7" s="5" t="n">
        <f aca="false">F7-D7</f>
        <v>-20</v>
      </c>
      <c r="J7" s="6" t="n">
        <f aca="false">IF(D7=0,0,F7/D7-1)</f>
        <v>-0.181900864029104</v>
      </c>
      <c r="K7" s="4"/>
    </row>
    <row r="8" customFormat="false" ht="15" hidden="false" customHeight="false" outlineLevel="0" collapsed="false">
      <c r="A8" s="4" t="s">
        <v>27</v>
      </c>
      <c r="B8" s="4" t="s">
        <v>56</v>
      </c>
      <c r="C8" s="4" t="s">
        <v>57</v>
      </c>
      <c r="D8" s="5" t="n">
        <v>114.95</v>
      </c>
      <c r="E8" s="5" t="n">
        <v>191.58</v>
      </c>
      <c r="F8" s="11" t="n">
        <v>89.95</v>
      </c>
      <c r="G8" s="11" t="n">
        <v>149.95</v>
      </c>
      <c r="H8" s="12" t="n">
        <v>0.4</v>
      </c>
      <c r="I8" s="5" t="n">
        <f aca="false">F8-D8</f>
        <v>-25</v>
      </c>
      <c r="J8" s="6" t="n">
        <f aca="false">IF(D8=0,0,F8/D8-1)</f>
        <v>-0.217485863418878</v>
      </c>
      <c r="K8" s="4"/>
    </row>
    <row r="9" customFormat="false" ht="15" hidden="false" customHeight="false" outlineLevel="0" collapsed="false">
      <c r="A9" s="4" t="s">
        <v>27</v>
      </c>
      <c r="B9" s="4" t="s">
        <v>58</v>
      </c>
      <c r="C9" s="4" t="s">
        <v>59</v>
      </c>
      <c r="D9" s="5" t="n">
        <v>109.95</v>
      </c>
      <c r="E9" s="5" t="n">
        <v>183.25</v>
      </c>
      <c r="F9" s="11" t="n">
        <v>89.95</v>
      </c>
      <c r="G9" s="11" t="n">
        <v>149.95</v>
      </c>
      <c r="H9" s="12" t="n">
        <v>0.4</v>
      </c>
      <c r="I9" s="5" t="n">
        <f aca="false">F9-D9</f>
        <v>-20</v>
      </c>
      <c r="J9" s="6" t="n">
        <f aca="false">IF(D9=0,0,F9/D9-1)</f>
        <v>-0.181900864029104</v>
      </c>
      <c r="K9" s="4"/>
    </row>
    <row r="10" customFormat="false" ht="15" hidden="false" customHeight="false" outlineLevel="0" collapsed="false">
      <c r="A10" s="4" t="s">
        <v>18</v>
      </c>
      <c r="B10" s="4" t="s">
        <v>60</v>
      </c>
      <c r="C10" s="4" t="s">
        <v>61</v>
      </c>
      <c r="D10" s="5" t="n">
        <v>69.95</v>
      </c>
      <c r="E10" s="5" t="n">
        <v>127.18</v>
      </c>
      <c r="F10" s="11" t="n">
        <v>59.95</v>
      </c>
      <c r="G10" s="11" t="n">
        <v>108.95</v>
      </c>
      <c r="H10" s="12" t="n">
        <v>0.45</v>
      </c>
      <c r="I10" s="5" t="n">
        <f aca="false">F10-D10</f>
        <v>-10</v>
      </c>
      <c r="J10" s="6" t="n">
        <f aca="false">IF(D10=0,0,F10/D10-1)</f>
        <v>-0.142959256611866</v>
      </c>
      <c r="K10" s="4"/>
    </row>
    <row r="11" customFormat="false" ht="15" hidden="false" customHeight="false" outlineLevel="0" collapsed="false">
      <c r="A11" s="4" t="s">
        <v>18</v>
      </c>
      <c r="B11" s="4" t="s">
        <v>62</v>
      </c>
      <c r="C11" s="4" t="s">
        <v>63</v>
      </c>
      <c r="D11" s="5" t="n">
        <v>69.95</v>
      </c>
      <c r="E11" s="5" t="n">
        <v>127.18</v>
      </c>
      <c r="F11" s="11" t="n">
        <v>59.95</v>
      </c>
      <c r="G11" s="11" t="n">
        <v>108.95</v>
      </c>
      <c r="H11" s="12" t="n">
        <v>0.45</v>
      </c>
      <c r="I11" s="5" t="n">
        <f aca="false">F11-D11</f>
        <v>-10</v>
      </c>
      <c r="J11" s="6" t="n">
        <f aca="false">IF(D11=0,0,F11/D11-1)</f>
        <v>-0.142959256611866</v>
      </c>
      <c r="K11" s="4"/>
    </row>
    <row r="12" customFormat="false" ht="15" hidden="false" customHeight="false" outlineLevel="0" collapsed="false">
      <c r="A12" s="4" t="s">
        <v>18</v>
      </c>
      <c r="B12" s="4" t="s">
        <v>64</v>
      </c>
      <c r="C12" s="4" t="s">
        <v>65</v>
      </c>
      <c r="D12" s="5" t="n">
        <v>69.95</v>
      </c>
      <c r="E12" s="5" t="n">
        <v>116.58</v>
      </c>
      <c r="F12" s="11" t="n">
        <v>59.95</v>
      </c>
      <c r="G12" s="11" t="n">
        <v>99.95</v>
      </c>
      <c r="H12" s="12" t="n">
        <v>0.4</v>
      </c>
      <c r="I12" s="5" t="n">
        <f aca="false">F12-D12</f>
        <v>-10</v>
      </c>
      <c r="J12" s="6" t="n">
        <f aca="false">IF(D12=0,0,F12/D12-1)</f>
        <v>-0.142959256611866</v>
      </c>
      <c r="K12" s="4"/>
    </row>
    <row r="13" customFormat="false" ht="15" hidden="false" customHeight="false" outlineLevel="0" collapsed="false">
      <c r="A13" s="4" t="s">
        <v>18</v>
      </c>
      <c r="B13" s="4" t="s">
        <v>66</v>
      </c>
      <c r="C13" s="4" t="s">
        <v>67</v>
      </c>
      <c r="D13" s="5" t="n">
        <v>69.95</v>
      </c>
      <c r="E13" s="5" t="n">
        <v>139.9</v>
      </c>
      <c r="F13" s="11" t="n">
        <v>59.95</v>
      </c>
      <c r="G13" s="11" t="n">
        <v>119.95</v>
      </c>
      <c r="H13" s="12" t="n">
        <v>0.5</v>
      </c>
      <c r="I13" s="5" t="n">
        <f aca="false">F13-D13</f>
        <v>-10</v>
      </c>
      <c r="J13" s="6" t="n">
        <f aca="false">IF(D13=0,0,F13/D13-1)</f>
        <v>-0.142959256611866</v>
      </c>
      <c r="K13" s="4"/>
    </row>
    <row r="14" customFormat="false" ht="15" hidden="false" customHeight="false" outlineLevel="0" collapsed="false">
      <c r="A14" s="4" t="s">
        <v>18</v>
      </c>
      <c r="B14" s="4" t="s">
        <v>68</v>
      </c>
      <c r="C14" s="4" t="s">
        <v>69</v>
      </c>
      <c r="D14" s="5" t="n">
        <v>69.95</v>
      </c>
      <c r="E14" s="5" t="n">
        <v>116.58</v>
      </c>
      <c r="F14" s="11" t="n">
        <v>59.95</v>
      </c>
      <c r="G14" s="11" t="n">
        <v>99.95</v>
      </c>
      <c r="H14" s="12" t="n">
        <v>0.4</v>
      </c>
      <c r="I14" s="5" t="n">
        <f aca="false">F14-D14</f>
        <v>-10</v>
      </c>
      <c r="J14" s="6" t="n">
        <f aca="false">IF(D14=0,0,F14/D14-1)</f>
        <v>-0.142959256611866</v>
      </c>
      <c r="K14" s="4"/>
    </row>
    <row r="15" customFormat="false" ht="15" hidden="false" customHeight="false" outlineLevel="0" collapsed="false">
      <c r="A15" s="4" t="s">
        <v>18</v>
      </c>
      <c r="B15" s="4" t="s">
        <v>70</v>
      </c>
      <c r="C15" s="4" t="s">
        <v>71</v>
      </c>
      <c r="D15" s="5" t="n">
        <v>69.95</v>
      </c>
      <c r="E15" s="5" t="n">
        <v>139.9</v>
      </c>
      <c r="F15" s="11" t="n">
        <v>59.95</v>
      </c>
      <c r="G15" s="11" t="n">
        <v>119.95</v>
      </c>
      <c r="H15" s="12" t="n">
        <v>0.5</v>
      </c>
      <c r="I15" s="5" t="n">
        <f aca="false">F15-D15</f>
        <v>-10</v>
      </c>
      <c r="J15" s="6" t="n">
        <f aca="false">IF(D15=0,0,F15/D15-1)</f>
        <v>-0.142959256611866</v>
      </c>
      <c r="K15" s="4"/>
    </row>
    <row r="16" customFormat="false" ht="15" hidden="false" customHeight="false" outlineLevel="0" collapsed="false">
      <c r="A16" s="4" t="s">
        <v>18</v>
      </c>
      <c r="B16" s="4" t="s">
        <v>72</v>
      </c>
      <c r="C16" s="4" t="s">
        <v>73</v>
      </c>
      <c r="D16" s="5" t="n">
        <v>69.95</v>
      </c>
      <c r="E16" s="5" t="n">
        <v>139.9</v>
      </c>
      <c r="F16" s="11" t="n">
        <v>59.95</v>
      </c>
      <c r="G16" s="11" t="n">
        <v>119.95</v>
      </c>
      <c r="H16" s="12" t="n">
        <v>0.5</v>
      </c>
      <c r="I16" s="5" t="n">
        <f aca="false">F16-D16</f>
        <v>-10</v>
      </c>
      <c r="J16" s="6" t="n">
        <f aca="false">IF(D16=0,0,F16/D16-1)</f>
        <v>-0.142959256611866</v>
      </c>
      <c r="K16" s="4"/>
    </row>
    <row r="17" customFormat="false" ht="15" hidden="false" customHeight="false" outlineLevel="0" collapsed="false">
      <c r="A17" s="4" t="s">
        <v>18</v>
      </c>
      <c r="B17" s="4" t="s">
        <v>74</v>
      </c>
      <c r="C17" s="4" t="s">
        <v>75</v>
      </c>
      <c r="D17" s="5" t="n">
        <v>69.95</v>
      </c>
      <c r="E17" s="5" t="n">
        <v>127.18</v>
      </c>
      <c r="F17" s="11" t="n">
        <v>59.95</v>
      </c>
      <c r="G17" s="11" t="n">
        <v>108.95</v>
      </c>
      <c r="H17" s="12" t="n">
        <v>0.45</v>
      </c>
      <c r="I17" s="5" t="n">
        <f aca="false">F17-D17</f>
        <v>-10</v>
      </c>
      <c r="J17" s="6" t="n">
        <f aca="false">IF(D17=0,0,F17/D17-1)</f>
        <v>-0.142959256611866</v>
      </c>
      <c r="K17" s="4"/>
    </row>
    <row r="18" customFormat="false" ht="15" hidden="false" customHeight="false" outlineLevel="0" collapsed="false">
      <c r="A18" s="4" t="s">
        <v>18</v>
      </c>
      <c r="B18" s="4" t="s">
        <v>76</v>
      </c>
      <c r="C18" s="4" t="s">
        <v>77</v>
      </c>
      <c r="D18" s="5" t="n">
        <v>69.95</v>
      </c>
      <c r="E18" s="5" t="n">
        <v>116.58</v>
      </c>
      <c r="F18" s="11" t="n">
        <v>59.95</v>
      </c>
      <c r="G18" s="11" t="n">
        <v>99.95</v>
      </c>
      <c r="H18" s="12" t="n">
        <v>0.4</v>
      </c>
      <c r="I18" s="5" t="n">
        <f aca="false">F18-D18</f>
        <v>-10</v>
      </c>
      <c r="J18" s="6" t="n">
        <f aca="false">IF(D18=0,0,F18/D18-1)</f>
        <v>-0.142959256611866</v>
      </c>
      <c r="K18" s="4"/>
    </row>
    <row r="19" customFormat="false" ht="15" hidden="false" customHeight="false" outlineLevel="0" collapsed="false">
      <c r="A19" s="4" t="s">
        <v>18</v>
      </c>
      <c r="B19" s="4" t="s">
        <v>78</v>
      </c>
      <c r="C19" s="4" t="s">
        <v>79</v>
      </c>
      <c r="D19" s="5" t="n">
        <v>69.95</v>
      </c>
      <c r="E19" s="5" t="n">
        <v>139.9</v>
      </c>
      <c r="F19" s="11" t="n">
        <v>59.95</v>
      </c>
      <c r="G19" s="11" t="n">
        <v>119.95</v>
      </c>
      <c r="H19" s="12" t="n">
        <v>0.5</v>
      </c>
      <c r="I19" s="5" t="n">
        <f aca="false">F19-D19</f>
        <v>-10</v>
      </c>
      <c r="J19" s="6" t="n">
        <f aca="false">IF(D19=0,0,F19/D19-1)</f>
        <v>-0.142959256611866</v>
      </c>
      <c r="K19" s="4"/>
    </row>
    <row r="20" customFormat="false" ht="15" hidden="false" customHeight="false" outlineLevel="0" collapsed="false">
      <c r="A20" s="4" t="s">
        <v>18</v>
      </c>
      <c r="B20" s="4" t="s">
        <v>80</v>
      </c>
      <c r="C20" s="4" t="s">
        <v>81</v>
      </c>
      <c r="D20" s="5" t="n">
        <v>69.95</v>
      </c>
      <c r="E20" s="5" t="n">
        <v>127.18</v>
      </c>
      <c r="F20" s="11" t="n">
        <v>59.95</v>
      </c>
      <c r="G20" s="11" t="n">
        <v>108.95</v>
      </c>
      <c r="H20" s="12" t="n">
        <v>0.45</v>
      </c>
      <c r="I20" s="5" t="n">
        <f aca="false">F20-D20</f>
        <v>-10</v>
      </c>
      <c r="J20" s="6" t="n">
        <f aca="false">IF(D20=0,0,F20/D20-1)</f>
        <v>-0.142959256611866</v>
      </c>
      <c r="K20" s="4"/>
    </row>
    <row r="21" customFormat="false" ht="15" hidden="false" customHeight="false" outlineLevel="0" collapsed="false">
      <c r="A21" s="4" t="s">
        <v>18</v>
      </c>
      <c r="B21" s="4" t="s">
        <v>82</v>
      </c>
      <c r="C21" s="4" t="s">
        <v>83</v>
      </c>
      <c r="D21" s="5" t="n">
        <v>69.95</v>
      </c>
      <c r="E21" s="5" t="n">
        <v>139.9</v>
      </c>
      <c r="F21" s="11" t="n">
        <v>59.95</v>
      </c>
      <c r="G21" s="11" t="n">
        <v>119.95</v>
      </c>
      <c r="H21" s="12" t="n">
        <v>0.5</v>
      </c>
      <c r="I21" s="5" t="n">
        <f aca="false">F21-D21</f>
        <v>-10</v>
      </c>
      <c r="J21" s="6" t="n">
        <f aca="false">IF(D21=0,0,F21/D21-1)</f>
        <v>-0.142959256611866</v>
      </c>
      <c r="K21" s="4"/>
    </row>
    <row r="22" customFormat="false" ht="15" hidden="false" customHeight="false" outlineLevel="0" collapsed="false">
      <c r="A22" s="4" t="s">
        <v>18</v>
      </c>
      <c r="B22" s="4" t="s">
        <v>84</v>
      </c>
      <c r="C22" s="4" t="s">
        <v>85</v>
      </c>
      <c r="D22" s="5" t="n">
        <v>69.95</v>
      </c>
      <c r="E22" s="5" t="n">
        <v>116.58</v>
      </c>
      <c r="F22" s="11" t="n">
        <v>59.95</v>
      </c>
      <c r="G22" s="11" t="n">
        <v>99.95</v>
      </c>
      <c r="H22" s="12" t="n">
        <v>0.4</v>
      </c>
      <c r="I22" s="5" t="n">
        <f aca="false">F22-D22</f>
        <v>-10</v>
      </c>
      <c r="J22" s="6" t="n">
        <f aca="false">IF(D22=0,0,F22/D22-1)</f>
        <v>-0.142959256611866</v>
      </c>
      <c r="K22" s="4"/>
    </row>
    <row r="23" customFormat="false" ht="15" hidden="false" customHeight="false" outlineLevel="0" collapsed="false">
      <c r="A23" s="4" t="s">
        <v>18</v>
      </c>
      <c r="B23" s="4" t="s">
        <v>86</v>
      </c>
      <c r="C23" s="4" t="s">
        <v>87</v>
      </c>
      <c r="D23" s="5" t="n">
        <v>74.95</v>
      </c>
      <c r="E23" s="5" t="n">
        <v>124.92</v>
      </c>
      <c r="F23" s="11" t="n">
        <v>59.95</v>
      </c>
      <c r="G23" s="11" t="n">
        <v>99.95</v>
      </c>
      <c r="H23" s="12" t="n">
        <v>0.4</v>
      </c>
      <c r="I23" s="5" t="n">
        <f aca="false">F23-D23</f>
        <v>-15</v>
      </c>
      <c r="J23" s="6" t="n">
        <f aca="false">IF(D23=0,0,F23/D23-1)</f>
        <v>-0.200133422281521</v>
      </c>
      <c r="K23" s="4"/>
    </row>
    <row r="24" customFormat="false" ht="15" hidden="false" customHeight="false" outlineLevel="0" collapsed="false">
      <c r="A24" s="4" t="s">
        <v>18</v>
      </c>
      <c r="B24" s="4" t="s">
        <v>88</v>
      </c>
      <c r="C24" s="4" t="s">
        <v>89</v>
      </c>
      <c r="D24" s="5" t="n">
        <v>74.95</v>
      </c>
      <c r="E24" s="5" t="n">
        <v>149.9</v>
      </c>
      <c r="F24" s="11" t="n">
        <v>59.95</v>
      </c>
      <c r="G24" s="11" t="n">
        <v>119.95</v>
      </c>
      <c r="H24" s="12" t="n">
        <v>0.5</v>
      </c>
      <c r="I24" s="5" t="n">
        <f aca="false">F24-D24</f>
        <v>-15</v>
      </c>
      <c r="J24" s="6" t="n">
        <f aca="false">IF(D24=0,0,F24/D24-1)</f>
        <v>-0.200133422281521</v>
      </c>
      <c r="K24" s="4"/>
    </row>
    <row r="25" customFormat="false" ht="15" hidden="false" customHeight="false" outlineLevel="0" collapsed="false">
      <c r="A25" s="4" t="s">
        <v>18</v>
      </c>
      <c r="B25" s="4" t="s">
        <v>90</v>
      </c>
      <c r="C25" s="4" t="s">
        <v>91</v>
      </c>
      <c r="D25" s="5" t="n">
        <v>69.95</v>
      </c>
      <c r="E25" s="5" t="n">
        <v>127.18</v>
      </c>
      <c r="F25" s="11" t="n">
        <v>59.95</v>
      </c>
      <c r="G25" s="11" t="n">
        <v>108.95</v>
      </c>
      <c r="H25" s="12" t="n">
        <v>0.45</v>
      </c>
      <c r="I25" s="5" t="n">
        <f aca="false">F25-D25</f>
        <v>-10</v>
      </c>
      <c r="J25" s="6" t="n">
        <f aca="false">IF(D25=0,0,F25/D25-1)</f>
        <v>-0.142959256611866</v>
      </c>
      <c r="K25" s="4"/>
    </row>
    <row r="26" customFormat="false" ht="15" hidden="false" customHeight="false" outlineLevel="0" collapsed="false">
      <c r="A26" s="4" t="s">
        <v>18</v>
      </c>
      <c r="B26" s="4" t="s">
        <v>92</v>
      </c>
      <c r="C26" s="4" t="s">
        <v>93</v>
      </c>
      <c r="D26" s="5" t="n">
        <v>69.95</v>
      </c>
      <c r="E26" s="5" t="n">
        <v>139.9</v>
      </c>
      <c r="F26" s="11" t="n">
        <v>59.95</v>
      </c>
      <c r="G26" s="11" t="n">
        <v>119.95</v>
      </c>
      <c r="H26" s="12" t="n">
        <v>0.5</v>
      </c>
      <c r="I26" s="5" t="n">
        <f aca="false">F26-D26</f>
        <v>-10</v>
      </c>
      <c r="J26" s="6" t="n">
        <f aca="false">IF(D26=0,0,F26/D26-1)</f>
        <v>-0.142959256611866</v>
      </c>
      <c r="K26" s="4"/>
    </row>
    <row r="27" customFormat="false" ht="15" hidden="false" customHeight="false" outlineLevel="0" collapsed="false">
      <c r="A27" s="4" t="s">
        <v>18</v>
      </c>
      <c r="B27" s="4" t="s">
        <v>94</v>
      </c>
      <c r="C27" s="4" t="s">
        <v>95</v>
      </c>
      <c r="D27" s="5" t="n">
        <v>74.95</v>
      </c>
      <c r="E27" s="5" t="n">
        <v>136.27</v>
      </c>
      <c r="F27" s="11" t="n">
        <v>59.95</v>
      </c>
      <c r="G27" s="11" t="n">
        <v>108.95</v>
      </c>
      <c r="H27" s="12" t="n">
        <v>0.45</v>
      </c>
      <c r="I27" s="5" t="n">
        <f aca="false">F27-D27</f>
        <v>-15</v>
      </c>
      <c r="J27" s="6" t="n">
        <f aca="false">IF(D27=0,0,F27/D27-1)</f>
        <v>-0.200133422281521</v>
      </c>
      <c r="K27" s="4"/>
    </row>
    <row r="28" customFormat="false" ht="15" hidden="false" customHeight="false" outlineLevel="0" collapsed="false">
      <c r="A28" s="4" t="s">
        <v>18</v>
      </c>
      <c r="B28" s="4" t="s">
        <v>96</v>
      </c>
      <c r="C28" s="4" t="s">
        <v>97</v>
      </c>
      <c r="D28" s="5" t="n">
        <v>69.95</v>
      </c>
      <c r="E28" s="5" t="n">
        <v>127.18</v>
      </c>
      <c r="F28" s="11" t="n">
        <v>59.95</v>
      </c>
      <c r="G28" s="11" t="n">
        <v>108.95</v>
      </c>
      <c r="H28" s="12" t="n">
        <v>0.45</v>
      </c>
      <c r="I28" s="5" t="n">
        <f aca="false">F28-D28</f>
        <v>-10</v>
      </c>
      <c r="J28" s="6" t="n">
        <f aca="false">IF(D28=0,0,F28/D28-1)</f>
        <v>-0.142959256611866</v>
      </c>
      <c r="K28" s="4"/>
    </row>
    <row r="29" customFormat="false" ht="15" hidden="false" customHeight="false" outlineLevel="0" collapsed="false">
      <c r="A29" s="4" t="s">
        <v>18</v>
      </c>
      <c r="B29" s="4" t="s">
        <v>98</v>
      </c>
      <c r="C29" s="4" t="s">
        <v>99</v>
      </c>
      <c r="D29" s="5" t="n">
        <v>69.95</v>
      </c>
      <c r="E29" s="5" t="n">
        <v>127.18</v>
      </c>
      <c r="F29" s="11" t="n">
        <v>59.95</v>
      </c>
      <c r="G29" s="11" t="n">
        <v>108.95</v>
      </c>
      <c r="H29" s="12" t="n">
        <v>0.45</v>
      </c>
      <c r="I29" s="5" t="n">
        <f aca="false">F29-D29</f>
        <v>-10</v>
      </c>
      <c r="J29" s="6" t="n">
        <f aca="false">IF(D29=0,0,F29/D29-1)</f>
        <v>-0.142959256611866</v>
      </c>
      <c r="K29" s="4"/>
    </row>
    <row r="30" customFormat="false" ht="15" hidden="false" customHeight="false" outlineLevel="0" collapsed="false">
      <c r="A30" s="4" t="s">
        <v>18</v>
      </c>
      <c r="B30" s="4" t="s">
        <v>100</v>
      </c>
      <c r="C30" s="4" t="s">
        <v>101</v>
      </c>
      <c r="D30" s="5" t="n">
        <v>69.95</v>
      </c>
      <c r="E30" s="5" t="n">
        <v>139.9</v>
      </c>
      <c r="F30" s="11" t="n">
        <v>59.95</v>
      </c>
      <c r="G30" s="11" t="n">
        <v>119.95</v>
      </c>
      <c r="H30" s="12" t="n">
        <v>0.5</v>
      </c>
      <c r="I30" s="5" t="n">
        <f aca="false">F30-D30</f>
        <v>-10</v>
      </c>
      <c r="J30" s="6" t="n">
        <f aca="false">IF(D30=0,0,F30/D30-1)</f>
        <v>-0.142959256611866</v>
      </c>
      <c r="K30" s="4"/>
    </row>
    <row r="31" customFormat="false" ht="15" hidden="false" customHeight="false" outlineLevel="0" collapsed="false">
      <c r="A31" s="4" t="s">
        <v>18</v>
      </c>
      <c r="B31" s="4" t="s">
        <v>102</v>
      </c>
      <c r="C31" s="4" t="s">
        <v>103</v>
      </c>
      <c r="D31" s="5" t="n">
        <v>69.95</v>
      </c>
      <c r="E31" s="5" t="n">
        <v>139.9</v>
      </c>
      <c r="F31" s="11" t="n">
        <v>59.95</v>
      </c>
      <c r="G31" s="11" t="n">
        <v>119.95</v>
      </c>
      <c r="H31" s="12" t="n">
        <v>0.5</v>
      </c>
      <c r="I31" s="5" t="n">
        <f aca="false">F31-D31</f>
        <v>-10</v>
      </c>
      <c r="J31" s="6" t="n">
        <f aca="false">IF(D31=0,0,F31/D31-1)</f>
        <v>-0.142959256611866</v>
      </c>
      <c r="K31" s="4"/>
    </row>
    <row r="32" customFormat="false" ht="15" hidden="false" customHeight="false" outlineLevel="0" collapsed="false">
      <c r="A32" s="4" t="s">
        <v>18</v>
      </c>
      <c r="B32" s="4" t="s">
        <v>104</v>
      </c>
      <c r="C32" s="4" t="s">
        <v>105</v>
      </c>
      <c r="D32" s="5" t="n">
        <v>69.95</v>
      </c>
      <c r="E32" s="5" t="n">
        <v>116.58</v>
      </c>
      <c r="F32" s="11" t="n">
        <v>59.95</v>
      </c>
      <c r="G32" s="11" t="n">
        <v>99.95</v>
      </c>
      <c r="H32" s="12" t="n">
        <v>0.4</v>
      </c>
      <c r="I32" s="5" t="n">
        <f aca="false">F32-D32</f>
        <v>-10</v>
      </c>
      <c r="J32" s="6" t="n">
        <f aca="false">IF(D32=0,0,F32/D32-1)</f>
        <v>-0.142959256611866</v>
      </c>
      <c r="K32" s="4"/>
    </row>
    <row r="33" customFormat="false" ht="15" hidden="false" customHeight="false" outlineLevel="0" collapsed="false">
      <c r="A33" s="4" t="s">
        <v>18</v>
      </c>
      <c r="B33" s="4" t="s">
        <v>106</v>
      </c>
      <c r="C33" s="4" t="s">
        <v>107</v>
      </c>
      <c r="D33" s="5" t="n">
        <v>69.95</v>
      </c>
      <c r="E33" s="5" t="n">
        <v>127.18</v>
      </c>
      <c r="F33" s="11" t="n">
        <v>59.95</v>
      </c>
      <c r="G33" s="11" t="n">
        <v>108.95</v>
      </c>
      <c r="H33" s="12" t="n">
        <v>0.45</v>
      </c>
      <c r="I33" s="5" t="n">
        <f aca="false">F33-D33</f>
        <v>-10</v>
      </c>
      <c r="J33" s="6" t="n">
        <f aca="false">IF(D33=0,0,F33/D33-1)</f>
        <v>-0.142959256611866</v>
      </c>
      <c r="K33" s="4"/>
    </row>
    <row r="34" customFormat="false" ht="15" hidden="false" customHeight="false" outlineLevel="0" collapsed="false">
      <c r="A34" s="4" t="s">
        <v>18</v>
      </c>
      <c r="B34" s="4" t="s">
        <v>108</v>
      </c>
      <c r="C34" s="4" t="s">
        <v>109</v>
      </c>
      <c r="D34" s="5" t="n">
        <v>74.95</v>
      </c>
      <c r="E34" s="5" t="n">
        <v>136.27</v>
      </c>
      <c r="F34" s="11" t="n">
        <v>59.95</v>
      </c>
      <c r="G34" s="11" t="n">
        <v>108.95</v>
      </c>
      <c r="H34" s="12" t="n">
        <v>0.45</v>
      </c>
      <c r="I34" s="5" t="n">
        <f aca="false">F34-D34</f>
        <v>-15</v>
      </c>
      <c r="J34" s="6" t="n">
        <f aca="false">IF(D34=0,0,F34/D34-1)</f>
        <v>-0.200133422281521</v>
      </c>
      <c r="K34" s="4"/>
    </row>
    <row r="35" customFormat="false" ht="15" hidden="false" customHeight="false" outlineLevel="0" collapsed="false">
      <c r="A35" s="4" t="s">
        <v>18</v>
      </c>
      <c r="B35" s="4" t="s">
        <v>110</v>
      </c>
      <c r="C35" s="4" t="s">
        <v>111</v>
      </c>
      <c r="D35" s="5" t="n">
        <v>69.95</v>
      </c>
      <c r="E35" s="5" t="n">
        <v>127.18</v>
      </c>
      <c r="F35" s="11" t="n">
        <v>59.95</v>
      </c>
      <c r="G35" s="11" t="n">
        <v>108.95</v>
      </c>
      <c r="H35" s="12" t="n">
        <v>0.45</v>
      </c>
      <c r="I35" s="5" t="n">
        <f aca="false">F35-D35</f>
        <v>-10</v>
      </c>
      <c r="J35" s="6" t="n">
        <f aca="false">IF(D35=0,0,F35/D35-1)</f>
        <v>-0.142959256611866</v>
      </c>
      <c r="K35" s="4"/>
    </row>
    <row r="36" customFormat="false" ht="15" hidden="false" customHeight="false" outlineLevel="0" collapsed="false">
      <c r="A36" s="4" t="s">
        <v>18</v>
      </c>
      <c r="B36" s="4" t="s">
        <v>112</v>
      </c>
      <c r="C36" s="4" t="s">
        <v>113</v>
      </c>
      <c r="D36" s="5" t="n">
        <v>69.95</v>
      </c>
      <c r="E36" s="5" t="n">
        <v>127.18</v>
      </c>
      <c r="F36" s="11" t="n">
        <v>59.95</v>
      </c>
      <c r="G36" s="11" t="n">
        <v>108.95</v>
      </c>
      <c r="H36" s="12" t="n">
        <v>0.45</v>
      </c>
      <c r="I36" s="5" t="n">
        <f aca="false">F36-D36</f>
        <v>-10</v>
      </c>
      <c r="J36" s="6" t="n">
        <f aca="false">IF(D36=0,0,F36/D36-1)</f>
        <v>-0.142959256611866</v>
      </c>
      <c r="K36" s="4"/>
    </row>
    <row r="37" customFormat="false" ht="15" hidden="false" customHeight="false" outlineLevel="0" collapsed="false">
      <c r="A37" s="4" t="s">
        <v>18</v>
      </c>
      <c r="B37" s="4" t="s">
        <v>114</v>
      </c>
      <c r="C37" s="4" t="s">
        <v>115</v>
      </c>
      <c r="D37" s="5" t="n">
        <v>69.95</v>
      </c>
      <c r="E37" s="5" t="n">
        <v>116.58</v>
      </c>
      <c r="F37" s="11" t="n">
        <v>59.95</v>
      </c>
      <c r="G37" s="11" t="n">
        <v>99.95</v>
      </c>
      <c r="H37" s="12" t="n">
        <v>0.4</v>
      </c>
      <c r="I37" s="5" t="n">
        <f aca="false">F37-D37</f>
        <v>-10</v>
      </c>
      <c r="J37" s="6" t="n">
        <f aca="false">IF(D37=0,0,F37/D37-1)</f>
        <v>-0.142959256611866</v>
      </c>
      <c r="K37" s="4"/>
    </row>
    <row r="38" customFormat="false" ht="15" hidden="false" customHeight="false" outlineLevel="0" collapsed="false">
      <c r="A38" s="4" t="s">
        <v>18</v>
      </c>
      <c r="B38" s="4" t="s">
        <v>116</v>
      </c>
      <c r="C38" s="4" t="s">
        <v>117</v>
      </c>
      <c r="D38" s="5" t="n">
        <v>69.95</v>
      </c>
      <c r="E38" s="5" t="n">
        <v>116.58</v>
      </c>
      <c r="F38" s="11" t="n">
        <v>59.95</v>
      </c>
      <c r="G38" s="11" t="n">
        <v>99.95</v>
      </c>
      <c r="H38" s="12" t="n">
        <v>0.4</v>
      </c>
      <c r="I38" s="5" t="n">
        <f aca="false">F38-D38</f>
        <v>-10</v>
      </c>
      <c r="J38" s="6" t="n">
        <f aca="false">IF(D38=0,0,F38/D38-1)</f>
        <v>-0.142959256611866</v>
      </c>
      <c r="K38" s="4"/>
    </row>
    <row r="39" customFormat="false" ht="15" hidden="false" customHeight="false" outlineLevel="0" collapsed="false">
      <c r="A39" s="4" t="s">
        <v>18</v>
      </c>
      <c r="B39" s="4" t="s">
        <v>118</v>
      </c>
      <c r="C39" s="4" t="s">
        <v>119</v>
      </c>
      <c r="D39" s="5" t="n">
        <v>69.95</v>
      </c>
      <c r="E39" s="5" t="n">
        <v>139.9</v>
      </c>
      <c r="F39" s="11" t="n">
        <v>59.95</v>
      </c>
      <c r="G39" s="11" t="n">
        <v>119.95</v>
      </c>
      <c r="H39" s="12" t="n">
        <v>0.5</v>
      </c>
      <c r="I39" s="5" t="n">
        <f aca="false">F39-D39</f>
        <v>-10</v>
      </c>
      <c r="J39" s="6" t="n">
        <f aca="false">IF(D39=0,0,F39/D39-1)</f>
        <v>-0.142959256611866</v>
      </c>
      <c r="K39" s="4"/>
    </row>
    <row r="40" customFormat="false" ht="15" hidden="false" customHeight="false" outlineLevel="0" collapsed="false">
      <c r="A40" s="4" t="s">
        <v>18</v>
      </c>
      <c r="B40" s="4" t="s">
        <v>120</v>
      </c>
      <c r="C40" s="4" t="s">
        <v>121</v>
      </c>
      <c r="D40" s="5" t="n">
        <v>69.95</v>
      </c>
      <c r="E40" s="5" t="n">
        <v>116.58</v>
      </c>
      <c r="F40" s="11" t="n">
        <v>59.95</v>
      </c>
      <c r="G40" s="11" t="n">
        <v>99.95</v>
      </c>
      <c r="H40" s="12" t="n">
        <v>0.4</v>
      </c>
      <c r="I40" s="5" t="n">
        <f aca="false">F40-D40</f>
        <v>-10</v>
      </c>
      <c r="J40" s="6" t="n">
        <f aca="false">IF(D40=0,0,F40/D40-1)</f>
        <v>-0.142959256611866</v>
      </c>
      <c r="K40" s="4"/>
    </row>
    <row r="41" customFormat="false" ht="15" hidden="false" customHeight="false" outlineLevel="0" collapsed="false">
      <c r="A41" s="4" t="s">
        <v>18</v>
      </c>
      <c r="B41" s="4" t="s">
        <v>122</v>
      </c>
      <c r="C41" s="4" t="s">
        <v>123</v>
      </c>
      <c r="D41" s="5" t="n">
        <v>69.95</v>
      </c>
      <c r="E41" s="5" t="n">
        <v>127.18</v>
      </c>
      <c r="F41" s="11" t="n">
        <v>59.95</v>
      </c>
      <c r="G41" s="11" t="n">
        <v>108.95</v>
      </c>
      <c r="H41" s="12" t="n">
        <v>0.45</v>
      </c>
      <c r="I41" s="5" t="n">
        <f aca="false">F41-D41</f>
        <v>-10</v>
      </c>
      <c r="J41" s="6" t="n">
        <f aca="false">IF(D41=0,0,F41/D41-1)</f>
        <v>-0.142959256611866</v>
      </c>
      <c r="K41" s="4"/>
    </row>
    <row r="42" customFormat="false" ht="15" hidden="false" customHeight="false" outlineLevel="0" collapsed="false">
      <c r="A42" s="4" t="s">
        <v>18</v>
      </c>
      <c r="B42" s="4" t="s">
        <v>124</v>
      </c>
      <c r="C42" s="4" t="s">
        <v>125</v>
      </c>
      <c r="D42" s="5" t="n">
        <v>69.95</v>
      </c>
      <c r="E42" s="5" t="n">
        <v>116.58</v>
      </c>
      <c r="F42" s="11" t="n">
        <v>59.95</v>
      </c>
      <c r="G42" s="11" t="n">
        <v>99.95</v>
      </c>
      <c r="H42" s="12" t="n">
        <v>0.4</v>
      </c>
      <c r="I42" s="5" t="n">
        <f aca="false">F42-D42</f>
        <v>-10</v>
      </c>
      <c r="J42" s="6" t="n">
        <f aca="false">IF(D42=0,0,F42/D42-1)</f>
        <v>-0.142959256611866</v>
      </c>
      <c r="K42" s="4"/>
    </row>
    <row r="43" customFormat="false" ht="15" hidden="false" customHeight="false" outlineLevel="0" collapsed="false">
      <c r="A43" s="4" t="s">
        <v>18</v>
      </c>
      <c r="B43" s="4" t="s">
        <v>126</v>
      </c>
      <c r="C43" s="4" t="s">
        <v>127</v>
      </c>
      <c r="D43" s="5" t="n">
        <v>74.95</v>
      </c>
      <c r="E43" s="5" t="n">
        <v>136.27</v>
      </c>
      <c r="F43" s="11" t="n">
        <v>59.95</v>
      </c>
      <c r="G43" s="11" t="n">
        <v>108.95</v>
      </c>
      <c r="H43" s="12" t="n">
        <v>0.45</v>
      </c>
      <c r="I43" s="5" t="n">
        <f aca="false">F43-D43</f>
        <v>-15</v>
      </c>
      <c r="J43" s="6" t="n">
        <f aca="false">IF(D43=0,0,F43/D43-1)</f>
        <v>-0.200133422281521</v>
      </c>
      <c r="K43" s="4"/>
    </row>
    <row r="44" customFormat="false" ht="15" hidden="false" customHeight="false" outlineLevel="0" collapsed="false">
      <c r="A44" s="4" t="s">
        <v>18</v>
      </c>
      <c r="B44" s="4" t="s">
        <v>128</v>
      </c>
      <c r="C44" s="4" t="s">
        <v>129</v>
      </c>
      <c r="D44" s="5" t="n">
        <v>69.95</v>
      </c>
      <c r="E44" s="5" t="n">
        <v>139.9</v>
      </c>
      <c r="F44" s="11" t="n">
        <v>59.95</v>
      </c>
      <c r="G44" s="11" t="n">
        <v>119.95</v>
      </c>
      <c r="H44" s="12" t="n">
        <v>0.5</v>
      </c>
      <c r="I44" s="5" t="n">
        <f aca="false">F44-D44</f>
        <v>-10</v>
      </c>
      <c r="J44" s="6" t="n">
        <f aca="false">IF(D44=0,0,F44/D44-1)</f>
        <v>-0.142959256611866</v>
      </c>
      <c r="K44" s="4"/>
    </row>
    <row r="45" customFormat="false" ht="15" hidden="false" customHeight="false" outlineLevel="0" collapsed="false">
      <c r="A45" s="4" t="s">
        <v>18</v>
      </c>
      <c r="B45" s="4" t="s">
        <v>130</v>
      </c>
      <c r="C45" s="4" t="s">
        <v>131</v>
      </c>
      <c r="D45" s="5" t="n">
        <v>69.95</v>
      </c>
      <c r="E45" s="5" t="n">
        <v>127.18</v>
      </c>
      <c r="F45" s="11" t="n">
        <v>59.95</v>
      </c>
      <c r="G45" s="11" t="n">
        <v>108.95</v>
      </c>
      <c r="H45" s="12" t="n">
        <v>0.45</v>
      </c>
      <c r="I45" s="5" t="n">
        <f aca="false">F45-D45</f>
        <v>-10</v>
      </c>
      <c r="J45" s="6" t="n">
        <f aca="false">IF(D45=0,0,F45/D45-1)</f>
        <v>-0.142959256611866</v>
      </c>
      <c r="K45" s="4"/>
    </row>
    <row r="46" customFormat="false" ht="15" hidden="false" customHeight="false" outlineLevel="0" collapsed="false">
      <c r="A46" s="4" t="s">
        <v>18</v>
      </c>
      <c r="B46" s="4" t="s">
        <v>132</v>
      </c>
      <c r="C46" s="4" t="s">
        <v>133</v>
      </c>
      <c r="D46" s="5" t="n">
        <v>69.95</v>
      </c>
      <c r="E46" s="5" t="n">
        <v>139.9</v>
      </c>
      <c r="F46" s="11" t="n">
        <v>59.95</v>
      </c>
      <c r="G46" s="11" t="n">
        <v>119.95</v>
      </c>
      <c r="H46" s="12" t="n">
        <v>0.5</v>
      </c>
      <c r="I46" s="5" t="n">
        <f aca="false">F46-D46</f>
        <v>-10</v>
      </c>
      <c r="J46" s="6" t="n">
        <f aca="false">IF(D46=0,0,F46/D46-1)</f>
        <v>-0.142959256611866</v>
      </c>
      <c r="K46" s="4"/>
    </row>
    <row r="47" customFormat="false" ht="15" hidden="false" customHeight="false" outlineLevel="0" collapsed="false">
      <c r="A47" s="4" t="s">
        <v>18</v>
      </c>
      <c r="B47" s="4" t="s">
        <v>134</v>
      </c>
      <c r="C47" s="4" t="s">
        <v>135</v>
      </c>
      <c r="D47" s="5" t="n">
        <v>69.95</v>
      </c>
      <c r="E47" s="5" t="n">
        <v>116.58</v>
      </c>
      <c r="F47" s="11" t="n">
        <v>59.95</v>
      </c>
      <c r="G47" s="11" t="n">
        <v>99.95</v>
      </c>
      <c r="H47" s="12" t="n">
        <v>0.4</v>
      </c>
      <c r="I47" s="5" t="n">
        <f aca="false">F47-D47</f>
        <v>-10</v>
      </c>
      <c r="J47" s="6" t="n">
        <f aca="false">IF(D47=0,0,F47/D47-1)</f>
        <v>-0.142959256611866</v>
      </c>
      <c r="K47" s="4"/>
    </row>
    <row r="48" customFormat="false" ht="15" hidden="false" customHeight="false" outlineLevel="0" collapsed="false">
      <c r="A48" s="4" t="s">
        <v>18</v>
      </c>
      <c r="B48" s="4" t="s">
        <v>136</v>
      </c>
      <c r="C48" s="4" t="s">
        <v>137</v>
      </c>
      <c r="D48" s="5" t="n">
        <v>79.95</v>
      </c>
      <c r="E48" s="5" t="n">
        <v>159.9</v>
      </c>
      <c r="F48" s="11" t="n">
        <v>64.95</v>
      </c>
      <c r="G48" s="11" t="n">
        <v>129.95</v>
      </c>
      <c r="H48" s="12" t="n">
        <v>0.5</v>
      </c>
      <c r="I48" s="5" t="n">
        <f aca="false">F48-D48</f>
        <v>-15</v>
      </c>
      <c r="J48" s="6" t="n">
        <f aca="false">IF(D48=0,0,F48/D48-1)</f>
        <v>-0.187617260787992</v>
      </c>
      <c r="K48" s="4"/>
    </row>
    <row r="49" customFormat="false" ht="15" hidden="false" customHeight="false" outlineLevel="0" collapsed="false">
      <c r="A49" s="4" t="s">
        <v>18</v>
      </c>
      <c r="B49" s="4" t="s">
        <v>138</v>
      </c>
      <c r="C49" s="4" t="s">
        <v>139</v>
      </c>
      <c r="D49" s="5" t="n">
        <v>84.95</v>
      </c>
      <c r="E49" s="5" t="n">
        <v>141.58</v>
      </c>
      <c r="F49" s="11" t="n">
        <v>64.95</v>
      </c>
      <c r="G49" s="11" t="n">
        <v>108.95</v>
      </c>
      <c r="H49" s="12" t="n">
        <v>0.4</v>
      </c>
      <c r="I49" s="5" t="n">
        <f aca="false">F49-D49</f>
        <v>-20</v>
      </c>
      <c r="J49" s="6" t="n">
        <f aca="false">IF(D49=0,0,F49/D49-1)</f>
        <v>-0.235432607416127</v>
      </c>
      <c r="K49" s="4"/>
    </row>
    <row r="50" customFormat="false" ht="15" hidden="false" customHeight="false" outlineLevel="0" collapsed="false">
      <c r="A50" s="4" t="s">
        <v>18</v>
      </c>
      <c r="B50" s="4" t="s">
        <v>140</v>
      </c>
      <c r="C50" s="4" t="s">
        <v>141</v>
      </c>
      <c r="D50" s="5" t="n">
        <v>84.95</v>
      </c>
      <c r="E50" s="5" t="n">
        <v>141.58</v>
      </c>
      <c r="F50" s="11" t="n">
        <v>64.95</v>
      </c>
      <c r="G50" s="11" t="n">
        <v>108.95</v>
      </c>
      <c r="H50" s="12" t="n">
        <v>0.4</v>
      </c>
      <c r="I50" s="5" t="n">
        <f aca="false">F50-D50</f>
        <v>-20</v>
      </c>
      <c r="J50" s="6" t="n">
        <f aca="false">IF(D50=0,0,F50/D50-1)</f>
        <v>-0.235432607416127</v>
      </c>
      <c r="K50" s="4"/>
    </row>
    <row r="51" customFormat="false" ht="15" hidden="false" customHeight="false" outlineLevel="0" collapsed="false">
      <c r="A51" s="4" t="s">
        <v>18</v>
      </c>
      <c r="B51" s="4" t="s">
        <v>142</v>
      </c>
      <c r="C51" s="4" t="s">
        <v>143</v>
      </c>
      <c r="D51" s="5" t="n">
        <v>84.95</v>
      </c>
      <c r="E51" s="5" t="n">
        <v>154.45</v>
      </c>
      <c r="F51" s="11" t="n">
        <v>64.95</v>
      </c>
      <c r="G51" s="11" t="n">
        <v>118.95</v>
      </c>
      <c r="H51" s="12" t="n">
        <v>0.45</v>
      </c>
      <c r="I51" s="5" t="n">
        <f aca="false">F51-D51</f>
        <v>-20</v>
      </c>
      <c r="J51" s="6" t="n">
        <f aca="false">IF(D51=0,0,F51/D51-1)</f>
        <v>-0.235432607416127</v>
      </c>
      <c r="K51" s="4"/>
    </row>
    <row r="52" customFormat="false" ht="15" hidden="false" customHeight="false" outlineLevel="0" collapsed="false">
      <c r="A52" s="4" t="s">
        <v>18</v>
      </c>
      <c r="B52" s="4" t="s">
        <v>144</v>
      </c>
      <c r="C52" s="4" t="s">
        <v>145</v>
      </c>
      <c r="D52" s="5" t="n">
        <v>84.95</v>
      </c>
      <c r="E52" s="5" t="n">
        <v>141.58</v>
      </c>
      <c r="F52" s="11" t="n">
        <v>64.95</v>
      </c>
      <c r="G52" s="11" t="n">
        <v>108.95</v>
      </c>
      <c r="H52" s="12" t="n">
        <v>0.4</v>
      </c>
      <c r="I52" s="5" t="n">
        <f aca="false">F52-D52</f>
        <v>-20</v>
      </c>
      <c r="J52" s="6" t="n">
        <f aca="false">IF(D52=0,0,F52/D52-1)</f>
        <v>-0.235432607416127</v>
      </c>
      <c r="K52" s="4"/>
    </row>
    <row r="53" customFormat="false" ht="15" hidden="false" customHeight="false" outlineLevel="0" collapsed="false">
      <c r="A53" s="4" t="s">
        <v>18</v>
      </c>
      <c r="B53" s="4" t="s">
        <v>146</v>
      </c>
      <c r="C53" s="4" t="s">
        <v>147</v>
      </c>
      <c r="D53" s="5" t="n">
        <v>79.95</v>
      </c>
      <c r="E53" s="5" t="n">
        <v>159.9</v>
      </c>
      <c r="F53" s="11" t="n">
        <v>64.95</v>
      </c>
      <c r="G53" s="11" t="n">
        <v>129.95</v>
      </c>
      <c r="H53" s="12" t="n">
        <v>0.5</v>
      </c>
      <c r="I53" s="5" t="n">
        <f aca="false">F53-D53</f>
        <v>-15</v>
      </c>
      <c r="J53" s="6" t="n">
        <f aca="false">IF(D53=0,0,F53/D53-1)</f>
        <v>-0.187617260787992</v>
      </c>
      <c r="K53" s="4"/>
    </row>
    <row r="54" customFormat="false" ht="15" hidden="false" customHeight="false" outlineLevel="0" collapsed="false">
      <c r="A54" s="4" t="s">
        <v>18</v>
      </c>
      <c r="B54" s="4" t="s">
        <v>148</v>
      </c>
      <c r="C54" s="4" t="s">
        <v>149</v>
      </c>
      <c r="D54" s="5" t="n">
        <v>84.95</v>
      </c>
      <c r="E54" s="5" t="n">
        <v>169.9</v>
      </c>
      <c r="F54" s="11" t="n">
        <v>64.95</v>
      </c>
      <c r="G54" s="11" t="n">
        <v>129.95</v>
      </c>
      <c r="H54" s="12" t="n">
        <v>0.5</v>
      </c>
      <c r="I54" s="5" t="n">
        <f aca="false">F54-D54</f>
        <v>-20</v>
      </c>
      <c r="J54" s="6" t="n">
        <f aca="false">IF(D54=0,0,F54/D54-1)</f>
        <v>-0.235432607416127</v>
      </c>
      <c r="K54" s="4"/>
    </row>
    <row r="55" customFormat="false" ht="15" hidden="false" customHeight="false" outlineLevel="0" collapsed="false">
      <c r="A55" s="4" t="s">
        <v>18</v>
      </c>
      <c r="B55" s="4" t="s">
        <v>150</v>
      </c>
      <c r="C55" s="4" t="s">
        <v>151</v>
      </c>
      <c r="D55" s="5" t="n">
        <v>89.95</v>
      </c>
      <c r="E55" s="5" t="n">
        <v>179.9</v>
      </c>
      <c r="F55" s="11" t="n">
        <v>64.95</v>
      </c>
      <c r="G55" s="11" t="n">
        <v>129.95</v>
      </c>
      <c r="H55" s="12" t="n">
        <v>0.5</v>
      </c>
      <c r="I55" s="5" t="n">
        <f aca="false">F55-D55</f>
        <v>-25</v>
      </c>
      <c r="J55" s="6" t="n">
        <f aca="false">IF(D55=0,0,F55/D55-1)</f>
        <v>-0.277932184546971</v>
      </c>
      <c r="K55" s="4"/>
    </row>
    <row r="56" customFormat="false" ht="15" hidden="false" customHeight="false" outlineLevel="0" collapsed="false">
      <c r="A56" s="4" t="s">
        <v>18</v>
      </c>
      <c r="B56" s="4" t="s">
        <v>152</v>
      </c>
      <c r="C56" s="4" t="s">
        <v>153</v>
      </c>
      <c r="D56" s="5" t="n">
        <v>84.95</v>
      </c>
      <c r="E56" s="5" t="n">
        <v>141.58</v>
      </c>
      <c r="F56" s="11" t="n">
        <v>64.95</v>
      </c>
      <c r="G56" s="11" t="n">
        <v>108.95</v>
      </c>
      <c r="H56" s="12" t="n">
        <v>0.4</v>
      </c>
      <c r="I56" s="5" t="n">
        <f aca="false">F56-D56</f>
        <v>-20</v>
      </c>
      <c r="J56" s="6" t="n">
        <f aca="false">IF(D56=0,0,F56/D56-1)</f>
        <v>-0.235432607416127</v>
      </c>
      <c r="K56" s="4"/>
    </row>
    <row r="57" customFormat="false" ht="15" hidden="false" customHeight="false" outlineLevel="0" collapsed="false">
      <c r="A57" s="4" t="s">
        <v>18</v>
      </c>
      <c r="B57" s="4" t="s">
        <v>154</v>
      </c>
      <c r="C57" s="4" t="s">
        <v>155</v>
      </c>
      <c r="D57" s="5" t="n">
        <v>84.95</v>
      </c>
      <c r="E57" s="5" t="n">
        <v>141.58</v>
      </c>
      <c r="F57" s="11" t="n">
        <v>64.95</v>
      </c>
      <c r="G57" s="11" t="n">
        <v>108.95</v>
      </c>
      <c r="H57" s="12" t="n">
        <v>0.4</v>
      </c>
      <c r="I57" s="5" t="n">
        <f aca="false">F57-D57</f>
        <v>-20</v>
      </c>
      <c r="J57" s="6" t="n">
        <f aca="false">IF(D57=0,0,F57/D57-1)</f>
        <v>-0.235432607416127</v>
      </c>
      <c r="K57" s="4"/>
    </row>
    <row r="58" customFormat="false" ht="15" hidden="false" customHeight="false" outlineLevel="0" collapsed="false">
      <c r="A58" s="4" t="s">
        <v>18</v>
      </c>
      <c r="B58" s="4" t="s">
        <v>156</v>
      </c>
      <c r="C58" s="4" t="s">
        <v>157</v>
      </c>
      <c r="D58" s="5" t="n">
        <v>84.95</v>
      </c>
      <c r="E58" s="5" t="n">
        <v>154.45</v>
      </c>
      <c r="F58" s="11" t="n">
        <v>64.95</v>
      </c>
      <c r="G58" s="11" t="n">
        <v>118.95</v>
      </c>
      <c r="H58" s="12" t="n">
        <v>0.45</v>
      </c>
      <c r="I58" s="5" t="n">
        <f aca="false">F58-D58</f>
        <v>-20</v>
      </c>
      <c r="J58" s="6" t="n">
        <f aca="false">IF(D58=0,0,F58/D58-1)</f>
        <v>-0.235432607416127</v>
      </c>
      <c r="K58" s="4"/>
    </row>
    <row r="59" customFormat="false" ht="15" hidden="false" customHeight="false" outlineLevel="0" collapsed="false">
      <c r="A59" s="4" t="s">
        <v>18</v>
      </c>
      <c r="B59" s="4" t="s">
        <v>158</v>
      </c>
      <c r="C59" s="4" t="s">
        <v>159</v>
      </c>
      <c r="D59" s="5" t="n">
        <v>84.95</v>
      </c>
      <c r="E59" s="5" t="n">
        <v>154.45</v>
      </c>
      <c r="F59" s="11" t="n">
        <v>64.95</v>
      </c>
      <c r="G59" s="11" t="n">
        <v>118.95</v>
      </c>
      <c r="H59" s="12" t="n">
        <v>0.45</v>
      </c>
      <c r="I59" s="5" t="n">
        <f aca="false">F59-D59</f>
        <v>-20</v>
      </c>
      <c r="J59" s="6" t="n">
        <f aca="false">IF(D59=0,0,F59/D59-1)</f>
        <v>-0.235432607416127</v>
      </c>
      <c r="K59" s="4"/>
    </row>
    <row r="60" customFormat="false" ht="15" hidden="false" customHeight="false" outlineLevel="0" collapsed="false">
      <c r="A60" s="4" t="s">
        <v>18</v>
      </c>
      <c r="B60" s="4" t="s">
        <v>160</v>
      </c>
      <c r="C60" s="4" t="s">
        <v>161</v>
      </c>
      <c r="D60" s="5" t="n">
        <v>84.95</v>
      </c>
      <c r="E60" s="5" t="n">
        <v>169.9</v>
      </c>
      <c r="F60" s="11" t="n">
        <v>64.95</v>
      </c>
      <c r="G60" s="11" t="n">
        <v>129.95</v>
      </c>
      <c r="H60" s="12" t="n">
        <v>0.5</v>
      </c>
      <c r="I60" s="5" t="n">
        <f aca="false">F60-D60</f>
        <v>-20</v>
      </c>
      <c r="J60" s="6" t="n">
        <f aca="false">IF(D60=0,0,F60/D60-1)</f>
        <v>-0.235432607416127</v>
      </c>
      <c r="K60" s="4"/>
    </row>
    <row r="61" customFormat="false" ht="15" hidden="false" customHeight="false" outlineLevel="0" collapsed="false">
      <c r="A61" s="4" t="s">
        <v>18</v>
      </c>
      <c r="B61" s="4" t="s">
        <v>162</v>
      </c>
      <c r="C61" s="4" t="s">
        <v>163</v>
      </c>
      <c r="D61" s="5" t="n">
        <v>84.95</v>
      </c>
      <c r="E61" s="5" t="n">
        <v>169.9</v>
      </c>
      <c r="F61" s="11" t="n">
        <v>64.95</v>
      </c>
      <c r="G61" s="11" t="n">
        <v>129.95</v>
      </c>
      <c r="H61" s="12" t="n">
        <v>0.5</v>
      </c>
      <c r="I61" s="5" t="n">
        <f aca="false">F61-D61</f>
        <v>-20</v>
      </c>
      <c r="J61" s="6" t="n">
        <f aca="false">IF(D61=0,0,F61/D61-1)</f>
        <v>-0.235432607416127</v>
      </c>
      <c r="K61" s="4"/>
    </row>
    <row r="62" customFormat="false" ht="15" hidden="false" customHeight="false" outlineLevel="0" collapsed="false">
      <c r="A62" s="4" t="s">
        <v>18</v>
      </c>
      <c r="B62" s="4" t="s">
        <v>164</v>
      </c>
      <c r="C62" s="4" t="s">
        <v>165</v>
      </c>
      <c r="D62" s="5" t="n">
        <v>84.95</v>
      </c>
      <c r="E62" s="5" t="n">
        <v>141.58</v>
      </c>
      <c r="F62" s="11" t="n">
        <v>64.95</v>
      </c>
      <c r="G62" s="11" t="n">
        <v>108.95</v>
      </c>
      <c r="H62" s="12" t="n">
        <v>0.4</v>
      </c>
      <c r="I62" s="5" t="n">
        <f aca="false">F62-D62</f>
        <v>-20</v>
      </c>
      <c r="J62" s="6" t="n">
        <f aca="false">IF(D62=0,0,F62/D62-1)</f>
        <v>-0.235432607416127</v>
      </c>
      <c r="K62" s="4"/>
    </row>
    <row r="63" customFormat="false" ht="15" hidden="false" customHeight="false" outlineLevel="0" collapsed="false">
      <c r="A63" s="4" t="s">
        <v>18</v>
      </c>
      <c r="B63" s="4" t="s">
        <v>166</v>
      </c>
      <c r="C63" s="4" t="s">
        <v>167</v>
      </c>
      <c r="D63" s="5" t="n">
        <v>84.95</v>
      </c>
      <c r="E63" s="5" t="n">
        <v>141.58</v>
      </c>
      <c r="F63" s="11" t="n">
        <v>64.95</v>
      </c>
      <c r="G63" s="11" t="n">
        <v>108.95</v>
      </c>
      <c r="H63" s="12" t="n">
        <v>0.4</v>
      </c>
      <c r="I63" s="5" t="n">
        <f aca="false">F63-D63</f>
        <v>-20</v>
      </c>
      <c r="J63" s="6" t="n">
        <f aca="false">IF(D63=0,0,F63/D63-1)</f>
        <v>-0.235432607416127</v>
      </c>
      <c r="K63" s="4"/>
    </row>
    <row r="64" customFormat="false" ht="15" hidden="false" customHeight="false" outlineLevel="0" collapsed="false">
      <c r="A64" s="4" t="s">
        <v>18</v>
      </c>
      <c r="B64" s="4" t="s">
        <v>168</v>
      </c>
      <c r="C64" s="4" t="s">
        <v>169</v>
      </c>
      <c r="D64" s="5" t="n">
        <v>84.95</v>
      </c>
      <c r="E64" s="5" t="n">
        <v>141.58</v>
      </c>
      <c r="F64" s="11" t="n">
        <v>64.95</v>
      </c>
      <c r="G64" s="11" t="n">
        <v>108.95</v>
      </c>
      <c r="H64" s="12" t="n">
        <v>0.4</v>
      </c>
      <c r="I64" s="5" t="n">
        <f aca="false">F64-D64</f>
        <v>-20</v>
      </c>
      <c r="J64" s="6" t="n">
        <f aca="false">IF(D64=0,0,F64/D64-1)</f>
        <v>-0.235432607416127</v>
      </c>
      <c r="K64" s="4"/>
    </row>
    <row r="65" customFormat="false" ht="15" hidden="false" customHeight="false" outlineLevel="0" collapsed="false">
      <c r="A65" s="4" t="s">
        <v>18</v>
      </c>
      <c r="B65" s="4" t="s">
        <v>170</v>
      </c>
      <c r="C65" s="4" t="s">
        <v>171</v>
      </c>
      <c r="D65" s="5" t="n">
        <v>84.95</v>
      </c>
      <c r="E65" s="5" t="n">
        <v>154.45</v>
      </c>
      <c r="F65" s="11" t="n">
        <v>64.95</v>
      </c>
      <c r="G65" s="11" t="n">
        <v>118.95</v>
      </c>
      <c r="H65" s="12" t="n">
        <v>0.45</v>
      </c>
      <c r="I65" s="5" t="n">
        <f aca="false">F65-D65</f>
        <v>-20</v>
      </c>
      <c r="J65" s="6" t="n">
        <f aca="false">IF(D65=0,0,F65/D65-1)</f>
        <v>-0.235432607416127</v>
      </c>
      <c r="K65" s="4"/>
    </row>
    <row r="66" customFormat="false" ht="15" hidden="false" customHeight="false" outlineLevel="0" collapsed="false">
      <c r="A66" s="4" t="s">
        <v>18</v>
      </c>
      <c r="B66" s="4" t="s">
        <v>172</v>
      </c>
      <c r="C66" s="4" t="s">
        <v>173</v>
      </c>
      <c r="D66" s="5" t="n">
        <v>79.95</v>
      </c>
      <c r="E66" s="5" t="n">
        <v>159.9</v>
      </c>
      <c r="F66" s="11" t="n">
        <v>64.95</v>
      </c>
      <c r="G66" s="11" t="n">
        <v>129.95</v>
      </c>
      <c r="H66" s="12" t="n">
        <v>0.5</v>
      </c>
      <c r="I66" s="5" t="n">
        <f aca="false">F66-D66</f>
        <v>-15</v>
      </c>
      <c r="J66" s="6" t="n">
        <f aca="false">IF(D66=0,0,F66/D66-1)</f>
        <v>-0.187617260787992</v>
      </c>
      <c r="K66" s="4"/>
    </row>
    <row r="67" customFormat="false" ht="15" hidden="false" customHeight="false" outlineLevel="0" collapsed="false">
      <c r="A67" s="4" t="s">
        <v>18</v>
      </c>
      <c r="B67" s="4" t="s">
        <v>174</v>
      </c>
      <c r="C67" s="4" t="s">
        <v>175</v>
      </c>
      <c r="D67" s="5" t="n">
        <v>79.95</v>
      </c>
      <c r="E67" s="5" t="n">
        <v>133.25</v>
      </c>
      <c r="F67" s="11" t="n">
        <v>64.95</v>
      </c>
      <c r="G67" s="11" t="n">
        <v>108.95</v>
      </c>
      <c r="H67" s="12" t="n">
        <v>0.4</v>
      </c>
      <c r="I67" s="5" t="n">
        <f aca="false">F67-D67</f>
        <v>-15</v>
      </c>
      <c r="J67" s="6" t="n">
        <f aca="false">IF(D67=0,0,F67/D67-1)</f>
        <v>-0.187617260787992</v>
      </c>
      <c r="K67" s="4"/>
    </row>
    <row r="68" customFormat="false" ht="15" hidden="false" customHeight="false" outlineLevel="0" collapsed="false">
      <c r="A68" s="4" t="s">
        <v>18</v>
      </c>
      <c r="B68" s="4" t="s">
        <v>176</v>
      </c>
      <c r="C68" s="4" t="s">
        <v>177</v>
      </c>
      <c r="D68" s="5" t="n">
        <v>84.95</v>
      </c>
      <c r="E68" s="5" t="n">
        <v>141.58</v>
      </c>
      <c r="F68" s="11" t="n">
        <v>64.95</v>
      </c>
      <c r="G68" s="11" t="n">
        <v>108.95</v>
      </c>
      <c r="H68" s="12" t="n">
        <v>0.4</v>
      </c>
      <c r="I68" s="5" t="n">
        <f aca="false">F68-D68</f>
        <v>-20</v>
      </c>
      <c r="J68" s="6" t="n">
        <f aca="false">IF(D68=0,0,F68/D68-1)</f>
        <v>-0.235432607416127</v>
      </c>
      <c r="K68" s="4"/>
    </row>
    <row r="69" customFormat="false" ht="15" hidden="false" customHeight="false" outlineLevel="0" collapsed="false">
      <c r="A69" s="4" t="s">
        <v>18</v>
      </c>
      <c r="B69" s="4" t="s">
        <v>178</v>
      </c>
      <c r="C69" s="4" t="s">
        <v>179</v>
      </c>
      <c r="D69" s="5" t="n">
        <v>79.95</v>
      </c>
      <c r="E69" s="5" t="n">
        <v>159.9</v>
      </c>
      <c r="F69" s="11" t="n">
        <v>64.95</v>
      </c>
      <c r="G69" s="11" t="n">
        <v>129.95</v>
      </c>
      <c r="H69" s="12" t="n">
        <v>0.5</v>
      </c>
      <c r="I69" s="5" t="n">
        <f aca="false">F69-D69</f>
        <v>-15</v>
      </c>
      <c r="J69" s="6" t="n">
        <f aca="false">IF(D69=0,0,F69/D69-1)</f>
        <v>-0.187617260787992</v>
      </c>
      <c r="K69" s="4"/>
    </row>
    <row r="70" customFormat="false" ht="15" hidden="false" customHeight="false" outlineLevel="0" collapsed="false">
      <c r="A70" s="4" t="s">
        <v>18</v>
      </c>
      <c r="B70" s="4" t="s">
        <v>180</v>
      </c>
      <c r="C70" s="4" t="s">
        <v>181</v>
      </c>
      <c r="D70" s="5" t="n">
        <v>79.95</v>
      </c>
      <c r="E70" s="5" t="n">
        <v>133.25</v>
      </c>
      <c r="F70" s="11" t="n">
        <v>64.95</v>
      </c>
      <c r="G70" s="11" t="n">
        <v>108.95</v>
      </c>
      <c r="H70" s="12" t="n">
        <v>0.4</v>
      </c>
      <c r="I70" s="5" t="n">
        <f aca="false">F70-D70</f>
        <v>-15</v>
      </c>
      <c r="J70" s="6" t="n">
        <f aca="false">IF(D70=0,0,F70/D70-1)</f>
        <v>-0.187617260787992</v>
      </c>
      <c r="K70" s="4"/>
    </row>
    <row r="71" customFormat="false" ht="15" hidden="false" customHeight="false" outlineLevel="0" collapsed="false">
      <c r="A71" s="4" t="s">
        <v>18</v>
      </c>
      <c r="B71" s="4" t="s">
        <v>182</v>
      </c>
      <c r="C71" s="4" t="s">
        <v>183</v>
      </c>
      <c r="D71" s="5" t="n">
        <v>84.95</v>
      </c>
      <c r="E71" s="5" t="n">
        <v>154.45</v>
      </c>
      <c r="F71" s="11" t="n">
        <v>64.95</v>
      </c>
      <c r="G71" s="11" t="n">
        <v>118.95</v>
      </c>
      <c r="H71" s="12" t="n">
        <v>0.45</v>
      </c>
      <c r="I71" s="5" t="n">
        <f aca="false">F71-D71</f>
        <v>-20</v>
      </c>
      <c r="J71" s="6" t="n">
        <f aca="false">IF(D71=0,0,F71/D71-1)</f>
        <v>-0.235432607416127</v>
      </c>
      <c r="K71" s="4"/>
    </row>
    <row r="72" customFormat="false" ht="15" hidden="false" customHeight="false" outlineLevel="0" collapsed="false">
      <c r="A72" s="4" t="s">
        <v>18</v>
      </c>
      <c r="B72" s="4" t="s">
        <v>184</v>
      </c>
      <c r="C72" s="4" t="s">
        <v>185</v>
      </c>
      <c r="D72" s="5" t="n">
        <v>84.95</v>
      </c>
      <c r="E72" s="5" t="n">
        <v>141.58</v>
      </c>
      <c r="F72" s="11" t="n">
        <v>64.95</v>
      </c>
      <c r="G72" s="11" t="n">
        <v>108.95</v>
      </c>
      <c r="H72" s="12" t="n">
        <v>0.4</v>
      </c>
      <c r="I72" s="5" t="n">
        <f aca="false">F72-D72</f>
        <v>-20</v>
      </c>
      <c r="J72" s="6" t="n">
        <f aca="false">IF(D72=0,0,F72/D72-1)</f>
        <v>-0.235432607416127</v>
      </c>
      <c r="K72" s="4"/>
    </row>
    <row r="73" customFormat="false" ht="15" hidden="false" customHeight="false" outlineLevel="0" collapsed="false">
      <c r="A73" s="4" t="s">
        <v>18</v>
      </c>
      <c r="B73" s="4" t="s">
        <v>186</v>
      </c>
      <c r="C73" s="4" t="s">
        <v>187</v>
      </c>
      <c r="D73" s="5" t="n">
        <v>84.95</v>
      </c>
      <c r="E73" s="5" t="n">
        <v>154.45</v>
      </c>
      <c r="F73" s="11" t="n">
        <v>64.95</v>
      </c>
      <c r="G73" s="11" t="n">
        <v>118.95</v>
      </c>
      <c r="H73" s="12" t="n">
        <v>0.45</v>
      </c>
      <c r="I73" s="5" t="n">
        <f aca="false">F73-D73</f>
        <v>-20</v>
      </c>
      <c r="J73" s="6" t="n">
        <f aca="false">IF(D73=0,0,F73/D73-1)</f>
        <v>-0.235432607416127</v>
      </c>
      <c r="K73" s="4"/>
    </row>
    <row r="74" customFormat="false" ht="15" hidden="false" customHeight="false" outlineLevel="0" collapsed="false">
      <c r="A74" s="4" t="s">
        <v>18</v>
      </c>
      <c r="B74" s="4" t="s">
        <v>188</v>
      </c>
      <c r="C74" s="4" t="s">
        <v>189</v>
      </c>
      <c r="D74" s="5" t="n">
        <v>84.95</v>
      </c>
      <c r="E74" s="5" t="n">
        <v>141.58</v>
      </c>
      <c r="F74" s="11" t="n">
        <v>64.95</v>
      </c>
      <c r="G74" s="11" t="n">
        <v>108.95</v>
      </c>
      <c r="H74" s="12" t="n">
        <v>0.4</v>
      </c>
      <c r="I74" s="5" t="n">
        <f aca="false">F74-D74</f>
        <v>-20</v>
      </c>
      <c r="J74" s="6" t="n">
        <f aca="false">IF(D74=0,0,F74/D74-1)</f>
        <v>-0.235432607416127</v>
      </c>
      <c r="K74" s="4"/>
    </row>
    <row r="75" customFormat="false" ht="15" hidden="false" customHeight="false" outlineLevel="0" collapsed="false">
      <c r="A75" s="4" t="s">
        <v>18</v>
      </c>
      <c r="B75" s="4" t="s">
        <v>190</v>
      </c>
      <c r="C75" s="4" t="s">
        <v>191</v>
      </c>
      <c r="D75" s="5" t="n">
        <v>84.95</v>
      </c>
      <c r="E75" s="5" t="n">
        <v>154.45</v>
      </c>
      <c r="F75" s="11" t="n">
        <v>64.95</v>
      </c>
      <c r="G75" s="11" t="n">
        <v>118.95</v>
      </c>
      <c r="H75" s="12" t="n">
        <v>0.45</v>
      </c>
      <c r="I75" s="5" t="n">
        <f aca="false">F75-D75</f>
        <v>-20</v>
      </c>
      <c r="J75" s="6" t="n">
        <f aca="false">IF(D75=0,0,F75/D75-1)</f>
        <v>-0.235432607416127</v>
      </c>
      <c r="K75" s="4"/>
    </row>
    <row r="76" customFormat="false" ht="15" hidden="false" customHeight="false" outlineLevel="0" collapsed="false">
      <c r="A76" s="4" t="s">
        <v>18</v>
      </c>
      <c r="B76" s="4" t="s">
        <v>192</v>
      </c>
      <c r="C76" s="4" t="s">
        <v>193</v>
      </c>
      <c r="D76" s="5" t="n">
        <v>84.95</v>
      </c>
      <c r="E76" s="5" t="n">
        <v>141.58</v>
      </c>
      <c r="F76" s="11" t="n">
        <v>64.95</v>
      </c>
      <c r="G76" s="11" t="n">
        <v>108.95</v>
      </c>
      <c r="H76" s="12" t="n">
        <v>0.4</v>
      </c>
      <c r="I76" s="5" t="n">
        <f aca="false">F76-D76</f>
        <v>-20</v>
      </c>
      <c r="J76" s="6" t="n">
        <f aca="false">IF(D76=0,0,F76/D76-1)</f>
        <v>-0.235432607416127</v>
      </c>
      <c r="K76" s="4"/>
    </row>
    <row r="77" customFormat="false" ht="15" hidden="false" customHeight="false" outlineLevel="0" collapsed="false">
      <c r="A77" s="4" t="s">
        <v>18</v>
      </c>
      <c r="B77" s="4" t="s">
        <v>194</v>
      </c>
      <c r="C77" s="4" t="s">
        <v>195</v>
      </c>
      <c r="D77" s="5" t="n">
        <v>84.95</v>
      </c>
      <c r="E77" s="5" t="n">
        <v>169.9</v>
      </c>
      <c r="F77" s="11" t="n">
        <v>64.95</v>
      </c>
      <c r="G77" s="11" t="n">
        <v>129.95</v>
      </c>
      <c r="H77" s="12" t="n">
        <v>0.5</v>
      </c>
      <c r="I77" s="5" t="n">
        <f aca="false">F77-D77</f>
        <v>-20</v>
      </c>
      <c r="J77" s="6" t="n">
        <f aca="false">IF(D77=0,0,F77/D77-1)</f>
        <v>-0.235432607416127</v>
      </c>
      <c r="K77" s="4"/>
    </row>
    <row r="78" customFormat="false" ht="15" hidden="false" customHeight="false" outlineLevel="0" collapsed="false">
      <c r="A78" s="4" t="s">
        <v>18</v>
      </c>
      <c r="B78" s="4" t="s">
        <v>196</v>
      </c>
      <c r="C78" s="4" t="s">
        <v>197</v>
      </c>
      <c r="D78" s="5" t="n">
        <v>84.95</v>
      </c>
      <c r="E78" s="5" t="n">
        <v>154.45</v>
      </c>
      <c r="F78" s="11" t="n">
        <v>64.95</v>
      </c>
      <c r="G78" s="11" t="n">
        <v>118.95</v>
      </c>
      <c r="H78" s="12" t="n">
        <v>0.45</v>
      </c>
      <c r="I78" s="5" t="n">
        <f aca="false">F78-D78</f>
        <v>-20</v>
      </c>
      <c r="J78" s="6" t="n">
        <f aca="false">IF(D78=0,0,F78/D78-1)</f>
        <v>-0.235432607416127</v>
      </c>
      <c r="K78" s="4"/>
    </row>
    <row r="79" customFormat="false" ht="15" hidden="false" customHeight="false" outlineLevel="0" collapsed="false">
      <c r="A79" s="4" t="s">
        <v>18</v>
      </c>
      <c r="B79" s="4" t="s">
        <v>198</v>
      </c>
      <c r="C79" s="4" t="s">
        <v>199</v>
      </c>
      <c r="D79" s="5" t="n">
        <v>89.95</v>
      </c>
      <c r="E79" s="5" t="n">
        <v>149.92</v>
      </c>
      <c r="F79" s="11" t="n">
        <v>64.95</v>
      </c>
      <c r="G79" s="11" t="n">
        <v>108.95</v>
      </c>
      <c r="H79" s="12" t="n">
        <v>0.4</v>
      </c>
      <c r="I79" s="5" t="n">
        <f aca="false">F79-D79</f>
        <v>-25</v>
      </c>
      <c r="J79" s="6" t="n">
        <f aca="false">IF(D79=0,0,F79/D79-1)</f>
        <v>-0.277932184546971</v>
      </c>
      <c r="K79" s="4"/>
    </row>
    <row r="80" customFormat="false" ht="15" hidden="false" customHeight="false" outlineLevel="0" collapsed="false">
      <c r="A80" s="4" t="s">
        <v>18</v>
      </c>
      <c r="B80" s="4" t="s">
        <v>200</v>
      </c>
      <c r="C80" s="4" t="s">
        <v>201</v>
      </c>
      <c r="D80" s="5" t="n">
        <v>84.95</v>
      </c>
      <c r="E80" s="5" t="n">
        <v>154.45</v>
      </c>
      <c r="F80" s="11" t="n">
        <v>64.95</v>
      </c>
      <c r="G80" s="11" t="n">
        <v>118.95</v>
      </c>
      <c r="H80" s="12" t="n">
        <v>0.45</v>
      </c>
      <c r="I80" s="5" t="n">
        <f aca="false">F80-D80</f>
        <v>-20</v>
      </c>
      <c r="J80" s="6" t="n">
        <f aca="false">IF(D80=0,0,F80/D80-1)</f>
        <v>-0.235432607416127</v>
      </c>
      <c r="K80" s="4"/>
    </row>
    <row r="81" customFormat="false" ht="15" hidden="false" customHeight="false" outlineLevel="0" collapsed="false">
      <c r="A81" s="4" t="s">
        <v>18</v>
      </c>
      <c r="B81" s="4" t="s">
        <v>202</v>
      </c>
      <c r="C81" s="4" t="s">
        <v>203</v>
      </c>
      <c r="D81" s="5" t="n">
        <v>79.95</v>
      </c>
      <c r="E81" s="5" t="n">
        <v>159.9</v>
      </c>
      <c r="F81" s="11" t="n">
        <v>64.95</v>
      </c>
      <c r="G81" s="11" t="n">
        <v>129.95</v>
      </c>
      <c r="H81" s="12" t="n">
        <v>0.5</v>
      </c>
      <c r="I81" s="5" t="n">
        <f aca="false">F81-D81</f>
        <v>-15</v>
      </c>
      <c r="J81" s="6" t="n">
        <f aca="false">IF(D81=0,0,F81/D81-1)</f>
        <v>-0.187617260787992</v>
      </c>
      <c r="K81" s="4"/>
    </row>
    <row r="82" customFormat="false" ht="15" hidden="false" customHeight="false" outlineLevel="0" collapsed="false">
      <c r="A82" s="4" t="s">
        <v>18</v>
      </c>
      <c r="B82" s="4" t="s">
        <v>204</v>
      </c>
      <c r="C82" s="4" t="s">
        <v>205</v>
      </c>
      <c r="D82" s="5" t="n">
        <v>84.95</v>
      </c>
      <c r="E82" s="5" t="n">
        <v>154.45</v>
      </c>
      <c r="F82" s="11" t="n">
        <v>64.95</v>
      </c>
      <c r="G82" s="11" t="n">
        <v>118.95</v>
      </c>
      <c r="H82" s="12" t="n">
        <v>0.45</v>
      </c>
      <c r="I82" s="5" t="n">
        <f aca="false">F82-D82</f>
        <v>-20</v>
      </c>
      <c r="J82" s="6" t="n">
        <f aca="false">IF(D82=0,0,F82/D82-1)</f>
        <v>-0.235432607416127</v>
      </c>
      <c r="K82" s="4"/>
    </row>
    <row r="83" customFormat="false" ht="15" hidden="false" customHeight="false" outlineLevel="0" collapsed="false">
      <c r="A83" s="4" t="s">
        <v>18</v>
      </c>
      <c r="B83" s="4" t="s">
        <v>206</v>
      </c>
      <c r="C83" s="4" t="s">
        <v>207</v>
      </c>
      <c r="D83" s="5" t="n">
        <v>94.95</v>
      </c>
      <c r="E83" s="5" t="n">
        <v>189.9</v>
      </c>
      <c r="F83" s="11" t="n">
        <v>69.95</v>
      </c>
      <c r="G83" s="11" t="n">
        <v>139.95</v>
      </c>
      <c r="H83" s="12" t="n">
        <v>0.5</v>
      </c>
      <c r="I83" s="5" t="n">
        <f aca="false">F83-D83</f>
        <v>-25</v>
      </c>
      <c r="J83" s="6" t="n">
        <f aca="false">IF(D83=0,0,F83/D83-1)</f>
        <v>-0.263296471827278</v>
      </c>
      <c r="K83" s="4"/>
    </row>
    <row r="84" customFormat="false" ht="15" hidden="false" customHeight="false" outlineLevel="0" collapsed="false">
      <c r="A84" s="4" t="s">
        <v>18</v>
      </c>
      <c r="B84" s="4" t="s">
        <v>208</v>
      </c>
      <c r="C84" s="4" t="s">
        <v>209</v>
      </c>
      <c r="D84" s="5" t="n">
        <v>99.95</v>
      </c>
      <c r="E84" s="5" t="n">
        <v>199.9</v>
      </c>
      <c r="F84" s="11" t="n">
        <v>69.95</v>
      </c>
      <c r="G84" s="11" t="n">
        <v>139.95</v>
      </c>
      <c r="H84" s="12" t="n">
        <v>0.5</v>
      </c>
      <c r="I84" s="5" t="n">
        <f aca="false">F84-D84</f>
        <v>-30</v>
      </c>
      <c r="J84" s="6" t="n">
        <f aca="false">IF(D84=0,0,F84/D84-1)</f>
        <v>-0.300150075037519</v>
      </c>
      <c r="K84" s="4"/>
    </row>
    <row r="85" customFormat="false" ht="15" hidden="false" customHeight="false" outlineLevel="0" collapsed="false">
      <c r="A85" s="4" t="s">
        <v>18</v>
      </c>
      <c r="B85" s="4" t="s">
        <v>210</v>
      </c>
      <c r="C85" s="4" t="s">
        <v>211</v>
      </c>
      <c r="D85" s="5" t="n">
        <v>99.95</v>
      </c>
      <c r="E85" s="5" t="n">
        <v>166.58</v>
      </c>
      <c r="F85" s="11" t="n">
        <v>69.95</v>
      </c>
      <c r="G85" s="11" t="n">
        <v>116.95</v>
      </c>
      <c r="H85" s="12" t="n">
        <v>0.4</v>
      </c>
      <c r="I85" s="5" t="n">
        <f aca="false">F85-D85</f>
        <v>-30</v>
      </c>
      <c r="J85" s="6" t="n">
        <f aca="false">IF(D85=0,0,F85/D85-1)</f>
        <v>-0.300150075037519</v>
      </c>
      <c r="K85" s="4"/>
    </row>
    <row r="86" customFormat="false" ht="15" hidden="false" customHeight="false" outlineLevel="0" collapsed="false">
      <c r="A86" s="4" t="s">
        <v>18</v>
      </c>
      <c r="B86" s="4" t="s">
        <v>212</v>
      </c>
      <c r="C86" s="4" t="s">
        <v>213</v>
      </c>
      <c r="D86" s="5" t="n">
        <v>99.95</v>
      </c>
      <c r="E86" s="5" t="n">
        <v>181.73</v>
      </c>
      <c r="F86" s="11" t="n">
        <v>69.95</v>
      </c>
      <c r="G86" s="11" t="n">
        <v>127.95</v>
      </c>
      <c r="H86" s="12" t="n">
        <v>0.45</v>
      </c>
      <c r="I86" s="5" t="n">
        <f aca="false">F86-D86</f>
        <v>-30</v>
      </c>
      <c r="J86" s="6" t="n">
        <f aca="false">IF(D86=0,0,F86/D86-1)</f>
        <v>-0.300150075037519</v>
      </c>
      <c r="K86" s="4"/>
    </row>
    <row r="87" customFormat="false" ht="15" hidden="false" customHeight="false" outlineLevel="0" collapsed="false">
      <c r="A87" s="4" t="s">
        <v>18</v>
      </c>
      <c r="B87" s="4" t="s">
        <v>214</v>
      </c>
      <c r="C87" s="4" t="s">
        <v>215</v>
      </c>
      <c r="D87" s="5" t="n">
        <v>99.95</v>
      </c>
      <c r="E87" s="5" t="n">
        <v>181.73</v>
      </c>
      <c r="F87" s="11" t="n">
        <v>69.95</v>
      </c>
      <c r="G87" s="11" t="n">
        <v>127.95</v>
      </c>
      <c r="H87" s="12" t="n">
        <v>0.45</v>
      </c>
      <c r="I87" s="5" t="n">
        <f aca="false">F87-D87</f>
        <v>-30</v>
      </c>
      <c r="J87" s="6" t="n">
        <f aca="false">IF(D87=0,0,F87/D87-1)</f>
        <v>-0.300150075037519</v>
      </c>
      <c r="K87" s="4"/>
    </row>
    <row r="88" customFormat="false" ht="15" hidden="false" customHeight="false" outlineLevel="0" collapsed="false">
      <c r="A88" s="4" t="s">
        <v>18</v>
      </c>
      <c r="B88" s="4" t="s">
        <v>216</v>
      </c>
      <c r="C88" s="4" t="s">
        <v>217</v>
      </c>
      <c r="D88" s="5" t="n">
        <v>94.95</v>
      </c>
      <c r="E88" s="5" t="n">
        <v>172.64</v>
      </c>
      <c r="F88" s="11" t="n">
        <v>69.95</v>
      </c>
      <c r="G88" s="11" t="n">
        <v>127.95</v>
      </c>
      <c r="H88" s="12" t="n">
        <v>0.45</v>
      </c>
      <c r="I88" s="5" t="n">
        <f aca="false">F88-D88</f>
        <v>-25</v>
      </c>
      <c r="J88" s="6" t="n">
        <f aca="false">IF(D88=0,0,F88/D88-1)</f>
        <v>-0.263296471827278</v>
      </c>
      <c r="K88" s="4"/>
    </row>
    <row r="89" customFormat="false" ht="15" hidden="false" customHeight="false" outlineLevel="0" collapsed="false">
      <c r="A89" s="4" t="s">
        <v>18</v>
      </c>
      <c r="B89" s="4" t="s">
        <v>218</v>
      </c>
      <c r="C89" s="4" t="s">
        <v>219</v>
      </c>
      <c r="D89" s="5" t="n">
        <v>99.95</v>
      </c>
      <c r="E89" s="5" t="n">
        <v>166.58</v>
      </c>
      <c r="F89" s="11" t="n">
        <v>69.95</v>
      </c>
      <c r="G89" s="11" t="n">
        <v>116.95</v>
      </c>
      <c r="H89" s="12" t="n">
        <v>0.4</v>
      </c>
      <c r="I89" s="5" t="n">
        <f aca="false">F89-D89</f>
        <v>-30</v>
      </c>
      <c r="J89" s="6" t="n">
        <f aca="false">IF(D89=0,0,F89/D89-1)</f>
        <v>-0.300150075037519</v>
      </c>
      <c r="K89" s="4"/>
    </row>
    <row r="90" customFormat="false" ht="15" hidden="false" customHeight="false" outlineLevel="0" collapsed="false">
      <c r="A90" s="4" t="s">
        <v>18</v>
      </c>
      <c r="B90" s="4" t="s">
        <v>220</v>
      </c>
      <c r="C90" s="4" t="s">
        <v>221</v>
      </c>
      <c r="D90" s="5" t="n">
        <v>99.95</v>
      </c>
      <c r="E90" s="5" t="n">
        <v>166.58</v>
      </c>
      <c r="F90" s="11" t="n">
        <v>69.95</v>
      </c>
      <c r="G90" s="11" t="n">
        <v>116.95</v>
      </c>
      <c r="H90" s="12" t="n">
        <v>0.4</v>
      </c>
      <c r="I90" s="5" t="n">
        <f aca="false">F90-D90</f>
        <v>-30</v>
      </c>
      <c r="J90" s="6" t="n">
        <f aca="false">IF(D90=0,0,F90/D90-1)</f>
        <v>-0.300150075037519</v>
      </c>
      <c r="K90" s="4"/>
    </row>
    <row r="91" customFormat="false" ht="15" hidden="false" customHeight="false" outlineLevel="0" collapsed="false">
      <c r="A91" s="4" t="s">
        <v>18</v>
      </c>
      <c r="B91" s="4" t="s">
        <v>222</v>
      </c>
      <c r="C91" s="4" t="s">
        <v>223</v>
      </c>
      <c r="D91" s="5" t="n">
        <v>99.95</v>
      </c>
      <c r="E91" s="5" t="n">
        <v>199.9</v>
      </c>
      <c r="F91" s="11" t="n">
        <v>69.95</v>
      </c>
      <c r="G91" s="11" t="n">
        <v>139.95</v>
      </c>
      <c r="H91" s="12" t="n">
        <v>0.5</v>
      </c>
      <c r="I91" s="5" t="n">
        <f aca="false">F91-D91</f>
        <v>-30</v>
      </c>
      <c r="J91" s="6" t="n">
        <f aca="false">IF(D91=0,0,F91/D91-1)</f>
        <v>-0.300150075037519</v>
      </c>
      <c r="K91" s="4"/>
    </row>
    <row r="92" customFormat="false" ht="15" hidden="false" customHeight="false" outlineLevel="0" collapsed="false">
      <c r="A92" s="4" t="s">
        <v>18</v>
      </c>
      <c r="B92" s="4" t="s">
        <v>224</v>
      </c>
      <c r="C92" s="4" t="s">
        <v>225</v>
      </c>
      <c r="D92" s="5" t="n">
        <v>99.95</v>
      </c>
      <c r="E92" s="5" t="n">
        <v>166.58</v>
      </c>
      <c r="F92" s="11" t="n">
        <v>69.95</v>
      </c>
      <c r="G92" s="11" t="n">
        <v>116.95</v>
      </c>
      <c r="H92" s="12" t="n">
        <v>0.4</v>
      </c>
      <c r="I92" s="5" t="n">
        <f aca="false">F92-D92</f>
        <v>-30</v>
      </c>
      <c r="J92" s="6" t="n">
        <f aca="false">IF(D92=0,0,F92/D92-1)</f>
        <v>-0.300150075037519</v>
      </c>
      <c r="K92" s="4"/>
    </row>
    <row r="93" customFormat="false" ht="15" hidden="false" customHeight="false" outlineLevel="0" collapsed="false">
      <c r="A93" s="4" t="s">
        <v>18</v>
      </c>
      <c r="B93" s="4" t="s">
        <v>226</v>
      </c>
      <c r="C93" s="4" t="s">
        <v>227</v>
      </c>
      <c r="D93" s="5" t="n">
        <v>99.95</v>
      </c>
      <c r="E93" s="5" t="n">
        <v>166.58</v>
      </c>
      <c r="F93" s="11" t="n">
        <v>69.95</v>
      </c>
      <c r="G93" s="11" t="n">
        <v>116.95</v>
      </c>
      <c r="H93" s="12" t="n">
        <v>0.4</v>
      </c>
      <c r="I93" s="5" t="n">
        <f aca="false">F93-D93</f>
        <v>-30</v>
      </c>
      <c r="J93" s="6" t="n">
        <f aca="false">IF(D93=0,0,F93/D93-1)</f>
        <v>-0.300150075037519</v>
      </c>
      <c r="K93" s="4"/>
    </row>
    <row r="94" customFormat="false" ht="15" hidden="false" customHeight="false" outlineLevel="0" collapsed="false">
      <c r="A94" s="4" t="s">
        <v>18</v>
      </c>
      <c r="B94" s="4" t="s">
        <v>228</v>
      </c>
      <c r="C94" s="4" t="s">
        <v>229</v>
      </c>
      <c r="D94" s="5" t="n">
        <v>99.95</v>
      </c>
      <c r="E94" s="5" t="n">
        <v>199.9</v>
      </c>
      <c r="F94" s="11" t="n">
        <v>69.95</v>
      </c>
      <c r="G94" s="11" t="n">
        <v>139.95</v>
      </c>
      <c r="H94" s="12" t="n">
        <v>0.5</v>
      </c>
      <c r="I94" s="5" t="n">
        <f aca="false">F94-D94</f>
        <v>-30</v>
      </c>
      <c r="J94" s="6" t="n">
        <f aca="false">IF(D94=0,0,F94/D94-1)</f>
        <v>-0.300150075037519</v>
      </c>
      <c r="K94" s="4"/>
    </row>
    <row r="95" customFormat="false" ht="15" hidden="false" customHeight="false" outlineLevel="0" collapsed="false">
      <c r="A95" s="4" t="s">
        <v>18</v>
      </c>
      <c r="B95" s="4" t="s">
        <v>230</v>
      </c>
      <c r="C95" s="4" t="s">
        <v>231</v>
      </c>
      <c r="D95" s="5" t="n">
        <v>99.95</v>
      </c>
      <c r="E95" s="5" t="n">
        <v>199.9</v>
      </c>
      <c r="F95" s="11" t="n">
        <v>69.95</v>
      </c>
      <c r="G95" s="11" t="n">
        <v>139.95</v>
      </c>
      <c r="H95" s="12" t="n">
        <v>0.5</v>
      </c>
      <c r="I95" s="5" t="n">
        <f aca="false">F95-D95</f>
        <v>-30</v>
      </c>
      <c r="J95" s="6" t="n">
        <f aca="false">IF(D95=0,0,F95/D95-1)</f>
        <v>-0.300150075037519</v>
      </c>
      <c r="K95" s="4"/>
    </row>
    <row r="96" customFormat="false" ht="15" hidden="false" customHeight="false" outlineLevel="0" collapsed="false">
      <c r="A96" s="4" t="s">
        <v>18</v>
      </c>
      <c r="B96" s="4" t="s">
        <v>232</v>
      </c>
      <c r="C96" s="4" t="s">
        <v>233</v>
      </c>
      <c r="D96" s="5" t="n">
        <v>99.95</v>
      </c>
      <c r="E96" s="5" t="n">
        <v>166.58</v>
      </c>
      <c r="F96" s="11" t="n">
        <v>69.95</v>
      </c>
      <c r="G96" s="11" t="n">
        <v>116.95</v>
      </c>
      <c r="H96" s="12" t="n">
        <v>0.4</v>
      </c>
      <c r="I96" s="5" t="n">
        <f aca="false">F96-D96</f>
        <v>-30</v>
      </c>
      <c r="J96" s="6" t="n">
        <f aca="false">IF(D96=0,0,F96/D96-1)</f>
        <v>-0.300150075037519</v>
      </c>
      <c r="K96" s="4"/>
    </row>
    <row r="97" customFormat="false" ht="15" hidden="false" customHeight="false" outlineLevel="0" collapsed="false">
      <c r="A97" s="4" t="s">
        <v>18</v>
      </c>
      <c r="B97" s="4" t="s">
        <v>234</v>
      </c>
      <c r="C97" s="4" t="s">
        <v>235</v>
      </c>
      <c r="D97" s="5" t="n">
        <v>99.95</v>
      </c>
      <c r="E97" s="5" t="n">
        <v>181.73</v>
      </c>
      <c r="F97" s="11" t="n">
        <v>69.95</v>
      </c>
      <c r="G97" s="11" t="n">
        <v>127.95</v>
      </c>
      <c r="H97" s="12" t="n">
        <v>0.45</v>
      </c>
      <c r="I97" s="5" t="n">
        <f aca="false">F97-D97</f>
        <v>-30</v>
      </c>
      <c r="J97" s="6" t="n">
        <f aca="false">IF(D97=0,0,F97/D97-1)</f>
        <v>-0.300150075037519</v>
      </c>
      <c r="K97" s="4"/>
    </row>
    <row r="98" customFormat="false" ht="15" hidden="false" customHeight="false" outlineLevel="0" collapsed="false">
      <c r="A98" s="4" t="s">
        <v>18</v>
      </c>
      <c r="B98" s="4" t="s">
        <v>236</v>
      </c>
      <c r="C98" s="4" t="s">
        <v>237</v>
      </c>
      <c r="D98" s="5" t="n">
        <v>94.95</v>
      </c>
      <c r="E98" s="5" t="n">
        <v>158.25</v>
      </c>
      <c r="F98" s="11" t="n">
        <v>69.95</v>
      </c>
      <c r="G98" s="11" t="n">
        <v>116.95</v>
      </c>
      <c r="H98" s="12" t="n">
        <v>0.4</v>
      </c>
      <c r="I98" s="5" t="n">
        <f aca="false">F98-D98</f>
        <v>-25</v>
      </c>
      <c r="J98" s="6" t="n">
        <f aca="false">IF(D98=0,0,F98/D98-1)</f>
        <v>-0.263296471827278</v>
      </c>
      <c r="K98" s="4"/>
    </row>
    <row r="99" customFormat="false" ht="15" hidden="false" customHeight="false" outlineLevel="0" collapsed="false">
      <c r="A99" s="4" t="s">
        <v>18</v>
      </c>
      <c r="B99" s="4" t="s">
        <v>238</v>
      </c>
      <c r="C99" s="4" t="s">
        <v>239</v>
      </c>
      <c r="D99" s="5" t="n">
        <v>99.95</v>
      </c>
      <c r="E99" s="5" t="n">
        <v>166.58</v>
      </c>
      <c r="F99" s="11" t="n">
        <v>69.95</v>
      </c>
      <c r="G99" s="11" t="n">
        <v>116.95</v>
      </c>
      <c r="H99" s="12" t="n">
        <v>0.4</v>
      </c>
      <c r="I99" s="5" t="n">
        <f aca="false">F99-D99</f>
        <v>-30</v>
      </c>
      <c r="J99" s="6" t="n">
        <f aca="false">IF(D99=0,0,F99/D99-1)</f>
        <v>-0.300150075037519</v>
      </c>
      <c r="K99" s="4"/>
    </row>
    <row r="100" customFormat="false" ht="15" hidden="false" customHeight="false" outlineLevel="0" collapsed="false">
      <c r="A100" s="4" t="s">
        <v>18</v>
      </c>
      <c r="B100" s="4" t="s">
        <v>240</v>
      </c>
      <c r="C100" s="4" t="s">
        <v>241</v>
      </c>
      <c r="D100" s="5" t="n">
        <v>99.95</v>
      </c>
      <c r="E100" s="5" t="n">
        <v>199.9</v>
      </c>
      <c r="F100" s="11" t="n">
        <v>69.95</v>
      </c>
      <c r="G100" s="11" t="n">
        <v>139.95</v>
      </c>
      <c r="H100" s="12" t="n">
        <v>0.5</v>
      </c>
      <c r="I100" s="5" t="n">
        <f aca="false">F100-D100</f>
        <v>-30</v>
      </c>
      <c r="J100" s="6" t="n">
        <f aca="false">IF(D100=0,0,F100/D100-1)</f>
        <v>-0.300150075037519</v>
      </c>
      <c r="K100" s="4"/>
    </row>
    <row r="101" customFormat="false" ht="15" hidden="false" customHeight="false" outlineLevel="0" collapsed="false">
      <c r="A101" s="4" t="s">
        <v>18</v>
      </c>
      <c r="B101" s="4" t="s">
        <v>242</v>
      </c>
      <c r="C101" s="4" t="s">
        <v>243</v>
      </c>
      <c r="D101" s="5" t="n">
        <v>99.95</v>
      </c>
      <c r="E101" s="5" t="n">
        <v>166.58</v>
      </c>
      <c r="F101" s="11" t="n">
        <v>69.95</v>
      </c>
      <c r="G101" s="11" t="n">
        <v>116.95</v>
      </c>
      <c r="H101" s="12" t="n">
        <v>0.4</v>
      </c>
      <c r="I101" s="5" t="n">
        <f aca="false">F101-D101</f>
        <v>-30</v>
      </c>
      <c r="J101" s="6" t="n">
        <f aca="false">IF(D101=0,0,F101/D101-1)</f>
        <v>-0.300150075037519</v>
      </c>
      <c r="K101" s="4"/>
    </row>
    <row r="102" customFormat="false" ht="15" hidden="false" customHeight="false" outlineLevel="0" collapsed="false">
      <c r="A102" s="4" t="s">
        <v>18</v>
      </c>
      <c r="B102" s="4" t="s">
        <v>244</v>
      </c>
      <c r="C102" s="4" t="s">
        <v>245</v>
      </c>
      <c r="D102" s="5" t="n">
        <v>99.95</v>
      </c>
      <c r="E102" s="5" t="n">
        <v>199.9</v>
      </c>
      <c r="F102" s="11" t="n">
        <v>69.95</v>
      </c>
      <c r="G102" s="11" t="n">
        <v>139.95</v>
      </c>
      <c r="H102" s="12" t="n">
        <v>0.5</v>
      </c>
      <c r="I102" s="5" t="n">
        <f aca="false">F102-D102</f>
        <v>-30</v>
      </c>
      <c r="J102" s="6" t="n">
        <f aca="false">IF(D102=0,0,F102/D102-1)</f>
        <v>-0.300150075037519</v>
      </c>
      <c r="K102" s="4"/>
    </row>
    <row r="103" customFormat="false" ht="15" hidden="false" customHeight="false" outlineLevel="0" collapsed="false">
      <c r="A103" s="4" t="s">
        <v>18</v>
      </c>
      <c r="B103" s="4" t="s">
        <v>246</v>
      </c>
      <c r="C103" s="4" t="s">
        <v>247</v>
      </c>
      <c r="D103" s="5" t="n">
        <v>99.95</v>
      </c>
      <c r="E103" s="5" t="n">
        <v>181.73</v>
      </c>
      <c r="F103" s="11" t="n">
        <v>69.95</v>
      </c>
      <c r="G103" s="11" t="n">
        <v>127.95</v>
      </c>
      <c r="H103" s="12" t="n">
        <v>0.45</v>
      </c>
      <c r="I103" s="5" t="n">
        <f aca="false">F103-D103</f>
        <v>-30</v>
      </c>
      <c r="J103" s="6" t="n">
        <f aca="false">IF(D103=0,0,F103/D103-1)</f>
        <v>-0.300150075037519</v>
      </c>
      <c r="K103" s="4"/>
    </row>
    <row r="104" customFormat="false" ht="15" hidden="false" customHeight="false" outlineLevel="0" collapsed="false">
      <c r="A104" s="4" t="s">
        <v>18</v>
      </c>
      <c r="B104" s="4" t="s">
        <v>248</v>
      </c>
      <c r="C104" s="4" t="s">
        <v>249</v>
      </c>
      <c r="D104" s="5" t="n">
        <v>99.95</v>
      </c>
      <c r="E104" s="5" t="n">
        <v>199.9</v>
      </c>
      <c r="F104" s="11" t="n">
        <v>69.95</v>
      </c>
      <c r="G104" s="11" t="n">
        <v>139.95</v>
      </c>
      <c r="H104" s="12" t="n">
        <v>0.5</v>
      </c>
      <c r="I104" s="5" t="n">
        <f aca="false">F104-D104</f>
        <v>-30</v>
      </c>
      <c r="J104" s="6" t="n">
        <f aca="false">IF(D104=0,0,F104/D104-1)</f>
        <v>-0.300150075037519</v>
      </c>
      <c r="K104" s="4"/>
    </row>
    <row r="105" customFormat="false" ht="15" hidden="false" customHeight="false" outlineLevel="0" collapsed="false">
      <c r="A105" s="4" t="s">
        <v>18</v>
      </c>
      <c r="B105" s="4" t="s">
        <v>250</v>
      </c>
      <c r="C105" s="4" t="s">
        <v>251</v>
      </c>
      <c r="D105" s="5" t="n">
        <v>99.95</v>
      </c>
      <c r="E105" s="5" t="n">
        <v>166.58</v>
      </c>
      <c r="F105" s="11" t="n">
        <v>69.95</v>
      </c>
      <c r="G105" s="11" t="n">
        <v>116.95</v>
      </c>
      <c r="H105" s="12" t="n">
        <v>0.4</v>
      </c>
      <c r="I105" s="5" t="n">
        <f aca="false">F105-D105</f>
        <v>-30</v>
      </c>
      <c r="J105" s="6" t="n">
        <f aca="false">IF(D105=0,0,F105/D105-1)</f>
        <v>-0.300150075037519</v>
      </c>
      <c r="K105" s="4"/>
    </row>
    <row r="106" customFormat="false" ht="15" hidden="false" customHeight="false" outlineLevel="0" collapsed="false">
      <c r="A106" s="4" t="s">
        <v>18</v>
      </c>
      <c r="B106" s="4" t="s">
        <v>252</v>
      </c>
      <c r="C106" s="4" t="s">
        <v>253</v>
      </c>
      <c r="D106" s="5" t="n">
        <v>99.95</v>
      </c>
      <c r="E106" s="5" t="n">
        <v>199.9</v>
      </c>
      <c r="F106" s="11" t="n">
        <v>69.95</v>
      </c>
      <c r="G106" s="11" t="n">
        <v>139.95</v>
      </c>
      <c r="H106" s="12" t="n">
        <v>0.5</v>
      </c>
      <c r="I106" s="5" t="n">
        <f aca="false">F106-D106</f>
        <v>-30</v>
      </c>
      <c r="J106" s="6" t="n">
        <f aca="false">IF(D106=0,0,F106/D106-1)</f>
        <v>-0.300150075037519</v>
      </c>
      <c r="K106" s="4"/>
    </row>
    <row r="107" customFormat="false" ht="15" hidden="false" customHeight="false" outlineLevel="0" collapsed="false">
      <c r="A107" s="4" t="s">
        <v>18</v>
      </c>
      <c r="B107" s="4" t="s">
        <v>254</v>
      </c>
      <c r="C107" s="4" t="s">
        <v>255</v>
      </c>
      <c r="D107" s="5" t="n">
        <v>99.95</v>
      </c>
      <c r="E107" s="5" t="n">
        <v>181.73</v>
      </c>
      <c r="F107" s="11" t="n">
        <v>69.95</v>
      </c>
      <c r="G107" s="11" t="n">
        <v>127.95</v>
      </c>
      <c r="H107" s="12" t="n">
        <v>0.45</v>
      </c>
      <c r="I107" s="5" t="n">
        <f aca="false">F107-D107</f>
        <v>-30</v>
      </c>
      <c r="J107" s="6" t="n">
        <f aca="false">IF(D107=0,0,F107/D107-1)</f>
        <v>-0.300150075037519</v>
      </c>
      <c r="K107" s="4"/>
    </row>
    <row r="108" customFormat="false" ht="15" hidden="false" customHeight="false" outlineLevel="0" collapsed="false">
      <c r="A108" s="4" t="s">
        <v>18</v>
      </c>
      <c r="B108" s="4" t="s">
        <v>256</v>
      </c>
      <c r="C108" s="4" t="s">
        <v>257</v>
      </c>
      <c r="D108" s="5" t="n">
        <v>99.95</v>
      </c>
      <c r="E108" s="5" t="n">
        <v>181.73</v>
      </c>
      <c r="F108" s="11" t="n">
        <v>69.95</v>
      </c>
      <c r="G108" s="11" t="n">
        <v>127.95</v>
      </c>
      <c r="H108" s="12" t="n">
        <v>0.45</v>
      </c>
      <c r="I108" s="5" t="n">
        <f aca="false">F108-D108</f>
        <v>-30</v>
      </c>
      <c r="J108" s="6" t="n">
        <f aca="false">IF(D108=0,0,F108/D108-1)</f>
        <v>-0.300150075037519</v>
      </c>
      <c r="K108" s="4"/>
    </row>
    <row r="109" customFormat="false" ht="15" hidden="false" customHeight="false" outlineLevel="0" collapsed="false">
      <c r="A109" s="4" t="s">
        <v>18</v>
      </c>
      <c r="B109" s="4" t="s">
        <v>258</v>
      </c>
      <c r="C109" s="4" t="s">
        <v>259</v>
      </c>
      <c r="D109" s="5" t="n">
        <v>99.95</v>
      </c>
      <c r="E109" s="5" t="n">
        <v>166.58</v>
      </c>
      <c r="F109" s="11" t="n">
        <v>69.95</v>
      </c>
      <c r="G109" s="11" t="n">
        <v>116.95</v>
      </c>
      <c r="H109" s="12" t="n">
        <v>0.4</v>
      </c>
      <c r="I109" s="5" t="n">
        <f aca="false">F109-D109</f>
        <v>-30</v>
      </c>
      <c r="J109" s="6" t="n">
        <f aca="false">IF(D109=0,0,F109/D109-1)</f>
        <v>-0.300150075037519</v>
      </c>
      <c r="K109" s="4"/>
    </row>
    <row r="110" customFormat="false" ht="15" hidden="false" customHeight="false" outlineLevel="0" collapsed="false">
      <c r="A110" s="4" t="s">
        <v>18</v>
      </c>
      <c r="B110" s="4" t="s">
        <v>260</v>
      </c>
      <c r="C110" s="4" t="s">
        <v>261</v>
      </c>
      <c r="D110" s="5" t="n">
        <v>99.95</v>
      </c>
      <c r="E110" s="5" t="n">
        <v>166.58</v>
      </c>
      <c r="F110" s="11" t="n">
        <v>69.95</v>
      </c>
      <c r="G110" s="11" t="n">
        <v>116.95</v>
      </c>
      <c r="H110" s="12" t="n">
        <v>0.4</v>
      </c>
      <c r="I110" s="5" t="n">
        <f aca="false">F110-D110</f>
        <v>-30</v>
      </c>
      <c r="J110" s="6" t="n">
        <f aca="false">IF(D110=0,0,F110/D110-1)</f>
        <v>-0.300150075037519</v>
      </c>
      <c r="K110" s="4"/>
    </row>
    <row r="111" customFormat="false" ht="15" hidden="false" customHeight="false" outlineLevel="0" collapsed="false">
      <c r="A111" s="4" t="s">
        <v>18</v>
      </c>
      <c r="B111" s="4" t="s">
        <v>262</v>
      </c>
      <c r="C111" s="4" t="s">
        <v>263</v>
      </c>
      <c r="D111" s="5" t="n">
        <v>94.95</v>
      </c>
      <c r="E111" s="5" t="n">
        <v>158.25</v>
      </c>
      <c r="F111" s="11" t="n">
        <v>69.95</v>
      </c>
      <c r="G111" s="11" t="n">
        <v>116.95</v>
      </c>
      <c r="H111" s="12" t="n">
        <v>0.4</v>
      </c>
      <c r="I111" s="5" t="n">
        <f aca="false">F111-D111</f>
        <v>-25</v>
      </c>
      <c r="J111" s="6" t="n">
        <f aca="false">IF(D111=0,0,F111/D111-1)</f>
        <v>-0.263296471827278</v>
      </c>
      <c r="K111" s="4"/>
    </row>
    <row r="112" customFormat="false" ht="15" hidden="false" customHeight="false" outlineLevel="0" collapsed="false">
      <c r="A112" s="4" t="s">
        <v>16</v>
      </c>
      <c r="B112" s="4" t="s">
        <v>264</v>
      </c>
      <c r="C112" s="4" t="s">
        <v>265</v>
      </c>
      <c r="D112" s="5" t="n">
        <v>69.95</v>
      </c>
      <c r="E112" s="5" t="n">
        <v>127.18</v>
      </c>
      <c r="F112" s="11" t="n">
        <v>59.95</v>
      </c>
      <c r="G112" s="11" t="n">
        <v>108.95</v>
      </c>
      <c r="H112" s="12" t="n">
        <v>0.45</v>
      </c>
      <c r="I112" s="5" t="n">
        <f aca="false">F112-D112</f>
        <v>-10</v>
      </c>
      <c r="J112" s="6" t="n">
        <f aca="false">IF(D112=0,0,F112/D112-1)</f>
        <v>-0.142959256611866</v>
      </c>
      <c r="K112" s="4"/>
    </row>
    <row r="113" customFormat="false" ht="15" hidden="false" customHeight="false" outlineLevel="0" collapsed="false">
      <c r="A113" s="4" t="s">
        <v>16</v>
      </c>
      <c r="B113" s="4" t="s">
        <v>266</v>
      </c>
      <c r="C113" s="4" t="s">
        <v>267</v>
      </c>
      <c r="D113" s="5" t="n">
        <v>69.95</v>
      </c>
      <c r="E113" s="5" t="n">
        <v>127.18</v>
      </c>
      <c r="F113" s="11" t="n">
        <v>59.95</v>
      </c>
      <c r="G113" s="11" t="n">
        <v>108.95</v>
      </c>
      <c r="H113" s="12" t="n">
        <v>0.45</v>
      </c>
      <c r="I113" s="5" t="n">
        <f aca="false">F113-D113</f>
        <v>-10</v>
      </c>
      <c r="J113" s="6" t="n">
        <f aca="false">IF(D113=0,0,F113/D113-1)</f>
        <v>-0.142959256611866</v>
      </c>
      <c r="K113" s="4"/>
    </row>
    <row r="114" customFormat="false" ht="15" hidden="false" customHeight="false" outlineLevel="0" collapsed="false">
      <c r="A114" s="4" t="s">
        <v>16</v>
      </c>
      <c r="B114" s="4" t="s">
        <v>268</v>
      </c>
      <c r="C114" s="4" t="s">
        <v>269</v>
      </c>
      <c r="D114" s="5" t="n">
        <v>69.95</v>
      </c>
      <c r="E114" s="5" t="n">
        <v>139.9</v>
      </c>
      <c r="F114" s="11" t="n">
        <v>59.95</v>
      </c>
      <c r="G114" s="11" t="n">
        <v>119.95</v>
      </c>
      <c r="H114" s="12" t="n">
        <v>0.5</v>
      </c>
      <c r="I114" s="5" t="n">
        <f aca="false">F114-D114</f>
        <v>-10</v>
      </c>
      <c r="J114" s="6" t="n">
        <f aca="false">IF(D114=0,0,F114/D114-1)</f>
        <v>-0.142959256611866</v>
      </c>
      <c r="K114" s="4"/>
    </row>
    <row r="115" customFormat="false" ht="15" hidden="false" customHeight="false" outlineLevel="0" collapsed="false">
      <c r="A115" s="4" t="s">
        <v>16</v>
      </c>
      <c r="B115" s="4" t="s">
        <v>270</v>
      </c>
      <c r="C115" s="4" t="s">
        <v>271</v>
      </c>
      <c r="D115" s="5" t="n">
        <v>69.95</v>
      </c>
      <c r="E115" s="5" t="n">
        <v>139.9</v>
      </c>
      <c r="F115" s="11" t="n">
        <v>59.95</v>
      </c>
      <c r="G115" s="11" t="n">
        <v>119.95</v>
      </c>
      <c r="H115" s="12" t="n">
        <v>0.5</v>
      </c>
      <c r="I115" s="5" t="n">
        <f aca="false">F115-D115</f>
        <v>-10</v>
      </c>
      <c r="J115" s="6" t="n">
        <f aca="false">IF(D115=0,0,F115/D115-1)</f>
        <v>-0.142959256611866</v>
      </c>
      <c r="K115" s="4"/>
    </row>
    <row r="116" customFormat="false" ht="15" hidden="false" customHeight="false" outlineLevel="0" collapsed="false">
      <c r="A116" s="4" t="s">
        <v>16</v>
      </c>
      <c r="B116" s="4" t="s">
        <v>272</v>
      </c>
      <c r="C116" s="4" t="s">
        <v>273</v>
      </c>
      <c r="D116" s="5" t="n">
        <v>69.95</v>
      </c>
      <c r="E116" s="5" t="n">
        <v>139.9</v>
      </c>
      <c r="F116" s="11" t="n">
        <v>59.95</v>
      </c>
      <c r="G116" s="11" t="n">
        <v>119.95</v>
      </c>
      <c r="H116" s="12" t="n">
        <v>0.5</v>
      </c>
      <c r="I116" s="5" t="n">
        <f aca="false">F116-D116</f>
        <v>-10</v>
      </c>
      <c r="J116" s="6" t="n">
        <f aca="false">IF(D116=0,0,F116/D116-1)</f>
        <v>-0.142959256611866</v>
      </c>
      <c r="K116" s="4"/>
    </row>
    <row r="117" customFormat="false" ht="15" hidden="false" customHeight="false" outlineLevel="0" collapsed="false">
      <c r="A117" s="4" t="s">
        <v>16</v>
      </c>
      <c r="B117" s="4" t="s">
        <v>274</v>
      </c>
      <c r="C117" s="4" t="s">
        <v>275</v>
      </c>
      <c r="D117" s="5" t="n">
        <v>64.95</v>
      </c>
      <c r="E117" s="5" t="n">
        <v>118.09</v>
      </c>
      <c r="F117" s="11" t="n">
        <v>59.95</v>
      </c>
      <c r="G117" s="11" t="n">
        <v>108.95</v>
      </c>
      <c r="H117" s="12" t="n">
        <v>0.45</v>
      </c>
      <c r="I117" s="5" t="n">
        <f aca="false">F117-D117</f>
        <v>-5</v>
      </c>
      <c r="J117" s="6" t="n">
        <f aca="false">IF(D117=0,0,F117/D117-1)</f>
        <v>-0.0769822940723633</v>
      </c>
      <c r="K117" s="4"/>
    </row>
    <row r="118" customFormat="false" ht="15" hidden="false" customHeight="false" outlineLevel="0" collapsed="false">
      <c r="A118" s="4" t="s">
        <v>16</v>
      </c>
      <c r="B118" s="4" t="s">
        <v>276</v>
      </c>
      <c r="C118" s="4" t="s">
        <v>277</v>
      </c>
      <c r="D118" s="5" t="n">
        <v>84.95</v>
      </c>
      <c r="E118" s="5" t="n">
        <v>169.9</v>
      </c>
      <c r="F118" s="11" t="n">
        <v>64.95</v>
      </c>
      <c r="G118" s="11" t="n">
        <v>129.95</v>
      </c>
      <c r="H118" s="12" t="n">
        <v>0.5</v>
      </c>
      <c r="I118" s="5" t="n">
        <f aca="false">F118-D118</f>
        <v>-20</v>
      </c>
      <c r="J118" s="6" t="n">
        <f aca="false">IF(D118=0,0,F118/D118-1)</f>
        <v>-0.235432607416127</v>
      </c>
      <c r="K118" s="4"/>
    </row>
    <row r="119" customFormat="false" ht="15" hidden="false" customHeight="false" outlineLevel="0" collapsed="false">
      <c r="A119" s="4" t="s">
        <v>16</v>
      </c>
      <c r="B119" s="4" t="s">
        <v>278</v>
      </c>
      <c r="C119" s="4" t="s">
        <v>279</v>
      </c>
      <c r="D119" s="5" t="n">
        <v>84.95</v>
      </c>
      <c r="E119" s="5" t="n">
        <v>169.9</v>
      </c>
      <c r="F119" s="11" t="n">
        <v>64.95</v>
      </c>
      <c r="G119" s="11" t="n">
        <v>129.95</v>
      </c>
      <c r="H119" s="12" t="n">
        <v>0.5</v>
      </c>
      <c r="I119" s="5" t="n">
        <f aca="false">F119-D119</f>
        <v>-20</v>
      </c>
      <c r="J119" s="6" t="n">
        <f aca="false">IF(D119=0,0,F119/D119-1)</f>
        <v>-0.235432607416127</v>
      </c>
      <c r="K119" s="4"/>
    </row>
    <row r="120" customFormat="false" ht="15" hidden="false" customHeight="false" outlineLevel="0" collapsed="false">
      <c r="A120" s="4" t="s">
        <v>16</v>
      </c>
      <c r="B120" s="4" t="s">
        <v>280</v>
      </c>
      <c r="C120" s="4" t="s">
        <v>281</v>
      </c>
      <c r="D120" s="5" t="n">
        <v>84.95</v>
      </c>
      <c r="E120" s="5" t="n">
        <v>154.45</v>
      </c>
      <c r="F120" s="11" t="n">
        <v>64.95</v>
      </c>
      <c r="G120" s="11" t="n">
        <v>118.95</v>
      </c>
      <c r="H120" s="12" t="n">
        <v>0.45</v>
      </c>
      <c r="I120" s="5" t="n">
        <f aca="false">F120-D120</f>
        <v>-20</v>
      </c>
      <c r="J120" s="6" t="n">
        <f aca="false">IF(D120=0,0,F120/D120-1)</f>
        <v>-0.235432607416127</v>
      </c>
      <c r="K120" s="4"/>
    </row>
    <row r="121" customFormat="false" ht="15" hidden="false" customHeight="false" outlineLevel="0" collapsed="false">
      <c r="A121" s="4" t="s">
        <v>16</v>
      </c>
      <c r="B121" s="4" t="s">
        <v>282</v>
      </c>
      <c r="C121" s="4" t="s">
        <v>283</v>
      </c>
      <c r="D121" s="5" t="n">
        <v>84.95</v>
      </c>
      <c r="E121" s="5" t="n">
        <v>154.45</v>
      </c>
      <c r="F121" s="11" t="n">
        <v>64.95</v>
      </c>
      <c r="G121" s="11" t="n">
        <v>118.95</v>
      </c>
      <c r="H121" s="12" t="n">
        <v>0.45</v>
      </c>
      <c r="I121" s="5" t="n">
        <f aca="false">F121-D121</f>
        <v>-20</v>
      </c>
      <c r="J121" s="6" t="n">
        <f aca="false">IF(D121=0,0,F121/D121-1)</f>
        <v>-0.235432607416127</v>
      </c>
      <c r="K121" s="4"/>
    </row>
    <row r="122" customFormat="false" ht="15" hidden="false" customHeight="false" outlineLevel="0" collapsed="false">
      <c r="A122" s="4" t="s">
        <v>16</v>
      </c>
      <c r="B122" s="4" t="s">
        <v>284</v>
      </c>
      <c r="C122" s="4" t="s">
        <v>285</v>
      </c>
      <c r="D122" s="5" t="n">
        <v>84.95</v>
      </c>
      <c r="E122" s="5" t="n">
        <v>169.9</v>
      </c>
      <c r="F122" s="11" t="n">
        <v>64.95</v>
      </c>
      <c r="G122" s="11" t="n">
        <v>129.95</v>
      </c>
      <c r="H122" s="12" t="n">
        <v>0.5</v>
      </c>
      <c r="I122" s="5" t="n">
        <f aca="false">F122-D122</f>
        <v>-20</v>
      </c>
      <c r="J122" s="6" t="n">
        <f aca="false">IF(D122=0,0,F122/D122-1)</f>
        <v>-0.235432607416127</v>
      </c>
      <c r="K122" s="4"/>
    </row>
    <row r="123" customFormat="false" ht="15" hidden="false" customHeight="false" outlineLevel="0" collapsed="false">
      <c r="A123" s="4" t="s">
        <v>16</v>
      </c>
      <c r="B123" s="4" t="s">
        <v>286</v>
      </c>
      <c r="C123" s="4" t="s">
        <v>287</v>
      </c>
      <c r="D123" s="5" t="n">
        <v>84.95</v>
      </c>
      <c r="E123" s="5" t="n">
        <v>169.9</v>
      </c>
      <c r="F123" s="11" t="n">
        <v>64.95</v>
      </c>
      <c r="G123" s="11" t="n">
        <v>129.95</v>
      </c>
      <c r="H123" s="12" t="n">
        <v>0.5</v>
      </c>
      <c r="I123" s="5" t="n">
        <f aca="false">F123-D123</f>
        <v>-20</v>
      </c>
      <c r="J123" s="6" t="n">
        <f aca="false">IF(D123=0,0,F123/D123-1)</f>
        <v>-0.235432607416127</v>
      </c>
      <c r="K123" s="4"/>
    </row>
    <row r="124" customFormat="false" ht="15" hidden="false" customHeight="false" outlineLevel="0" collapsed="false">
      <c r="A124" s="4" t="s">
        <v>16</v>
      </c>
      <c r="B124" s="4" t="s">
        <v>288</v>
      </c>
      <c r="C124" s="4" t="s">
        <v>289</v>
      </c>
      <c r="D124" s="5" t="n">
        <v>84.95</v>
      </c>
      <c r="E124" s="5" t="n">
        <v>169.9</v>
      </c>
      <c r="F124" s="11" t="n">
        <v>64.95</v>
      </c>
      <c r="G124" s="11" t="n">
        <v>129.95</v>
      </c>
      <c r="H124" s="12" t="n">
        <v>0.5</v>
      </c>
      <c r="I124" s="5" t="n">
        <f aca="false">F124-D124</f>
        <v>-20</v>
      </c>
      <c r="J124" s="6" t="n">
        <f aca="false">IF(D124=0,0,F124/D124-1)</f>
        <v>-0.235432607416127</v>
      </c>
      <c r="K124" s="4"/>
    </row>
    <row r="125" customFormat="false" ht="15" hidden="false" customHeight="false" outlineLevel="0" collapsed="false">
      <c r="A125" s="4" t="s">
        <v>16</v>
      </c>
      <c r="B125" s="4" t="s">
        <v>290</v>
      </c>
      <c r="C125" s="4" t="s">
        <v>291</v>
      </c>
      <c r="D125" s="5" t="n">
        <v>84.95</v>
      </c>
      <c r="E125" s="5" t="n">
        <v>169.9</v>
      </c>
      <c r="F125" s="11" t="n">
        <v>64.95</v>
      </c>
      <c r="G125" s="11" t="n">
        <v>129.95</v>
      </c>
      <c r="H125" s="12" t="n">
        <v>0.5</v>
      </c>
      <c r="I125" s="5" t="n">
        <f aca="false">F125-D125</f>
        <v>-20</v>
      </c>
      <c r="J125" s="6" t="n">
        <f aca="false">IF(D125=0,0,F125/D125-1)</f>
        <v>-0.235432607416127</v>
      </c>
      <c r="K125" s="4"/>
    </row>
    <row r="126" customFormat="false" ht="15" hidden="false" customHeight="false" outlineLevel="0" collapsed="false">
      <c r="A126" s="4" t="s">
        <v>16</v>
      </c>
      <c r="B126" s="4" t="s">
        <v>292</v>
      </c>
      <c r="C126" s="4" t="s">
        <v>293</v>
      </c>
      <c r="D126" s="5" t="n">
        <v>84.95</v>
      </c>
      <c r="E126" s="5" t="n">
        <v>154.45</v>
      </c>
      <c r="F126" s="11" t="n">
        <v>64.95</v>
      </c>
      <c r="G126" s="11" t="n">
        <v>118.95</v>
      </c>
      <c r="H126" s="12" t="n">
        <v>0.45</v>
      </c>
      <c r="I126" s="5" t="n">
        <f aca="false">F126-D126</f>
        <v>-20</v>
      </c>
      <c r="J126" s="6" t="n">
        <f aca="false">IF(D126=0,0,F126/D126-1)</f>
        <v>-0.235432607416127</v>
      </c>
      <c r="K126" s="4"/>
    </row>
    <row r="127" customFormat="false" ht="15" hidden="false" customHeight="false" outlineLevel="0" collapsed="false">
      <c r="A127" s="4" t="s">
        <v>16</v>
      </c>
      <c r="B127" s="4" t="s">
        <v>294</v>
      </c>
      <c r="C127" s="4" t="s">
        <v>295</v>
      </c>
      <c r="D127" s="5" t="n">
        <v>94.95</v>
      </c>
      <c r="E127" s="5" t="n">
        <v>189.9</v>
      </c>
      <c r="F127" s="11" t="n">
        <v>69.95</v>
      </c>
      <c r="G127" s="11" t="n">
        <v>139.95</v>
      </c>
      <c r="H127" s="12" t="n">
        <v>0.5</v>
      </c>
      <c r="I127" s="5" t="n">
        <f aca="false">F127-D127</f>
        <v>-25</v>
      </c>
      <c r="J127" s="6" t="n">
        <f aca="false">IF(D127=0,0,F127/D127-1)</f>
        <v>-0.263296471827278</v>
      </c>
      <c r="K127" s="4"/>
    </row>
    <row r="128" customFormat="false" ht="15" hidden="false" customHeight="false" outlineLevel="0" collapsed="false">
      <c r="A128" s="4" t="s">
        <v>20</v>
      </c>
      <c r="B128" s="4" t="s">
        <v>296</v>
      </c>
      <c r="C128" s="4" t="s">
        <v>297</v>
      </c>
      <c r="D128" s="5" t="n">
        <v>69.95</v>
      </c>
      <c r="E128" s="5" t="n">
        <v>139.9</v>
      </c>
      <c r="F128" s="11" t="n">
        <v>64.95</v>
      </c>
      <c r="G128" s="11" t="n">
        <v>129.95</v>
      </c>
      <c r="H128" s="12" t="n">
        <v>0.5</v>
      </c>
      <c r="I128" s="5" t="n">
        <f aca="false">F128-D128</f>
        <v>-5</v>
      </c>
      <c r="J128" s="6" t="n">
        <f aca="false">IF(D128=0,0,F128/D128-1)</f>
        <v>-0.0714796283059328</v>
      </c>
      <c r="K128" s="4"/>
    </row>
    <row r="129" customFormat="false" ht="15" hidden="false" customHeight="false" outlineLevel="0" collapsed="false">
      <c r="A129" s="4" t="s">
        <v>20</v>
      </c>
      <c r="B129" s="4" t="s">
        <v>298</v>
      </c>
      <c r="C129" s="4" t="s">
        <v>299</v>
      </c>
      <c r="D129" s="5" t="n">
        <v>69.95</v>
      </c>
      <c r="E129" s="5" t="n">
        <v>116.58</v>
      </c>
      <c r="F129" s="11" t="n">
        <v>64.95</v>
      </c>
      <c r="G129" s="11" t="n">
        <v>108.95</v>
      </c>
      <c r="H129" s="12" t="n">
        <v>0.4</v>
      </c>
      <c r="I129" s="5" t="n">
        <f aca="false">F129-D129</f>
        <v>-5</v>
      </c>
      <c r="J129" s="6" t="n">
        <f aca="false">IF(D129=0,0,F129/D129-1)</f>
        <v>-0.0714796283059328</v>
      </c>
      <c r="K129" s="4"/>
    </row>
    <row r="130" customFormat="false" ht="15" hidden="false" customHeight="false" outlineLevel="0" collapsed="false">
      <c r="A130" s="4" t="s">
        <v>20</v>
      </c>
      <c r="B130" s="4" t="s">
        <v>300</v>
      </c>
      <c r="C130" s="4" t="s">
        <v>301</v>
      </c>
      <c r="D130" s="5" t="n">
        <v>69.95</v>
      </c>
      <c r="E130" s="5" t="n">
        <v>127.18</v>
      </c>
      <c r="F130" s="11" t="n">
        <v>64.95</v>
      </c>
      <c r="G130" s="11" t="n">
        <v>118.95</v>
      </c>
      <c r="H130" s="12" t="n">
        <v>0.45</v>
      </c>
      <c r="I130" s="5" t="n">
        <f aca="false">F130-D130</f>
        <v>-5</v>
      </c>
      <c r="J130" s="6" t="n">
        <f aca="false">IF(D130=0,0,F130/D130-1)</f>
        <v>-0.0714796283059328</v>
      </c>
      <c r="K130" s="4"/>
    </row>
    <row r="131" customFormat="false" ht="15" hidden="false" customHeight="false" outlineLevel="0" collapsed="false">
      <c r="A131" s="4" t="s">
        <v>20</v>
      </c>
      <c r="B131" s="4" t="s">
        <v>302</v>
      </c>
      <c r="C131" s="4" t="s">
        <v>303</v>
      </c>
      <c r="D131" s="5" t="n">
        <v>69.95</v>
      </c>
      <c r="E131" s="5" t="n">
        <v>139.9</v>
      </c>
      <c r="F131" s="11" t="n">
        <v>64.95</v>
      </c>
      <c r="G131" s="11" t="n">
        <v>129.95</v>
      </c>
      <c r="H131" s="12" t="n">
        <v>0.5</v>
      </c>
      <c r="I131" s="5" t="n">
        <f aca="false">F131-D131</f>
        <v>-5</v>
      </c>
      <c r="J131" s="6" t="n">
        <f aca="false">IF(D131=0,0,F131/D131-1)</f>
        <v>-0.0714796283059328</v>
      </c>
      <c r="K131" s="4"/>
    </row>
    <row r="132" customFormat="false" ht="15" hidden="false" customHeight="false" outlineLevel="0" collapsed="false">
      <c r="A132" s="4" t="s">
        <v>20</v>
      </c>
      <c r="B132" s="4" t="s">
        <v>304</v>
      </c>
      <c r="C132" s="4" t="s">
        <v>305</v>
      </c>
      <c r="D132" s="5" t="n">
        <v>69.95</v>
      </c>
      <c r="E132" s="5" t="n">
        <v>116.58</v>
      </c>
      <c r="F132" s="11" t="n">
        <v>64.95</v>
      </c>
      <c r="G132" s="11" t="n">
        <v>108.95</v>
      </c>
      <c r="H132" s="12" t="n">
        <v>0.4</v>
      </c>
      <c r="I132" s="5" t="n">
        <f aca="false">F132-D132</f>
        <v>-5</v>
      </c>
      <c r="J132" s="6" t="n">
        <f aca="false">IF(D132=0,0,F132/D132-1)</f>
        <v>-0.0714796283059328</v>
      </c>
      <c r="K132" s="4"/>
    </row>
    <row r="133" customFormat="false" ht="15" hidden="false" customHeight="false" outlineLevel="0" collapsed="false">
      <c r="A133" s="4" t="s">
        <v>20</v>
      </c>
      <c r="B133" s="4" t="s">
        <v>306</v>
      </c>
      <c r="C133" s="4" t="s">
        <v>307</v>
      </c>
      <c r="D133" s="5" t="n">
        <v>69.95</v>
      </c>
      <c r="E133" s="5" t="n">
        <v>139.9</v>
      </c>
      <c r="F133" s="11" t="n">
        <v>64.95</v>
      </c>
      <c r="G133" s="11" t="n">
        <v>129.95</v>
      </c>
      <c r="H133" s="12" t="n">
        <v>0.5</v>
      </c>
      <c r="I133" s="5" t="n">
        <f aca="false">F133-D133</f>
        <v>-5</v>
      </c>
      <c r="J133" s="6" t="n">
        <f aca="false">IF(D133=0,0,F133/D133-1)</f>
        <v>-0.0714796283059328</v>
      </c>
      <c r="K133" s="4"/>
    </row>
    <row r="134" customFormat="false" ht="15" hidden="false" customHeight="false" outlineLevel="0" collapsed="false">
      <c r="A134" s="4" t="s">
        <v>20</v>
      </c>
      <c r="B134" s="4" t="s">
        <v>308</v>
      </c>
      <c r="C134" s="4" t="s">
        <v>309</v>
      </c>
      <c r="D134" s="5" t="n">
        <v>69.95</v>
      </c>
      <c r="E134" s="5" t="n">
        <v>139.9</v>
      </c>
      <c r="F134" s="11" t="n">
        <v>64.95</v>
      </c>
      <c r="G134" s="11" t="n">
        <v>129.95</v>
      </c>
      <c r="H134" s="12" t="n">
        <v>0.5</v>
      </c>
      <c r="I134" s="5" t="n">
        <f aca="false">F134-D134</f>
        <v>-5</v>
      </c>
      <c r="J134" s="6" t="n">
        <f aca="false">IF(D134=0,0,F134/D134-1)</f>
        <v>-0.0714796283059328</v>
      </c>
      <c r="K134" s="4"/>
    </row>
    <row r="135" customFormat="false" ht="15" hidden="false" customHeight="false" outlineLevel="0" collapsed="false">
      <c r="A135" s="4" t="s">
        <v>20</v>
      </c>
      <c r="B135" s="4" t="s">
        <v>310</v>
      </c>
      <c r="C135" s="4" t="s">
        <v>311</v>
      </c>
      <c r="D135" s="5" t="n">
        <v>69.95</v>
      </c>
      <c r="E135" s="5" t="n">
        <v>127.18</v>
      </c>
      <c r="F135" s="11" t="n">
        <v>64.95</v>
      </c>
      <c r="G135" s="11" t="n">
        <v>118.95</v>
      </c>
      <c r="H135" s="12" t="n">
        <v>0.45</v>
      </c>
      <c r="I135" s="5" t="n">
        <f aca="false">F135-D135</f>
        <v>-5</v>
      </c>
      <c r="J135" s="6" t="n">
        <f aca="false">IF(D135=0,0,F135/D135-1)</f>
        <v>-0.0714796283059328</v>
      </c>
      <c r="K135" s="4"/>
    </row>
    <row r="136" customFormat="false" ht="15" hidden="false" customHeight="false" outlineLevel="0" collapsed="false">
      <c r="A136" s="4" t="s">
        <v>20</v>
      </c>
      <c r="B136" s="4" t="s">
        <v>312</v>
      </c>
      <c r="C136" s="4" t="s">
        <v>313</v>
      </c>
      <c r="D136" s="5" t="n">
        <v>69.95</v>
      </c>
      <c r="E136" s="5" t="n">
        <v>127.18</v>
      </c>
      <c r="F136" s="11" t="n">
        <v>64.95</v>
      </c>
      <c r="G136" s="11" t="n">
        <v>118.95</v>
      </c>
      <c r="H136" s="12" t="n">
        <v>0.45</v>
      </c>
      <c r="I136" s="5" t="n">
        <f aca="false">F136-D136</f>
        <v>-5</v>
      </c>
      <c r="J136" s="6" t="n">
        <f aca="false">IF(D136=0,0,F136/D136-1)</f>
        <v>-0.0714796283059328</v>
      </c>
      <c r="K136" s="4"/>
    </row>
    <row r="137" customFormat="false" ht="15" hidden="false" customHeight="false" outlineLevel="0" collapsed="false">
      <c r="A137" s="4" t="s">
        <v>20</v>
      </c>
      <c r="B137" s="4" t="s">
        <v>314</v>
      </c>
      <c r="C137" s="4" t="s">
        <v>315</v>
      </c>
      <c r="D137" s="5" t="n">
        <v>69.95</v>
      </c>
      <c r="E137" s="5" t="n">
        <v>139.9</v>
      </c>
      <c r="F137" s="11" t="n">
        <v>64.95</v>
      </c>
      <c r="G137" s="11" t="n">
        <v>129.95</v>
      </c>
      <c r="H137" s="12" t="n">
        <v>0.5</v>
      </c>
      <c r="I137" s="5" t="n">
        <f aca="false">F137-D137</f>
        <v>-5</v>
      </c>
      <c r="J137" s="6" t="n">
        <f aca="false">IF(D137=0,0,F137/D137-1)</f>
        <v>-0.0714796283059328</v>
      </c>
      <c r="K137" s="4"/>
    </row>
    <row r="138" customFormat="false" ht="15" hidden="false" customHeight="false" outlineLevel="0" collapsed="false">
      <c r="A138" s="4" t="s">
        <v>20</v>
      </c>
      <c r="B138" s="4" t="s">
        <v>316</v>
      </c>
      <c r="C138" s="4" t="s">
        <v>317</v>
      </c>
      <c r="D138" s="5" t="n">
        <v>69.95</v>
      </c>
      <c r="E138" s="5" t="n">
        <v>116.58</v>
      </c>
      <c r="F138" s="11" t="n">
        <v>64.95</v>
      </c>
      <c r="G138" s="11" t="n">
        <v>108.95</v>
      </c>
      <c r="H138" s="12" t="n">
        <v>0.4</v>
      </c>
      <c r="I138" s="5" t="n">
        <f aca="false">F138-D138</f>
        <v>-5</v>
      </c>
      <c r="J138" s="6" t="n">
        <f aca="false">IF(D138=0,0,F138/D138-1)</f>
        <v>-0.0714796283059328</v>
      </c>
      <c r="K138" s="4"/>
    </row>
    <row r="139" customFormat="false" ht="15" hidden="false" customHeight="false" outlineLevel="0" collapsed="false">
      <c r="A139" s="4" t="s">
        <v>20</v>
      </c>
      <c r="B139" s="4" t="s">
        <v>318</v>
      </c>
      <c r="C139" s="4" t="s">
        <v>319</v>
      </c>
      <c r="D139" s="5" t="n">
        <v>69.95</v>
      </c>
      <c r="E139" s="5" t="n">
        <v>139.9</v>
      </c>
      <c r="F139" s="11" t="n">
        <v>64.95</v>
      </c>
      <c r="G139" s="11" t="n">
        <v>129.95</v>
      </c>
      <c r="H139" s="12" t="n">
        <v>0.5</v>
      </c>
      <c r="I139" s="5" t="n">
        <f aca="false">F139-D139</f>
        <v>-5</v>
      </c>
      <c r="J139" s="6" t="n">
        <f aca="false">IF(D139=0,0,F139/D139-1)</f>
        <v>-0.0714796283059328</v>
      </c>
      <c r="K139" s="4"/>
    </row>
    <row r="140" customFormat="false" ht="15" hidden="false" customHeight="false" outlineLevel="0" collapsed="false">
      <c r="A140" s="4" t="s">
        <v>20</v>
      </c>
      <c r="B140" s="4" t="s">
        <v>320</v>
      </c>
      <c r="C140" s="4" t="s">
        <v>321</v>
      </c>
      <c r="D140" s="5" t="n">
        <v>84.95</v>
      </c>
      <c r="E140" s="5" t="n">
        <v>169.9</v>
      </c>
      <c r="F140" s="11" t="n">
        <v>69.95</v>
      </c>
      <c r="G140" s="11" t="n">
        <v>139.95</v>
      </c>
      <c r="H140" s="12" t="n">
        <v>0.5</v>
      </c>
      <c r="I140" s="5" t="n">
        <f aca="false">F140-D140</f>
        <v>-15</v>
      </c>
      <c r="J140" s="6" t="n">
        <f aca="false">IF(D140=0,0,F140/D140-1)</f>
        <v>-0.176574455562095</v>
      </c>
      <c r="K140" s="4"/>
    </row>
    <row r="141" customFormat="false" ht="15" hidden="false" customHeight="false" outlineLevel="0" collapsed="false">
      <c r="A141" s="4" t="s">
        <v>20</v>
      </c>
      <c r="B141" s="4" t="s">
        <v>322</v>
      </c>
      <c r="C141" s="4" t="s">
        <v>323</v>
      </c>
      <c r="D141" s="5" t="n">
        <v>84.95</v>
      </c>
      <c r="E141" s="5" t="n">
        <v>141.58</v>
      </c>
      <c r="F141" s="11" t="n">
        <v>69.95</v>
      </c>
      <c r="G141" s="11" t="n">
        <v>116.95</v>
      </c>
      <c r="H141" s="12" t="n">
        <v>0.4</v>
      </c>
      <c r="I141" s="5" t="n">
        <f aca="false">F141-D141</f>
        <v>-15</v>
      </c>
      <c r="J141" s="6" t="n">
        <f aca="false">IF(D141=0,0,F141/D141-1)</f>
        <v>-0.176574455562095</v>
      </c>
      <c r="K141" s="4"/>
    </row>
    <row r="142" customFormat="false" ht="15" hidden="false" customHeight="false" outlineLevel="0" collapsed="false">
      <c r="A142" s="4" t="s">
        <v>20</v>
      </c>
      <c r="B142" s="4" t="s">
        <v>324</v>
      </c>
      <c r="C142" s="4" t="s">
        <v>325</v>
      </c>
      <c r="D142" s="5" t="n">
        <v>79.95</v>
      </c>
      <c r="E142" s="5" t="n">
        <v>159.9</v>
      </c>
      <c r="F142" s="11" t="n">
        <v>69.95</v>
      </c>
      <c r="G142" s="11" t="n">
        <v>139.95</v>
      </c>
      <c r="H142" s="12" t="n">
        <v>0.5</v>
      </c>
      <c r="I142" s="5" t="n">
        <f aca="false">F142-D142</f>
        <v>-10</v>
      </c>
      <c r="J142" s="6" t="n">
        <f aca="false">IF(D142=0,0,F142/D142-1)</f>
        <v>-0.125078173858662</v>
      </c>
      <c r="K142" s="4"/>
    </row>
    <row r="143" customFormat="false" ht="15" hidden="false" customHeight="false" outlineLevel="0" collapsed="false">
      <c r="A143" s="4" t="s">
        <v>20</v>
      </c>
      <c r="B143" s="4" t="s">
        <v>326</v>
      </c>
      <c r="C143" s="4" t="s">
        <v>327</v>
      </c>
      <c r="D143" s="5" t="n">
        <v>84.95</v>
      </c>
      <c r="E143" s="5" t="n">
        <v>154.45</v>
      </c>
      <c r="F143" s="11" t="n">
        <v>69.95</v>
      </c>
      <c r="G143" s="11" t="n">
        <v>127.95</v>
      </c>
      <c r="H143" s="12" t="n">
        <v>0.45</v>
      </c>
      <c r="I143" s="5" t="n">
        <f aca="false">F143-D143</f>
        <v>-15</v>
      </c>
      <c r="J143" s="6" t="n">
        <f aca="false">IF(D143=0,0,F143/D143-1)</f>
        <v>-0.176574455562095</v>
      </c>
      <c r="K143" s="4"/>
    </row>
    <row r="144" customFormat="false" ht="15" hidden="false" customHeight="false" outlineLevel="0" collapsed="false">
      <c r="A144" s="4" t="s">
        <v>20</v>
      </c>
      <c r="B144" s="4" t="s">
        <v>328</v>
      </c>
      <c r="C144" s="4" t="s">
        <v>329</v>
      </c>
      <c r="D144" s="5" t="n">
        <v>89.95</v>
      </c>
      <c r="E144" s="5" t="n">
        <v>163.55</v>
      </c>
      <c r="F144" s="11" t="n">
        <v>69.95</v>
      </c>
      <c r="G144" s="11" t="n">
        <v>127.95</v>
      </c>
      <c r="H144" s="12" t="n">
        <v>0.45</v>
      </c>
      <c r="I144" s="5" t="n">
        <f aca="false">F144-D144</f>
        <v>-20</v>
      </c>
      <c r="J144" s="6" t="n">
        <f aca="false">IF(D144=0,0,F144/D144-1)</f>
        <v>-0.222345747637576</v>
      </c>
      <c r="K144" s="4"/>
    </row>
    <row r="145" customFormat="false" ht="15" hidden="false" customHeight="false" outlineLevel="0" collapsed="false">
      <c r="A145" s="4" t="s">
        <v>20</v>
      </c>
      <c r="B145" s="4" t="s">
        <v>330</v>
      </c>
      <c r="C145" s="4" t="s">
        <v>331</v>
      </c>
      <c r="D145" s="5" t="n">
        <v>69.95</v>
      </c>
      <c r="E145" s="5" t="n">
        <v>116.58</v>
      </c>
      <c r="F145" s="11" t="n">
        <v>69.95</v>
      </c>
      <c r="G145" s="11" t="n">
        <v>116.95</v>
      </c>
      <c r="H145" s="12" t="n">
        <v>0.4</v>
      </c>
      <c r="I145" s="5" t="n">
        <f aca="false">F145-D145</f>
        <v>0</v>
      </c>
      <c r="J145" s="6" t="n">
        <f aca="false">IF(D145=0,0,F145/D145-1)</f>
        <v>0</v>
      </c>
      <c r="K145" s="4" t="s">
        <v>332</v>
      </c>
    </row>
    <row r="146" customFormat="false" ht="15" hidden="false" customHeight="false" outlineLevel="0" collapsed="false">
      <c r="A146" s="4" t="s">
        <v>20</v>
      </c>
      <c r="B146" s="4" t="s">
        <v>333</v>
      </c>
      <c r="C146" s="4" t="s">
        <v>334</v>
      </c>
      <c r="D146" s="5" t="n">
        <v>84.95</v>
      </c>
      <c r="E146" s="5" t="n">
        <v>169.9</v>
      </c>
      <c r="F146" s="11" t="n">
        <v>69.95</v>
      </c>
      <c r="G146" s="11" t="n">
        <v>139.95</v>
      </c>
      <c r="H146" s="12" t="n">
        <v>0.5</v>
      </c>
      <c r="I146" s="5" t="n">
        <f aca="false">F146-D146</f>
        <v>-15</v>
      </c>
      <c r="J146" s="6" t="n">
        <f aca="false">IF(D146=0,0,F146/D146-1)</f>
        <v>-0.176574455562095</v>
      </c>
      <c r="K146" s="4"/>
    </row>
    <row r="147" customFormat="false" ht="15" hidden="false" customHeight="false" outlineLevel="0" collapsed="false">
      <c r="A147" s="4" t="s">
        <v>20</v>
      </c>
      <c r="B147" s="4" t="s">
        <v>335</v>
      </c>
      <c r="C147" s="4" t="s">
        <v>336</v>
      </c>
      <c r="D147" s="5" t="n">
        <v>84.95</v>
      </c>
      <c r="E147" s="5" t="n">
        <v>154.45</v>
      </c>
      <c r="F147" s="11" t="n">
        <v>69.95</v>
      </c>
      <c r="G147" s="11" t="n">
        <v>127.95</v>
      </c>
      <c r="H147" s="12" t="n">
        <v>0.45</v>
      </c>
      <c r="I147" s="5" t="n">
        <f aca="false">F147-D147</f>
        <v>-15</v>
      </c>
      <c r="J147" s="6" t="n">
        <f aca="false">IF(D147=0,0,F147/D147-1)</f>
        <v>-0.176574455562095</v>
      </c>
      <c r="K147" s="4"/>
    </row>
    <row r="148" customFormat="false" ht="15" hidden="false" customHeight="false" outlineLevel="0" collapsed="false">
      <c r="A148" s="4" t="s">
        <v>20</v>
      </c>
      <c r="B148" s="4" t="s">
        <v>337</v>
      </c>
      <c r="C148" s="4" t="s">
        <v>338</v>
      </c>
      <c r="D148" s="5" t="n">
        <v>84.95</v>
      </c>
      <c r="E148" s="5" t="n">
        <v>154.45</v>
      </c>
      <c r="F148" s="11" t="n">
        <v>69.95</v>
      </c>
      <c r="G148" s="11" t="n">
        <v>127.95</v>
      </c>
      <c r="H148" s="12" t="n">
        <v>0.45</v>
      </c>
      <c r="I148" s="5" t="n">
        <f aca="false">F148-D148</f>
        <v>-15</v>
      </c>
      <c r="J148" s="6" t="n">
        <f aca="false">IF(D148=0,0,F148/D148-1)</f>
        <v>-0.176574455562095</v>
      </c>
      <c r="K148" s="4"/>
    </row>
    <row r="149" customFormat="false" ht="15" hidden="false" customHeight="false" outlineLevel="0" collapsed="false">
      <c r="A149" s="4" t="s">
        <v>20</v>
      </c>
      <c r="B149" s="4" t="s">
        <v>339</v>
      </c>
      <c r="C149" s="4" t="s">
        <v>340</v>
      </c>
      <c r="D149" s="5" t="n">
        <v>84.95</v>
      </c>
      <c r="E149" s="5" t="n">
        <v>154.45</v>
      </c>
      <c r="F149" s="11" t="n">
        <v>69.95</v>
      </c>
      <c r="G149" s="11" t="n">
        <v>127.95</v>
      </c>
      <c r="H149" s="12" t="n">
        <v>0.45</v>
      </c>
      <c r="I149" s="5" t="n">
        <f aca="false">F149-D149</f>
        <v>-15</v>
      </c>
      <c r="J149" s="6" t="n">
        <f aca="false">IF(D149=0,0,F149/D149-1)</f>
        <v>-0.176574455562095</v>
      </c>
      <c r="K149" s="4"/>
    </row>
    <row r="150" customFormat="false" ht="15" hidden="false" customHeight="false" outlineLevel="0" collapsed="false">
      <c r="A150" s="4" t="s">
        <v>20</v>
      </c>
      <c r="B150" s="4" t="s">
        <v>341</v>
      </c>
      <c r="C150" s="4" t="s">
        <v>342</v>
      </c>
      <c r="D150" s="5" t="n">
        <v>79.95</v>
      </c>
      <c r="E150" s="5" t="n">
        <v>145.36</v>
      </c>
      <c r="F150" s="11" t="n">
        <v>69.95</v>
      </c>
      <c r="G150" s="11" t="n">
        <v>127.95</v>
      </c>
      <c r="H150" s="12" t="n">
        <v>0.45</v>
      </c>
      <c r="I150" s="5" t="n">
        <f aca="false">F150-D150</f>
        <v>-10</v>
      </c>
      <c r="J150" s="6" t="n">
        <f aca="false">IF(D150=0,0,F150/D150-1)</f>
        <v>-0.125078173858662</v>
      </c>
      <c r="K150" s="4"/>
    </row>
    <row r="151" customFormat="false" ht="15" hidden="false" customHeight="false" outlineLevel="0" collapsed="false">
      <c r="A151" s="4" t="s">
        <v>20</v>
      </c>
      <c r="B151" s="4" t="s">
        <v>343</v>
      </c>
      <c r="C151" s="4" t="s">
        <v>344</v>
      </c>
      <c r="D151" s="5" t="n">
        <v>84.95</v>
      </c>
      <c r="E151" s="5" t="n">
        <v>141.58</v>
      </c>
      <c r="F151" s="11" t="n">
        <v>69.95</v>
      </c>
      <c r="G151" s="11" t="n">
        <v>116.95</v>
      </c>
      <c r="H151" s="12" t="n">
        <v>0.4</v>
      </c>
      <c r="I151" s="5" t="n">
        <f aca="false">F151-D151</f>
        <v>-15</v>
      </c>
      <c r="J151" s="6" t="n">
        <f aca="false">IF(D151=0,0,F151/D151-1)</f>
        <v>-0.176574455562095</v>
      </c>
      <c r="K151" s="4"/>
    </row>
    <row r="152" customFormat="false" ht="15" hidden="false" customHeight="false" outlineLevel="0" collapsed="false">
      <c r="A152" s="4" t="s">
        <v>20</v>
      </c>
      <c r="B152" s="4" t="s">
        <v>345</v>
      </c>
      <c r="C152" s="4" t="s">
        <v>346</v>
      </c>
      <c r="D152" s="5" t="n">
        <v>84.95</v>
      </c>
      <c r="E152" s="5" t="n">
        <v>141.58</v>
      </c>
      <c r="F152" s="11" t="n">
        <v>69.95</v>
      </c>
      <c r="G152" s="11" t="n">
        <v>116.95</v>
      </c>
      <c r="H152" s="12" t="n">
        <v>0.4</v>
      </c>
      <c r="I152" s="5" t="n">
        <f aca="false">F152-D152</f>
        <v>-15</v>
      </c>
      <c r="J152" s="6" t="n">
        <f aca="false">IF(D152=0,0,F152/D152-1)</f>
        <v>-0.176574455562095</v>
      </c>
      <c r="K152" s="4"/>
    </row>
    <row r="153" customFormat="false" ht="15" hidden="false" customHeight="false" outlineLevel="0" collapsed="false">
      <c r="A153" s="4" t="s">
        <v>20</v>
      </c>
      <c r="B153" s="4" t="s">
        <v>347</v>
      </c>
      <c r="C153" s="4" t="s">
        <v>348</v>
      </c>
      <c r="D153" s="5" t="n">
        <v>84.95</v>
      </c>
      <c r="E153" s="5" t="n">
        <v>169.9</v>
      </c>
      <c r="F153" s="11" t="n">
        <v>69.95</v>
      </c>
      <c r="G153" s="11" t="n">
        <v>139.95</v>
      </c>
      <c r="H153" s="12" t="n">
        <v>0.5</v>
      </c>
      <c r="I153" s="5" t="n">
        <f aca="false">F153-D153</f>
        <v>-15</v>
      </c>
      <c r="J153" s="6" t="n">
        <f aca="false">IF(D153=0,0,F153/D153-1)</f>
        <v>-0.176574455562095</v>
      </c>
      <c r="K153" s="4"/>
    </row>
    <row r="154" customFormat="false" ht="15" hidden="false" customHeight="false" outlineLevel="0" collapsed="false">
      <c r="A154" s="4" t="s">
        <v>20</v>
      </c>
      <c r="B154" s="4" t="s">
        <v>349</v>
      </c>
      <c r="C154" s="4" t="s">
        <v>350</v>
      </c>
      <c r="D154" s="5" t="n">
        <v>84.95</v>
      </c>
      <c r="E154" s="5" t="n">
        <v>141.58</v>
      </c>
      <c r="F154" s="11" t="n">
        <v>69.95</v>
      </c>
      <c r="G154" s="11" t="n">
        <v>116.95</v>
      </c>
      <c r="H154" s="12" t="n">
        <v>0.4</v>
      </c>
      <c r="I154" s="5" t="n">
        <f aca="false">F154-D154</f>
        <v>-15</v>
      </c>
      <c r="J154" s="6" t="n">
        <f aca="false">IF(D154=0,0,F154/D154-1)</f>
        <v>-0.176574455562095</v>
      </c>
      <c r="K154" s="4"/>
    </row>
    <row r="155" customFormat="false" ht="15" hidden="false" customHeight="false" outlineLevel="0" collapsed="false">
      <c r="A155" s="4" t="s">
        <v>20</v>
      </c>
      <c r="B155" s="4" t="s">
        <v>351</v>
      </c>
      <c r="C155" s="4" t="s">
        <v>352</v>
      </c>
      <c r="D155" s="5" t="n">
        <v>79.95</v>
      </c>
      <c r="E155" s="5" t="n">
        <v>159.9</v>
      </c>
      <c r="F155" s="11" t="n">
        <v>69.95</v>
      </c>
      <c r="G155" s="11" t="n">
        <v>139.95</v>
      </c>
      <c r="H155" s="12" t="n">
        <v>0.5</v>
      </c>
      <c r="I155" s="5" t="n">
        <f aca="false">F155-D155</f>
        <v>-10</v>
      </c>
      <c r="J155" s="6" t="n">
        <f aca="false">IF(D155=0,0,F155/D155-1)</f>
        <v>-0.125078173858662</v>
      </c>
      <c r="K155" s="4"/>
    </row>
    <row r="156" customFormat="false" ht="15" hidden="false" customHeight="false" outlineLevel="0" collapsed="false">
      <c r="A156" s="4" t="s">
        <v>20</v>
      </c>
      <c r="B156" s="4" t="s">
        <v>353</v>
      </c>
      <c r="C156" s="4" t="s">
        <v>354</v>
      </c>
      <c r="D156" s="5" t="n">
        <v>79.95</v>
      </c>
      <c r="E156" s="5" t="n">
        <v>145.36</v>
      </c>
      <c r="F156" s="11" t="n">
        <v>69.95</v>
      </c>
      <c r="G156" s="11" t="n">
        <v>127.95</v>
      </c>
      <c r="H156" s="12" t="n">
        <v>0.45</v>
      </c>
      <c r="I156" s="5" t="n">
        <f aca="false">F156-D156</f>
        <v>-10</v>
      </c>
      <c r="J156" s="6" t="n">
        <f aca="false">IF(D156=0,0,F156/D156-1)</f>
        <v>-0.125078173858662</v>
      </c>
      <c r="K156" s="4"/>
    </row>
    <row r="157" customFormat="false" ht="15" hidden="false" customHeight="false" outlineLevel="0" collapsed="false">
      <c r="A157" s="4" t="s">
        <v>20</v>
      </c>
      <c r="B157" s="4" t="s">
        <v>355</v>
      </c>
      <c r="C157" s="4" t="s">
        <v>356</v>
      </c>
      <c r="D157" s="5" t="n">
        <v>84.95</v>
      </c>
      <c r="E157" s="5" t="n">
        <v>141.58</v>
      </c>
      <c r="F157" s="11" t="n">
        <v>69.95</v>
      </c>
      <c r="G157" s="11" t="n">
        <v>116.95</v>
      </c>
      <c r="H157" s="12" t="n">
        <v>0.4</v>
      </c>
      <c r="I157" s="5" t="n">
        <f aca="false">F157-D157</f>
        <v>-15</v>
      </c>
      <c r="J157" s="6" t="n">
        <f aca="false">IF(D157=0,0,F157/D157-1)</f>
        <v>-0.176574455562095</v>
      </c>
      <c r="K157" s="4"/>
    </row>
    <row r="158" customFormat="false" ht="15" hidden="false" customHeight="false" outlineLevel="0" collapsed="false">
      <c r="A158" s="4" t="s">
        <v>20</v>
      </c>
      <c r="B158" s="4" t="s">
        <v>357</v>
      </c>
      <c r="C158" s="4" t="s">
        <v>358</v>
      </c>
      <c r="D158" s="5" t="n">
        <v>84.95</v>
      </c>
      <c r="E158" s="5" t="n">
        <v>154.45</v>
      </c>
      <c r="F158" s="11" t="n">
        <v>69.95</v>
      </c>
      <c r="G158" s="11" t="n">
        <v>127.95</v>
      </c>
      <c r="H158" s="12" t="n">
        <v>0.45</v>
      </c>
      <c r="I158" s="5" t="n">
        <f aca="false">F158-D158</f>
        <v>-15</v>
      </c>
      <c r="J158" s="6" t="n">
        <f aca="false">IF(D158=0,0,F158/D158-1)</f>
        <v>-0.176574455562095</v>
      </c>
      <c r="K158" s="4"/>
    </row>
    <row r="159" customFormat="false" ht="15" hidden="false" customHeight="false" outlineLevel="0" collapsed="false">
      <c r="A159" s="4" t="s">
        <v>20</v>
      </c>
      <c r="B159" s="4" t="s">
        <v>359</v>
      </c>
      <c r="C159" s="4" t="s">
        <v>360</v>
      </c>
      <c r="D159" s="5" t="n">
        <v>89.95</v>
      </c>
      <c r="E159" s="5" t="n">
        <v>149.92</v>
      </c>
      <c r="F159" s="11" t="n">
        <v>69.95</v>
      </c>
      <c r="G159" s="11" t="n">
        <v>116.95</v>
      </c>
      <c r="H159" s="12" t="n">
        <v>0.4</v>
      </c>
      <c r="I159" s="5" t="n">
        <f aca="false">F159-D159</f>
        <v>-20</v>
      </c>
      <c r="J159" s="6" t="n">
        <f aca="false">IF(D159=0,0,F159/D159-1)</f>
        <v>-0.222345747637576</v>
      </c>
      <c r="K159" s="4"/>
    </row>
    <row r="160" customFormat="false" ht="15" hidden="false" customHeight="false" outlineLevel="0" collapsed="false">
      <c r="A160" s="4" t="s">
        <v>20</v>
      </c>
      <c r="B160" s="4" t="s">
        <v>361</v>
      </c>
      <c r="C160" s="4" t="s">
        <v>362</v>
      </c>
      <c r="D160" s="5" t="n">
        <v>79.95</v>
      </c>
      <c r="E160" s="5" t="n">
        <v>145.36</v>
      </c>
      <c r="F160" s="11" t="n">
        <v>69.95</v>
      </c>
      <c r="G160" s="11" t="n">
        <v>127.95</v>
      </c>
      <c r="H160" s="12" t="n">
        <v>0.45</v>
      </c>
      <c r="I160" s="5" t="n">
        <f aca="false">F160-D160</f>
        <v>-10</v>
      </c>
      <c r="J160" s="6" t="n">
        <f aca="false">IF(D160=0,0,F160/D160-1)</f>
        <v>-0.125078173858662</v>
      </c>
      <c r="K160" s="4"/>
    </row>
    <row r="161" customFormat="false" ht="15" hidden="false" customHeight="false" outlineLevel="0" collapsed="false">
      <c r="A161" s="4" t="s">
        <v>20</v>
      </c>
      <c r="B161" s="4" t="s">
        <v>363</v>
      </c>
      <c r="C161" s="4" t="s">
        <v>364</v>
      </c>
      <c r="D161" s="5" t="n">
        <v>84.95</v>
      </c>
      <c r="E161" s="5" t="n">
        <v>154.45</v>
      </c>
      <c r="F161" s="11" t="n">
        <v>69.95</v>
      </c>
      <c r="G161" s="11" t="n">
        <v>127.95</v>
      </c>
      <c r="H161" s="12" t="n">
        <v>0.45</v>
      </c>
      <c r="I161" s="5" t="n">
        <f aca="false">F161-D161</f>
        <v>-15</v>
      </c>
      <c r="J161" s="6" t="n">
        <f aca="false">IF(D161=0,0,F161/D161-1)</f>
        <v>-0.176574455562095</v>
      </c>
      <c r="K161" s="4"/>
    </row>
    <row r="162" customFormat="false" ht="15" hidden="false" customHeight="false" outlineLevel="0" collapsed="false">
      <c r="A162" s="4" t="s">
        <v>20</v>
      </c>
      <c r="B162" s="4" t="s">
        <v>365</v>
      </c>
      <c r="C162" s="4" t="s">
        <v>366</v>
      </c>
      <c r="D162" s="5" t="n">
        <v>84.95</v>
      </c>
      <c r="E162" s="5" t="n">
        <v>169.9</v>
      </c>
      <c r="F162" s="11" t="n">
        <v>69.95</v>
      </c>
      <c r="G162" s="11" t="n">
        <v>139.95</v>
      </c>
      <c r="H162" s="12" t="n">
        <v>0.5</v>
      </c>
      <c r="I162" s="5" t="n">
        <f aca="false">F162-D162</f>
        <v>-15</v>
      </c>
      <c r="J162" s="6" t="n">
        <f aca="false">IF(D162=0,0,F162/D162-1)</f>
        <v>-0.176574455562095</v>
      </c>
      <c r="K162" s="4"/>
    </row>
    <row r="163" customFormat="false" ht="15" hidden="false" customHeight="false" outlineLevel="0" collapsed="false">
      <c r="A163" s="4" t="s">
        <v>20</v>
      </c>
      <c r="B163" s="4" t="s">
        <v>367</v>
      </c>
      <c r="C163" s="4" t="s">
        <v>368</v>
      </c>
      <c r="D163" s="5" t="n">
        <v>84.95</v>
      </c>
      <c r="E163" s="5" t="n">
        <v>169.9</v>
      </c>
      <c r="F163" s="11" t="n">
        <v>69.95</v>
      </c>
      <c r="G163" s="11" t="n">
        <v>139.95</v>
      </c>
      <c r="H163" s="12" t="n">
        <v>0.5</v>
      </c>
      <c r="I163" s="5" t="n">
        <f aca="false">F163-D163</f>
        <v>-15</v>
      </c>
      <c r="J163" s="6" t="n">
        <f aca="false">IF(D163=0,0,F163/D163-1)</f>
        <v>-0.176574455562095</v>
      </c>
      <c r="K163" s="4"/>
    </row>
    <row r="164" customFormat="false" ht="15" hidden="false" customHeight="false" outlineLevel="0" collapsed="false">
      <c r="A164" s="4" t="s">
        <v>20</v>
      </c>
      <c r="B164" s="4" t="s">
        <v>369</v>
      </c>
      <c r="C164" s="4" t="s">
        <v>370</v>
      </c>
      <c r="D164" s="5" t="n">
        <v>79.95</v>
      </c>
      <c r="E164" s="5" t="n">
        <v>133.25</v>
      </c>
      <c r="F164" s="11" t="n">
        <v>69.95</v>
      </c>
      <c r="G164" s="11" t="n">
        <v>116.95</v>
      </c>
      <c r="H164" s="12" t="n">
        <v>0.4</v>
      </c>
      <c r="I164" s="5" t="n">
        <f aca="false">F164-D164</f>
        <v>-10</v>
      </c>
      <c r="J164" s="6" t="n">
        <f aca="false">IF(D164=0,0,F164/D164-1)</f>
        <v>-0.125078173858662</v>
      </c>
      <c r="K164" s="4"/>
    </row>
    <row r="165" customFormat="false" ht="15" hidden="false" customHeight="false" outlineLevel="0" collapsed="false">
      <c r="A165" s="4" t="s">
        <v>20</v>
      </c>
      <c r="B165" s="4" t="s">
        <v>371</v>
      </c>
      <c r="C165" s="4" t="s">
        <v>372</v>
      </c>
      <c r="D165" s="5" t="n">
        <v>84.95</v>
      </c>
      <c r="E165" s="5" t="n">
        <v>141.58</v>
      </c>
      <c r="F165" s="11" t="n">
        <v>69.95</v>
      </c>
      <c r="G165" s="11" t="n">
        <v>116.95</v>
      </c>
      <c r="H165" s="12" t="n">
        <v>0.4</v>
      </c>
      <c r="I165" s="5" t="n">
        <f aca="false">F165-D165</f>
        <v>-15</v>
      </c>
      <c r="J165" s="6" t="n">
        <f aca="false">IF(D165=0,0,F165/D165-1)</f>
        <v>-0.176574455562095</v>
      </c>
      <c r="K165" s="4"/>
    </row>
    <row r="166" customFormat="false" ht="15" hidden="false" customHeight="false" outlineLevel="0" collapsed="false">
      <c r="A166" s="4" t="s">
        <v>20</v>
      </c>
      <c r="B166" s="4" t="s">
        <v>373</v>
      </c>
      <c r="C166" s="4" t="s">
        <v>374</v>
      </c>
      <c r="D166" s="5" t="n">
        <v>99.95</v>
      </c>
      <c r="E166" s="5" t="n">
        <v>199.9</v>
      </c>
      <c r="F166" s="11" t="n">
        <v>74.95</v>
      </c>
      <c r="G166" s="11" t="n">
        <v>149.95</v>
      </c>
      <c r="H166" s="12" t="n">
        <v>0.5</v>
      </c>
      <c r="I166" s="5" t="n">
        <f aca="false">F166-D166</f>
        <v>-25</v>
      </c>
      <c r="J166" s="6" t="n">
        <f aca="false">IF(D166=0,0,F166/D166-1)</f>
        <v>-0.250125062531266</v>
      </c>
      <c r="K166" s="4"/>
    </row>
    <row r="167" customFormat="false" ht="15" hidden="false" customHeight="false" outlineLevel="0" collapsed="false">
      <c r="A167" s="4" t="s">
        <v>20</v>
      </c>
      <c r="B167" s="4" t="s">
        <v>375</v>
      </c>
      <c r="C167" s="4" t="s">
        <v>376</v>
      </c>
      <c r="D167" s="5" t="n">
        <v>94.95</v>
      </c>
      <c r="E167" s="5" t="n">
        <v>158.25</v>
      </c>
      <c r="F167" s="11" t="n">
        <v>74.95</v>
      </c>
      <c r="G167" s="11" t="n">
        <v>124.95</v>
      </c>
      <c r="H167" s="12" t="n">
        <v>0.4</v>
      </c>
      <c r="I167" s="5" t="n">
        <f aca="false">F167-D167</f>
        <v>-20</v>
      </c>
      <c r="J167" s="6" t="n">
        <f aca="false">IF(D167=0,0,F167/D167-1)</f>
        <v>-0.210637177461822</v>
      </c>
      <c r="K167" s="4"/>
    </row>
    <row r="168" customFormat="false" ht="15" hidden="false" customHeight="false" outlineLevel="0" collapsed="false">
      <c r="A168" s="4" t="s">
        <v>20</v>
      </c>
      <c r="B168" s="4" t="s">
        <v>377</v>
      </c>
      <c r="C168" s="4" t="s">
        <v>378</v>
      </c>
      <c r="D168" s="5" t="n">
        <v>99.95</v>
      </c>
      <c r="E168" s="5" t="n">
        <v>181.73</v>
      </c>
      <c r="F168" s="11" t="n">
        <v>74.95</v>
      </c>
      <c r="G168" s="11" t="n">
        <v>136.95</v>
      </c>
      <c r="H168" s="12" t="n">
        <v>0.45</v>
      </c>
      <c r="I168" s="5" t="n">
        <f aca="false">F168-D168</f>
        <v>-25</v>
      </c>
      <c r="J168" s="6" t="n">
        <f aca="false">IF(D168=0,0,F168/D168-1)</f>
        <v>-0.250125062531266</v>
      </c>
      <c r="K168" s="4"/>
    </row>
    <row r="169" customFormat="false" ht="15" hidden="false" customHeight="false" outlineLevel="0" collapsed="false">
      <c r="A169" s="4" t="s">
        <v>20</v>
      </c>
      <c r="B169" s="4" t="s">
        <v>379</v>
      </c>
      <c r="C169" s="4" t="s">
        <v>380</v>
      </c>
      <c r="D169" s="5" t="n">
        <v>94.95</v>
      </c>
      <c r="E169" s="5" t="n">
        <v>158.25</v>
      </c>
      <c r="F169" s="11" t="n">
        <v>74.95</v>
      </c>
      <c r="G169" s="11" t="n">
        <v>124.95</v>
      </c>
      <c r="H169" s="12" t="n">
        <v>0.4</v>
      </c>
      <c r="I169" s="5" t="n">
        <f aca="false">F169-D169</f>
        <v>-20</v>
      </c>
      <c r="J169" s="6" t="n">
        <f aca="false">IF(D169=0,0,F169/D169-1)</f>
        <v>-0.210637177461822</v>
      </c>
      <c r="K169" s="4"/>
    </row>
    <row r="170" customFormat="false" ht="15" hidden="false" customHeight="false" outlineLevel="0" collapsed="false">
      <c r="A170" s="4" t="s">
        <v>20</v>
      </c>
      <c r="B170" s="4" t="s">
        <v>381</v>
      </c>
      <c r="C170" s="4" t="s">
        <v>382</v>
      </c>
      <c r="D170" s="5" t="n">
        <v>94.95</v>
      </c>
      <c r="E170" s="5" t="n">
        <v>189.9</v>
      </c>
      <c r="F170" s="11" t="n">
        <v>74.95</v>
      </c>
      <c r="G170" s="11" t="n">
        <v>149.95</v>
      </c>
      <c r="H170" s="12" t="n">
        <v>0.5</v>
      </c>
      <c r="I170" s="5" t="n">
        <f aca="false">F170-D170</f>
        <v>-20</v>
      </c>
      <c r="J170" s="6" t="n">
        <f aca="false">IF(D170=0,0,F170/D170-1)</f>
        <v>-0.210637177461822</v>
      </c>
      <c r="K170" s="4"/>
    </row>
    <row r="171" customFormat="false" ht="15" hidden="false" customHeight="false" outlineLevel="0" collapsed="false">
      <c r="A171" s="4" t="s">
        <v>20</v>
      </c>
      <c r="B171" s="4" t="s">
        <v>383</v>
      </c>
      <c r="C171" s="4" t="s">
        <v>384</v>
      </c>
      <c r="D171" s="5" t="n">
        <v>99.95</v>
      </c>
      <c r="E171" s="5" t="n">
        <v>199.9</v>
      </c>
      <c r="F171" s="11" t="n">
        <v>74.95</v>
      </c>
      <c r="G171" s="11" t="n">
        <v>149.95</v>
      </c>
      <c r="H171" s="12" t="n">
        <v>0.5</v>
      </c>
      <c r="I171" s="5" t="n">
        <f aca="false">F171-D171</f>
        <v>-25</v>
      </c>
      <c r="J171" s="6" t="n">
        <f aca="false">IF(D171=0,0,F171/D171-1)</f>
        <v>-0.250125062531266</v>
      </c>
      <c r="K171" s="4"/>
    </row>
    <row r="172" customFormat="false" ht="15" hidden="false" customHeight="false" outlineLevel="0" collapsed="false">
      <c r="A172" s="4" t="s">
        <v>20</v>
      </c>
      <c r="B172" s="4" t="s">
        <v>385</v>
      </c>
      <c r="C172" s="4" t="s">
        <v>386</v>
      </c>
      <c r="D172" s="5" t="n">
        <v>99.95</v>
      </c>
      <c r="E172" s="5" t="n">
        <v>166.58</v>
      </c>
      <c r="F172" s="11" t="n">
        <v>74.95</v>
      </c>
      <c r="G172" s="11" t="n">
        <v>124.95</v>
      </c>
      <c r="H172" s="12" t="n">
        <v>0.4</v>
      </c>
      <c r="I172" s="5" t="n">
        <f aca="false">F172-D172</f>
        <v>-25</v>
      </c>
      <c r="J172" s="6" t="n">
        <f aca="false">IF(D172=0,0,F172/D172-1)</f>
        <v>-0.250125062531266</v>
      </c>
      <c r="K172" s="4"/>
    </row>
    <row r="173" customFormat="false" ht="15" hidden="false" customHeight="false" outlineLevel="0" collapsed="false">
      <c r="A173" s="4" t="s">
        <v>20</v>
      </c>
      <c r="B173" s="4" t="s">
        <v>387</v>
      </c>
      <c r="C173" s="4" t="s">
        <v>388</v>
      </c>
      <c r="D173" s="5" t="n">
        <v>99.95</v>
      </c>
      <c r="E173" s="5" t="n">
        <v>166.58</v>
      </c>
      <c r="F173" s="11" t="n">
        <v>74.95</v>
      </c>
      <c r="G173" s="11" t="n">
        <v>124.95</v>
      </c>
      <c r="H173" s="12" t="n">
        <v>0.4</v>
      </c>
      <c r="I173" s="5" t="n">
        <f aca="false">F173-D173</f>
        <v>-25</v>
      </c>
      <c r="J173" s="6" t="n">
        <f aca="false">IF(D173=0,0,F173/D173-1)</f>
        <v>-0.250125062531266</v>
      </c>
      <c r="K173" s="4"/>
    </row>
    <row r="174" customFormat="false" ht="15" hidden="false" customHeight="false" outlineLevel="0" collapsed="false">
      <c r="A174" s="4" t="s">
        <v>20</v>
      </c>
      <c r="B174" s="4" t="s">
        <v>389</v>
      </c>
      <c r="C174" s="4" t="s">
        <v>390</v>
      </c>
      <c r="D174" s="5" t="n">
        <v>99.95</v>
      </c>
      <c r="E174" s="5" t="n">
        <v>166.58</v>
      </c>
      <c r="F174" s="11" t="n">
        <v>74.95</v>
      </c>
      <c r="G174" s="11" t="n">
        <v>124.95</v>
      </c>
      <c r="H174" s="12" t="n">
        <v>0.4</v>
      </c>
      <c r="I174" s="5" t="n">
        <f aca="false">F174-D174</f>
        <v>-25</v>
      </c>
      <c r="J174" s="6" t="n">
        <f aca="false">IF(D174=0,0,F174/D174-1)</f>
        <v>-0.250125062531266</v>
      </c>
      <c r="K174" s="4"/>
    </row>
    <row r="175" customFormat="false" ht="15" hidden="false" customHeight="false" outlineLevel="0" collapsed="false">
      <c r="A175" s="4" t="s">
        <v>20</v>
      </c>
      <c r="B175" s="4" t="s">
        <v>391</v>
      </c>
      <c r="C175" s="4" t="s">
        <v>392</v>
      </c>
      <c r="D175" s="5" t="n">
        <v>99.95</v>
      </c>
      <c r="E175" s="5" t="n">
        <v>166.58</v>
      </c>
      <c r="F175" s="11" t="n">
        <v>74.95</v>
      </c>
      <c r="G175" s="11" t="n">
        <v>124.95</v>
      </c>
      <c r="H175" s="12" t="n">
        <v>0.4</v>
      </c>
      <c r="I175" s="5" t="n">
        <f aca="false">F175-D175</f>
        <v>-25</v>
      </c>
      <c r="J175" s="6" t="n">
        <f aca="false">IF(D175=0,0,F175/D175-1)</f>
        <v>-0.250125062531266</v>
      </c>
      <c r="K175" s="4"/>
    </row>
    <row r="176" customFormat="false" ht="15" hidden="false" customHeight="false" outlineLevel="0" collapsed="false">
      <c r="A176" s="4" t="s">
        <v>20</v>
      </c>
      <c r="B176" s="4" t="s">
        <v>393</v>
      </c>
      <c r="C176" s="4" t="s">
        <v>394</v>
      </c>
      <c r="D176" s="5" t="n">
        <v>99.95</v>
      </c>
      <c r="E176" s="5" t="n">
        <v>166.58</v>
      </c>
      <c r="F176" s="11" t="n">
        <v>74.95</v>
      </c>
      <c r="G176" s="11" t="n">
        <v>124.95</v>
      </c>
      <c r="H176" s="12" t="n">
        <v>0.4</v>
      </c>
      <c r="I176" s="5" t="n">
        <f aca="false">F176-D176</f>
        <v>-25</v>
      </c>
      <c r="J176" s="6" t="n">
        <f aca="false">IF(D176=0,0,F176/D176-1)</f>
        <v>-0.250125062531266</v>
      </c>
      <c r="K176" s="4"/>
    </row>
    <row r="177" customFormat="false" ht="15" hidden="false" customHeight="false" outlineLevel="0" collapsed="false">
      <c r="A177" s="4" t="s">
        <v>20</v>
      </c>
      <c r="B177" s="4" t="s">
        <v>395</v>
      </c>
      <c r="C177" s="4" t="s">
        <v>396</v>
      </c>
      <c r="D177" s="5" t="n">
        <v>99.95</v>
      </c>
      <c r="E177" s="5" t="n">
        <v>166.58</v>
      </c>
      <c r="F177" s="11" t="n">
        <v>74.95</v>
      </c>
      <c r="G177" s="11" t="n">
        <v>124.95</v>
      </c>
      <c r="H177" s="12" t="n">
        <v>0.4</v>
      </c>
      <c r="I177" s="5" t="n">
        <f aca="false">F177-D177</f>
        <v>-25</v>
      </c>
      <c r="J177" s="6" t="n">
        <f aca="false">IF(D177=0,0,F177/D177-1)</f>
        <v>-0.250125062531266</v>
      </c>
      <c r="K177" s="4"/>
    </row>
    <row r="178" customFormat="false" ht="15" hidden="false" customHeight="false" outlineLevel="0" collapsed="false">
      <c r="A178" s="4" t="s">
        <v>20</v>
      </c>
      <c r="B178" s="4" t="s">
        <v>397</v>
      </c>
      <c r="C178" s="4" t="s">
        <v>398</v>
      </c>
      <c r="D178" s="5" t="n">
        <v>99.95</v>
      </c>
      <c r="E178" s="5" t="n">
        <v>181.73</v>
      </c>
      <c r="F178" s="11" t="n">
        <v>74.95</v>
      </c>
      <c r="G178" s="11" t="n">
        <v>136.95</v>
      </c>
      <c r="H178" s="12" t="n">
        <v>0.45</v>
      </c>
      <c r="I178" s="5" t="n">
        <f aca="false">F178-D178</f>
        <v>-25</v>
      </c>
      <c r="J178" s="6" t="n">
        <f aca="false">IF(D178=0,0,F178/D178-1)</f>
        <v>-0.250125062531266</v>
      </c>
      <c r="K178" s="4"/>
    </row>
    <row r="179" customFormat="false" ht="15" hidden="false" customHeight="false" outlineLevel="0" collapsed="false">
      <c r="A179" s="4" t="s">
        <v>20</v>
      </c>
      <c r="B179" s="4" t="s">
        <v>399</v>
      </c>
      <c r="C179" s="4" t="s">
        <v>400</v>
      </c>
      <c r="D179" s="5" t="n">
        <v>99.95</v>
      </c>
      <c r="E179" s="5" t="n">
        <v>199.9</v>
      </c>
      <c r="F179" s="11" t="n">
        <v>74.95</v>
      </c>
      <c r="G179" s="11" t="n">
        <v>149.95</v>
      </c>
      <c r="H179" s="12" t="n">
        <v>0.5</v>
      </c>
      <c r="I179" s="5" t="n">
        <f aca="false">F179-D179</f>
        <v>-25</v>
      </c>
      <c r="J179" s="6" t="n">
        <f aca="false">IF(D179=0,0,F179/D179-1)</f>
        <v>-0.250125062531266</v>
      </c>
      <c r="K179" s="4"/>
    </row>
    <row r="180" customFormat="false" ht="15" hidden="false" customHeight="false" outlineLevel="0" collapsed="false">
      <c r="A180" s="4" t="s">
        <v>20</v>
      </c>
      <c r="B180" s="4" t="s">
        <v>401</v>
      </c>
      <c r="C180" s="4" t="s">
        <v>402</v>
      </c>
      <c r="D180" s="5" t="n">
        <v>99.95</v>
      </c>
      <c r="E180" s="5" t="n">
        <v>199.9</v>
      </c>
      <c r="F180" s="11" t="n">
        <v>74.95</v>
      </c>
      <c r="G180" s="11" t="n">
        <v>149.95</v>
      </c>
      <c r="H180" s="12" t="n">
        <v>0.5</v>
      </c>
      <c r="I180" s="5" t="n">
        <f aca="false">F180-D180</f>
        <v>-25</v>
      </c>
      <c r="J180" s="6" t="n">
        <f aca="false">IF(D180=0,0,F180/D180-1)</f>
        <v>-0.250125062531266</v>
      </c>
      <c r="K180" s="4"/>
    </row>
    <row r="181" customFormat="false" ht="15" hidden="false" customHeight="false" outlineLevel="0" collapsed="false">
      <c r="A181" s="4" t="s">
        <v>20</v>
      </c>
      <c r="B181" s="4" t="s">
        <v>403</v>
      </c>
      <c r="C181" s="4" t="s">
        <v>404</v>
      </c>
      <c r="D181" s="5" t="n">
        <v>94.95</v>
      </c>
      <c r="E181" s="5" t="n">
        <v>172.64</v>
      </c>
      <c r="F181" s="11" t="n">
        <v>74.95</v>
      </c>
      <c r="G181" s="11" t="n">
        <v>136.95</v>
      </c>
      <c r="H181" s="12" t="n">
        <v>0.45</v>
      </c>
      <c r="I181" s="5" t="n">
        <f aca="false">F181-D181</f>
        <v>-20</v>
      </c>
      <c r="J181" s="6" t="n">
        <f aca="false">IF(D181=0,0,F181/D181-1)</f>
        <v>-0.210637177461822</v>
      </c>
      <c r="K181" s="4"/>
    </row>
    <row r="182" customFormat="false" ht="15" hidden="false" customHeight="false" outlineLevel="0" collapsed="false">
      <c r="A182" s="4" t="s">
        <v>20</v>
      </c>
      <c r="B182" s="4" t="s">
        <v>405</v>
      </c>
      <c r="C182" s="4" t="s">
        <v>406</v>
      </c>
      <c r="D182" s="5" t="n">
        <v>99.95</v>
      </c>
      <c r="E182" s="5" t="n">
        <v>199.9</v>
      </c>
      <c r="F182" s="11" t="n">
        <v>74.95</v>
      </c>
      <c r="G182" s="11" t="n">
        <v>149.95</v>
      </c>
      <c r="H182" s="12" t="n">
        <v>0.5</v>
      </c>
      <c r="I182" s="5" t="n">
        <f aca="false">F182-D182</f>
        <v>-25</v>
      </c>
      <c r="J182" s="6" t="n">
        <f aca="false">IF(D182=0,0,F182/D182-1)</f>
        <v>-0.250125062531266</v>
      </c>
      <c r="K182" s="4"/>
    </row>
    <row r="183" customFormat="false" ht="15" hidden="false" customHeight="false" outlineLevel="0" collapsed="false">
      <c r="A183" s="4" t="s">
        <v>20</v>
      </c>
      <c r="B183" s="4" t="s">
        <v>407</v>
      </c>
      <c r="C183" s="4" t="s">
        <v>408</v>
      </c>
      <c r="D183" s="5" t="n">
        <v>99.95</v>
      </c>
      <c r="E183" s="5" t="n">
        <v>166.58</v>
      </c>
      <c r="F183" s="11" t="n">
        <v>74.95</v>
      </c>
      <c r="G183" s="11" t="n">
        <v>124.95</v>
      </c>
      <c r="H183" s="12" t="n">
        <v>0.4</v>
      </c>
      <c r="I183" s="5" t="n">
        <f aca="false">F183-D183</f>
        <v>-25</v>
      </c>
      <c r="J183" s="6" t="n">
        <f aca="false">IF(D183=0,0,F183/D183-1)</f>
        <v>-0.250125062531266</v>
      </c>
      <c r="K183" s="4"/>
    </row>
    <row r="184" customFormat="false" ht="15" hidden="false" customHeight="false" outlineLevel="0" collapsed="false">
      <c r="A184" s="4" t="s">
        <v>20</v>
      </c>
      <c r="B184" s="4" t="s">
        <v>409</v>
      </c>
      <c r="C184" s="4" t="s">
        <v>410</v>
      </c>
      <c r="D184" s="5" t="n">
        <v>99.95</v>
      </c>
      <c r="E184" s="5" t="n">
        <v>166.58</v>
      </c>
      <c r="F184" s="11" t="n">
        <v>99.95</v>
      </c>
      <c r="G184" s="11" t="n">
        <v>166.95</v>
      </c>
      <c r="H184" s="12" t="n">
        <v>0.4</v>
      </c>
      <c r="I184" s="5" t="n">
        <f aca="false">F184-D184</f>
        <v>0</v>
      </c>
      <c r="J184" s="6" t="n">
        <f aca="false">IF(D184=0,0,F184/D184-1)</f>
        <v>0</v>
      </c>
      <c r="K184" s="4" t="s">
        <v>332</v>
      </c>
    </row>
    <row r="185" customFormat="false" ht="15" hidden="false" customHeight="false" outlineLevel="0" collapsed="false">
      <c r="A185" s="4" t="s">
        <v>21</v>
      </c>
      <c r="B185" s="4" t="s">
        <v>411</v>
      </c>
      <c r="C185" s="4" t="s">
        <v>412</v>
      </c>
      <c r="D185" s="5" t="n">
        <v>69.95</v>
      </c>
      <c r="E185" s="5" t="n">
        <v>116.58</v>
      </c>
      <c r="F185" s="11" t="n">
        <v>64.95</v>
      </c>
      <c r="G185" s="11" t="n">
        <v>108.95</v>
      </c>
      <c r="H185" s="12" t="n">
        <v>0.4</v>
      </c>
      <c r="I185" s="5" t="n">
        <f aca="false">F185-D185</f>
        <v>-5</v>
      </c>
      <c r="J185" s="6" t="n">
        <f aca="false">IF(D185=0,0,F185/D185-1)</f>
        <v>-0.0714796283059328</v>
      </c>
      <c r="K185" s="4"/>
    </row>
    <row r="186" customFormat="false" ht="15" hidden="false" customHeight="false" outlineLevel="0" collapsed="false">
      <c r="A186" s="4" t="s">
        <v>21</v>
      </c>
      <c r="B186" s="4" t="s">
        <v>413</v>
      </c>
      <c r="C186" s="4" t="s">
        <v>414</v>
      </c>
      <c r="D186" s="5" t="n">
        <v>69.95</v>
      </c>
      <c r="E186" s="5" t="n">
        <v>116.58</v>
      </c>
      <c r="F186" s="11" t="n">
        <v>64.95</v>
      </c>
      <c r="G186" s="11" t="n">
        <v>108.95</v>
      </c>
      <c r="H186" s="12" t="n">
        <v>0.4</v>
      </c>
      <c r="I186" s="5" t="n">
        <f aca="false">F186-D186</f>
        <v>-5</v>
      </c>
      <c r="J186" s="6" t="n">
        <f aca="false">IF(D186=0,0,F186/D186-1)</f>
        <v>-0.0714796283059328</v>
      </c>
      <c r="K186" s="4"/>
    </row>
    <row r="187" customFormat="false" ht="15" hidden="false" customHeight="false" outlineLevel="0" collapsed="false">
      <c r="A187" s="4" t="s">
        <v>21</v>
      </c>
      <c r="B187" s="4" t="s">
        <v>415</v>
      </c>
      <c r="C187" s="4" t="s">
        <v>416</v>
      </c>
      <c r="D187" s="5" t="n">
        <v>69.95</v>
      </c>
      <c r="E187" s="5" t="n">
        <v>127.18</v>
      </c>
      <c r="F187" s="11" t="n">
        <v>64.95</v>
      </c>
      <c r="G187" s="11" t="n">
        <v>118.95</v>
      </c>
      <c r="H187" s="12" t="n">
        <v>0.45</v>
      </c>
      <c r="I187" s="5" t="n">
        <f aca="false">F187-D187</f>
        <v>-5</v>
      </c>
      <c r="J187" s="6" t="n">
        <f aca="false">IF(D187=0,0,F187/D187-1)</f>
        <v>-0.0714796283059328</v>
      </c>
      <c r="K187" s="4"/>
    </row>
    <row r="188" customFormat="false" ht="15" hidden="false" customHeight="false" outlineLevel="0" collapsed="false">
      <c r="A188" s="4" t="s">
        <v>21</v>
      </c>
      <c r="B188" s="4" t="s">
        <v>417</v>
      </c>
      <c r="C188" s="4" t="s">
        <v>418</v>
      </c>
      <c r="D188" s="5" t="n">
        <v>69.95</v>
      </c>
      <c r="E188" s="5" t="n">
        <v>127.18</v>
      </c>
      <c r="F188" s="11" t="n">
        <v>64.95</v>
      </c>
      <c r="G188" s="11" t="n">
        <v>118.95</v>
      </c>
      <c r="H188" s="12" t="n">
        <v>0.45</v>
      </c>
      <c r="I188" s="5" t="n">
        <f aca="false">F188-D188</f>
        <v>-5</v>
      </c>
      <c r="J188" s="6" t="n">
        <f aca="false">IF(D188=0,0,F188/D188-1)</f>
        <v>-0.0714796283059328</v>
      </c>
      <c r="K188" s="4"/>
    </row>
    <row r="189" customFormat="false" ht="15" hidden="false" customHeight="false" outlineLevel="0" collapsed="false">
      <c r="A189" s="4" t="s">
        <v>21</v>
      </c>
      <c r="B189" s="4" t="s">
        <v>419</v>
      </c>
      <c r="C189" s="4" t="s">
        <v>420</v>
      </c>
      <c r="D189" s="5" t="n">
        <v>74.95</v>
      </c>
      <c r="E189" s="5" t="n">
        <v>124.92</v>
      </c>
      <c r="F189" s="11" t="n">
        <v>64.95</v>
      </c>
      <c r="G189" s="11" t="n">
        <v>108.95</v>
      </c>
      <c r="H189" s="12" t="n">
        <v>0.4</v>
      </c>
      <c r="I189" s="5" t="n">
        <f aca="false">F189-D189</f>
        <v>-10</v>
      </c>
      <c r="J189" s="6" t="n">
        <f aca="false">IF(D189=0,0,F189/D189-1)</f>
        <v>-0.133422281521014</v>
      </c>
      <c r="K189" s="4"/>
    </row>
    <row r="190" customFormat="false" ht="15" hidden="false" customHeight="false" outlineLevel="0" collapsed="false">
      <c r="A190" s="4" t="s">
        <v>21</v>
      </c>
      <c r="B190" s="4" t="s">
        <v>421</v>
      </c>
      <c r="C190" s="4" t="s">
        <v>422</v>
      </c>
      <c r="D190" s="5" t="n">
        <v>79.95</v>
      </c>
      <c r="E190" s="5" t="n">
        <v>159.9</v>
      </c>
      <c r="F190" s="11" t="n">
        <v>69.95</v>
      </c>
      <c r="G190" s="11" t="n">
        <v>139.95</v>
      </c>
      <c r="H190" s="12" t="n">
        <v>0.5</v>
      </c>
      <c r="I190" s="5" t="n">
        <f aca="false">F190-D190</f>
        <v>-10</v>
      </c>
      <c r="J190" s="6" t="n">
        <f aca="false">IF(D190=0,0,F190/D190-1)</f>
        <v>-0.125078173858662</v>
      </c>
      <c r="K190" s="4"/>
    </row>
    <row r="191" customFormat="false" ht="15" hidden="false" customHeight="false" outlineLevel="0" collapsed="false">
      <c r="A191" s="4" t="s">
        <v>21</v>
      </c>
      <c r="B191" s="4" t="s">
        <v>423</v>
      </c>
      <c r="C191" s="4" t="s">
        <v>424</v>
      </c>
      <c r="D191" s="5" t="n">
        <v>79.95</v>
      </c>
      <c r="E191" s="5" t="n">
        <v>159.9</v>
      </c>
      <c r="F191" s="11" t="n">
        <v>69.95</v>
      </c>
      <c r="G191" s="11" t="n">
        <v>139.95</v>
      </c>
      <c r="H191" s="12" t="n">
        <v>0.5</v>
      </c>
      <c r="I191" s="5" t="n">
        <f aca="false">F191-D191</f>
        <v>-10</v>
      </c>
      <c r="J191" s="6" t="n">
        <f aca="false">IF(D191=0,0,F191/D191-1)</f>
        <v>-0.125078173858662</v>
      </c>
      <c r="K191" s="4"/>
    </row>
    <row r="192" customFormat="false" ht="15" hidden="false" customHeight="false" outlineLevel="0" collapsed="false">
      <c r="A192" s="4" t="s">
        <v>21</v>
      </c>
      <c r="B192" s="4" t="s">
        <v>425</v>
      </c>
      <c r="C192" s="4" t="s">
        <v>426</v>
      </c>
      <c r="D192" s="5" t="n">
        <v>84.95</v>
      </c>
      <c r="E192" s="5" t="n">
        <v>154.45</v>
      </c>
      <c r="F192" s="11" t="n">
        <v>69.95</v>
      </c>
      <c r="G192" s="11" t="n">
        <v>127.95</v>
      </c>
      <c r="H192" s="12" t="n">
        <v>0.45</v>
      </c>
      <c r="I192" s="5" t="n">
        <f aca="false">F192-D192</f>
        <v>-15</v>
      </c>
      <c r="J192" s="6" t="n">
        <f aca="false">IF(D192=0,0,F192/D192-1)</f>
        <v>-0.176574455562095</v>
      </c>
      <c r="K192" s="4"/>
    </row>
    <row r="193" customFormat="false" ht="15" hidden="false" customHeight="false" outlineLevel="0" collapsed="false">
      <c r="A193" s="4" t="s">
        <v>21</v>
      </c>
      <c r="B193" s="4" t="s">
        <v>427</v>
      </c>
      <c r="C193" s="4" t="s">
        <v>428</v>
      </c>
      <c r="D193" s="5" t="n">
        <v>84.95</v>
      </c>
      <c r="E193" s="5" t="n">
        <v>154.45</v>
      </c>
      <c r="F193" s="11" t="n">
        <v>69.95</v>
      </c>
      <c r="G193" s="11" t="n">
        <v>127.95</v>
      </c>
      <c r="H193" s="12" t="n">
        <v>0.45</v>
      </c>
      <c r="I193" s="5" t="n">
        <f aca="false">F193-D193</f>
        <v>-15</v>
      </c>
      <c r="J193" s="6" t="n">
        <f aca="false">IF(D193=0,0,F193/D193-1)</f>
        <v>-0.176574455562095</v>
      </c>
      <c r="K193" s="4"/>
    </row>
    <row r="194" customFormat="false" ht="15" hidden="false" customHeight="false" outlineLevel="0" collapsed="false">
      <c r="A194" s="4" t="s">
        <v>21</v>
      </c>
      <c r="B194" s="4" t="s">
        <v>429</v>
      </c>
      <c r="C194" s="4" t="s">
        <v>430</v>
      </c>
      <c r="D194" s="5" t="n">
        <v>84.95</v>
      </c>
      <c r="E194" s="5" t="n">
        <v>169.9</v>
      </c>
      <c r="F194" s="11" t="n">
        <v>69.95</v>
      </c>
      <c r="G194" s="11" t="n">
        <v>139.95</v>
      </c>
      <c r="H194" s="12" t="n">
        <v>0.5</v>
      </c>
      <c r="I194" s="5" t="n">
        <f aca="false">F194-D194</f>
        <v>-15</v>
      </c>
      <c r="J194" s="6" t="n">
        <f aca="false">IF(D194=0,0,F194/D194-1)</f>
        <v>-0.176574455562095</v>
      </c>
      <c r="K194" s="4"/>
    </row>
    <row r="195" customFormat="false" ht="15" hidden="false" customHeight="false" outlineLevel="0" collapsed="false">
      <c r="A195" s="4" t="s">
        <v>21</v>
      </c>
      <c r="B195" s="4" t="s">
        <v>431</v>
      </c>
      <c r="C195" s="4" t="s">
        <v>432</v>
      </c>
      <c r="D195" s="5" t="n">
        <v>84.95</v>
      </c>
      <c r="E195" s="5" t="n">
        <v>141.58</v>
      </c>
      <c r="F195" s="11" t="n">
        <v>69.95</v>
      </c>
      <c r="G195" s="11" t="n">
        <v>116.95</v>
      </c>
      <c r="H195" s="12" t="n">
        <v>0.4</v>
      </c>
      <c r="I195" s="5" t="n">
        <f aca="false">F195-D195</f>
        <v>-15</v>
      </c>
      <c r="J195" s="6" t="n">
        <f aca="false">IF(D195=0,0,F195/D195-1)</f>
        <v>-0.176574455562095</v>
      </c>
      <c r="K195" s="4"/>
    </row>
    <row r="196" customFormat="false" ht="15" hidden="false" customHeight="false" outlineLevel="0" collapsed="false">
      <c r="A196" s="4" t="s">
        <v>21</v>
      </c>
      <c r="B196" s="4" t="s">
        <v>433</v>
      </c>
      <c r="C196" s="4" t="s">
        <v>434</v>
      </c>
      <c r="D196" s="5" t="n">
        <v>79.95</v>
      </c>
      <c r="E196" s="5" t="n">
        <v>159.9</v>
      </c>
      <c r="F196" s="11" t="n">
        <v>69.95</v>
      </c>
      <c r="G196" s="11" t="n">
        <v>139.95</v>
      </c>
      <c r="H196" s="12" t="n">
        <v>0.5</v>
      </c>
      <c r="I196" s="5" t="n">
        <f aca="false">F196-D196</f>
        <v>-10</v>
      </c>
      <c r="J196" s="6" t="n">
        <f aca="false">IF(D196=0,0,F196/D196-1)</f>
        <v>-0.125078173858662</v>
      </c>
      <c r="K196" s="4"/>
    </row>
    <row r="197" customFormat="false" ht="15" hidden="false" customHeight="false" outlineLevel="0" collapsed="false">
      <c r="A197" s="4" t="s">
        <v>21</v>
      </c>
      <c r="B197" s="4" t="s">
        <v>435</v>
      </c>
      <c r="C197" s="4" t="s">
        <v>436</v>
      </c>
      <c r="D197" s="5" t="n">
        <v>94.95</v>
      </c>
      <c r="E197" s="5" t="n">
        <v>172.64</v>
      </c>
      <c r="F197" s="11" t="n">
        <v>74.95</v>
      </c>
      <c r="G197" s="11" t="n">
        <v>136.95</v>
      </c>
      <c r="H197" s="12" t="n">
        <v>0.45</v>
      </c>
      <c r="I197" s="5" t="n">
        <f aca="false">F197-D197</f>
        <v>-20</v>
      </c>
      <c r="J197" s="6" t="n">
        <f aca="false">IF(D197=0,0,F197/D197-1)</f>
        <v>-0.210637177461822</v>
      </c>
      <c r="K197" s="4"/>
    </row>
    <row r="198" customFormat="false" ht="15" hidden="false" customHeight="false" outlineLevel="0" collapsed="false">
      <c r="A198" s="4" t="s">
        <v>21</v>
      </c>
      <c r="B198" s="4" t="s">
        <v>437</v>
      </c>
      <c r="C198" s="4" t="s">
        <v>438</v>
      </c>
      <c r="D198" s="5" t="n">
        <v>94.95</v>
      </c>
      <c r="E198" s="5" t="n">
        <v>172.64</v>
      </c>
      <c r="F198" s="11" t="n">
        <v>74.95</v>
      </c>
      <c r="G198" s="11" t="n">
        <v>136.95</v>
      </c>
      <c r="H198" s="12" t="n">
        <v>0.45</v>
      </c>
      <c r="I198" s="5" t="n">
        <f aca="false">F198-D198</f>
        <v>-20</v>
      </c>
      <c r="J198" s="6" t="n">
        <f aca="false">IF(D198=0,0,F198/D198-1)</f>
        <v>-0.210637177461822</v>
      </c>
      <c r="K198" s="4"/>
    </row>
    <row r="199" customFormat="false" ht="15" hidden="false" customHeight="false" outlineLevel="0" collapsed="false">
      <c r="A199" s="4" t="s">
        <v>21</v>
      </c>
      <c r="B199" s="4" t="s">
        <v>439</v>
      </c>
      <c r="C199" s="4" t="s">
        <v>440</v>
      </c>
      <c r="D199" s="5" t="n">
        <v>94.95</v>
      </c>
      <c r="E199" s="5" t="n">
        <v>158.25</v>
      </c>
      <c r="F199" s="11" t="n">
        <v>74.95</v>
      </c>
      <c r="G199" s="11" t="n">
        <v>124.95</v>
      </c>
      <c r="H199" s="12" t="n">
        <v>0.4</v>
      </c>
      <c r="I199" s="5" t="n">
        <f aca="false">F199-D199</f>
        <v>-20</v>
      </c>
      <c r="J199" s="6" t="n">
        <f aca="false">IF(D199=0,0,F199/D199-1)</f>
        <v>-0.210637177461822</v>
      </c>
      <c r="K199" s="4"/>
    </row>
    <row r="200" customFormat="false" ht="15" hidden="false" customHeight="false" outlineLevel="0" collapsed="false">
      <c r="A200" s="4" t="s">
        <v>21</v>
      </c>
      <c r="B200" s="4" t="s">
        <v>441</v>
      </c>
      <c r="C200" s="4" t="s">
        <v>442</v>
      </c>
      <c r="D200" s="5" t="n">
        <v>94.95</v>
      </c>
      <c r="E200" s="5" t="n">
        <v>158.25</v>
      </c>
      <c r="F200" s="11" t="n">
        <v>74.95</v>
      </c>
      <c r="G200" s="11" t="n">
        <v>124.95</v>
      </c>
      <c r="H200" s="12" t="n">
        <v>0.4</v>
      </c>
      <c r="I200" s="5" t="n">
        <f aca="false">F200-D200</f>
        <v>-20</v>
      </c>
      <c r="J200" s="6" t="n">
        <f aca="false">IF(D200=0,0,F200/D200-1)</f>
        <v>-0.210637177461822</v>
      </c>
      <c r="K200" s="4"/>
    </row>
    <row r="201" customFormat="false" ht="15" hidden="false" customHeight="false" outlineLevel="0" collapsed="false">
      <c r="A201" s="4" t="s">
        <v>21</v>
      </c>
      <c r="B201" s="4" t="s">
        <v>443</v>
      </c>
      <c r="C201" s="4" t="s">
        <v>444</v>
      </c>
      <c r="D201" s="5" t="n">
        <v>94.95</v>
      </c>
      <c r="E201" s="5" t="n">
        <v>158.25</v>
      </c>
      <c r="F201" s="11" t="n">
        <v>74.95</v>
      </c>
      <c r="G201" s="11" t="n">
        <v>124.95</v>
      </c>
      <c r="H201" s="12" t="n">
        <v>0.4</v>
      </c>
      <c r="I201" s="5" t="n">
        <f aca="false">F201-D201</f>
        <v>-20</v>
      </c>
      <c r="J201" s="6" t="n">
        <f aca="false">IF(D201=0,0,F201/D201-1)</f>
        <v>-0.210637177461822</v>
      </c>
      <c r="K201" s="4"/>
    </row>
    <row r="202" customFormat="false" ht="15" hidden="false" customHeight="false" outlineLevel="0" collapsed="false">
      <c r="A202" s="4" t="s">
        <v>21</v>
      </c>
      <c r="B202" s="4" t="s">
        <v>445</v>
      </c>
      <c r="C202" s="4" t="s">
        <v>446</v>
      </c>
      <c r="D202" s="5" t="n">
        <v>94.95</v>
      </c>
      <c r="E202" s="5" t="n">
        <v>158.25</v>
      </c>
      <c r="F202" s="11" t="n">
        <v>74.95</v>
      </c>
      <c r="G202" s="11" t="n">
        <v>124.95</v>
      </c>
      <c r="H202" s="12" t="n">
        <v>0.4</v>
      </c>
      <c r="I202" s="5" t="n">
        <f aca="false">F202-D202</f>
        <v>-20</v>
      </c>
      <c r="J202" s="6" t="n">
        <f aca="false">IF(D202=0,0,F202/D202-1)</f>
        <v>-0.210637177461822</v>
      </c>
      <c r="K202" s="4"/>
    </row>
    <row r="203" customFormat="false" ht="15" hidden="false" customHeight="false" outlineLevel="0" collapsed="false">
      <c r="A203" s="4" t="s">
        <v>21</v>
      </c>
      <c r="B203" s="4" t="s">
        <v>447</v>
      </c>
      <c r="C203" s="4" t="s">
        <v>448</v>
      </c>
      <c r="D203" s="5" t="n">
        <v>94.95</v>
      </c>
      <c r="E203" s="5" t="n">
        <v>158.25</v>
      </c>
      <c r="F203" s="11" t="n">
        <v>74.95</v>
      </c>
      <c r="G203" s="11" t="n">
        <v>124.95</v>
      </c>
      <c r="H203" s="12" t="n">
        <v>0.4</v>
      </c>
      <c r="I203" s="5" t="n">
        <f aca="false">F203-D203</f>
        <v>-20</v>
      </c>
      <c r="J203" s="6" t="n">
        <f aca="false">IF(D203=0,0,F203/D203-1)</f>
        <v>-0.210637177461822</v>
      </c>
      <c r="K203" s="4"/>
    </row>
    <row r="204" customFormat="false" ht="15" hidden="false" customHeight="false" outlineLevel="0" collapsed="false">
      <c r="A204" s="4" t="s">
        <v>21</v>
      </c>
      <c r="B204" s="4" t="s">
        <v>449</v>
      </c>
      <c r="C204" s="4" t="s">
        <v>450</v>
      </c>
      <c r="D204" s="5" t="n">
        <v>94.95</v>
      </c>
      <c r="E204" s="5" t="n">
        <v>158.25</v>
      </c>
      <c r="F204" s="11" t="n">
        <v>74.95</v>
      </c>
      <c r="G204" s="11" t="n">
        <v>124.95</v>
      </c>
      <c r="H204" s="12" t="n">
        <v>0.4</v>
      </c>
      <c r="I204" s="5" t="n">
        <f aca="false">F204-D204</f>
        <v>-20</v>
      </c>
      <c r="J204" s="6" t="n">
        <f aca="false">IF(D204=0,0,F204/D204-1)</f>
        <v>-0.210637177461822</v>
      </c>
      <c r="K204" s="4"/>
    </row>
    <row r="205" customFormat="false" ht="15" hidden="false" customHeight="false" outlineLevel="0" collapsed="false">
      <c r="A205" s="4" t="s">
        <v>21</v>
      </c>
      <c r="B205" s="4" t="s">
        <v>451</v>
      </c>
      <c r="C205" s="4" t="s">
        <v>452</v>
      </c>
      <c r="D205" s="5" t="n">
        <v>94.95</v>
      </c>
      <c r="E205" s="5" t="n">
        <v>172.64</v>
      </c>
      <c r="F205" s="11" t="n">
        <v>74.95</v>
      </c>
      <c r="G205" s="11" t="n">
        <v>136.95</v>
      </c>
      <c r="H205" s="12" t="n">
        <v>0.45</v>
      </c>
      <c r="I205" s="5" t="n">
        <f aca="false">F205-D205</f>
        <v>-20</v>
      </c>
      <c r="J205" s="6" t="n">
        <f aca="false">IF(D205=0,0,F205/D205-1)</f>
        <v>-0.210637177461822</v>
      </c>
      <c r="K205" s="4"/>
    </row>
    <row r="206" customFormat="false" ht="15" hidden="false" customHeight="false" outlineLevel="0" collapsed="false">
      <c r="A206" s="4" t="s">
        <v>21</v>
      </c>
      <c r="B206" s="4" t="s">
        <v>453</v>
      </c>
      <c r="C206" s="4" t="s">
        <v>454</v>
      </c>
      <c r="D206" s="5" t="n">
        <v>94.95</v>
      </c>
      <c r="E206" s="5" t="n">
        <v>172.64</v>
      </c>
      <c r="F206" s="11" t="n">
        <v>74.95</v>
      </c>
      <c r="G206" s="11" t="n">
        <v>136.95</v>
      </c>
      <c r="H206" s="12" t="n">
        <v>0.45</v>
      </c>
      <c r="I206" s="5" t="n">
        <f aca="false">F206-D206</f>
        <v>-20</v>
      </c>
      <c r="J206" s="6" t="n">
        <f aca="false">IF(D206=0,0,F206/D206-1)</f>
        <v>-0.210637177461822</v>
      </c>
      <c r="K206" s="4"/>
    </row>
    <row r="207" customFormat="false" ht="15" hidden="false" customHeight="false" outlineLevel="0" collapsed="false">
      <c r="A207" s="4" t="s">
        <v>21</v>
      </c>
      <c r="B207" s="4" t="s">
        <v>455</v>
      </c>
      <c r="C207" s="4" t="s">
        <v>456</v>
      </c>
      <c r="D207" s="5" t="n">
        <v>94.95</v>
      </c>
      <c r="E207" s="5" t="n">
        <v>189.9</v>
      </c>
      <c r="F207" s="11" t="n">
        <v>74.95</v>
      </c>
      <c r="G207" s="11" t="n">
        <v>149.95</v>
      </c>
      <c r="H207" s="12" t="n">
        <v>0.5</v>
      </c>
      <c r="I207" s="5" t="n">
        <f aca="false">F207-D207</f>
        <v>-20</v>
      </c>
      <c r="J207" s="6" t="n">
        <f aca="false">IF(D207=0,0,F207/D207-1)</f>
        <v>-0.210637177461822</v>
      </c>
      <c r="K207" s="4"/>
    </row>
    <row r="208" customFormat="false" ht="15" hidden="false" customHeight="false" outlineLevel="0" collapsed="false">
      <c r="A208" s="4" t="s">
        <v>21</v>
      </c>
      <c r="B208" s="4" t="s">
        <v>457</v>
      </c>
      <c r="C208" s="4" t="s">
        <v>458</v>
      </c>
      <c r="D208" s="5" t="n">
        <v>94.95</v>
      </c>
      <c r="E208" s="5" t="n">
        <v>158.25</v>
      </c>
      <c r="F208" s="11" t="n">
        <v>74.95</v>
      </c>
      <c r="G208" s="11" t="n">
        <v>124.95</v>
      </c>
      <c r="H208" s="12" t="n">
        <v>0.4</v>
      </c>
      <c r="I208" s="5" t="n">
        <f aca="false">F208-D208</f>
        <v>-20</v>
      </c>
      <c r="J208" s="6" t="n">
        <f aca="false">IF(D208=0,0,F208/D208-1)</f>
        <v>-0.210637177461822</v>
      </c>
      <c r="K208" s="4"/>
    </row>
    <row r="209" customFormat="false" ht="15" hidden="false" customHeight="false" outlineLevel="0" collapsed="false">
      <c r="A209" s="4" t="s">
        <v>21</v>
      </c>
      <c r="B209" s="4" t="s">
        <v>459</v>
      </c>
      <c r="C209" s="4" t="s">
        <v>460</v>
      </c>
      <c r="D209" s="5" t="n">
        <v>94.95</v>
      </c>
      <c r="E209" s="5" t="n">
        <v>158.25</v>
      </c>
      <c r="F209" s="11" t="n">
        <v>74.95</v>
      </c>
      <c r="G209" s="11" t="n">
        <v>124.95</v>
      </c>
      <c r="H209" s="12" t="n">
        <v>0.4</v>
      </c>
      <c r="I209" s="5" t="n">
        <f aca="false">F209-D209</f>
        <v>-20</v>
      </c>
      <c r="J209" s="6" t="n">
        <f aca="false">IF(D209=0,0,F209/D209-1)</f>
        <v>-0.210637177461822</v>
      </c>
      <c r="K209" s="4"/>
    </row>
    <row r="210" customFormat="false" ht="15" hidden="false" customHeight="false" outlineLevel="0" collapsed="false">
      <c r="A210" s="4" t="s">
        <v>21</v>
      </c>
      <c r="B210" s="4" t="s">
        <v>461</v>
      </c>
      <c r="C210" s="4" t="s">
        <v>462</v>
      </c>
      <c r="D210" s="5" t="n">
        <v>94.95</v>
      </c>
      <c r="E210" s="5" t="n">
        <v>158.25</v>
      </c>
      <c r="F210" s="11" t="n">
        <v>74.95</v>
      </c>
      <c r="G210" s="11" t="n">
        <v>124.95</v>
      </c>
      <c r="H210" s="12" t="n">
        <v>0.4</v>
      </c>
      <c r="I210" s="5" t="n">
        <f aca="false">F210-D210</f>
        <v>-20</v>
      </c>
      <c r="J210" s="6" t="n">
        <f aca="false">IF(D210=0,0,F210/D210-1)</f>
        <v>-0.210637177461822</v>
      </c>
      <c r="K210" s="4"/>
    </row>
    <row r="211" customFormat="false" ht="15" hidden="false" customHeight="false" outlineLevel="0" collapsed="false">
      <c r="A211" s="4" t="s">
        <v>21</v>
      </c>
      <c r="B211" s="4" t="s">
        <v>463</v>
      </c>
      <c r="C211" s="4" t="s">
        <v>464</v>
      </c>
      <c r="D211" s="5" t="n">
        <v>89.95</v>
      </c>
      <c r="E211" s="5" t="n">
        <v>179.9</v>
      </c>
      <c r="F211" s="11" t="n">
        <v>74.95</v>
      </c>
      <c r="G211" s="11" t="n">
        <v>149.95</v>
      </c>
      <c r="H211" s="12" t="n">
        <v>0.5</v>
      </c>
      <c r="I211" s="5" t="n">
        <f aca="false">F211-D211</f>
        <v>-15</v>
      </c>
      <c r="J211" s="6" t="n">
        <f aca="false">IF(D211=0,0,F211/D211-1)</f>
        <v>-0.166759310728182</v>
      </c>
      <c r="K211" s="4"/>
    </row>
    <row r="212" customFormat="false" ht="15" hidden="false" customHeight="false" outlineLevel="0" collapsed="false">
      <c r="A212" s="4" t="s">
        <v>21</v>
      </c>
      <c r="B212" s="4" t="s">
        <v>465</v>
      </c>
      <c r="C212" s="4" t="s">
        <v>466</v>
      </c>
      <c r="D212" s="5" t="n">
        <v>94.95</v>
      </c>
      <c r="E212" s="5" t="n">
        <v>172.64</v>
      </c>
      <c r="F212" s="11" t="n">
        <v>74.95</v>
      </c>
      <c r="G212" s="11" t="n">
        <v>136.95</v>
      </c>
      <c r="H212" s="12" t="n">
        <v>0.45</v>
      </c>
      <c r="I212" s="5" t="n">
        <f aca="false">F212-D212</f>
        <v>-20</v>
      </c>
      <c r="J212" s="6" t="n">
        <f aca="false">IF(D212=0,0,F212/D212-1)</f>
        <v>-0.210637177461822</v>
      </c>
      <c r="K212" s="4"/>
    </row>
    <row r="213" customFormat="false" ht="15" hidden="false" customHeight="false" outlineLevel="0" collapsed="false">
      <c r="A213" s="4" t="s">
        <v>26</v>
      </c>
      <c r="B213" s="4" t="s">
        <v>467</v>
      </c>
      <c r="C213" s="4" t="s">
        <v>468</v>
      </c>
      <c r="D213" s="5" t="n">
        <v>84.95</v>
      </c>
      <c r="E213" s="5" t="n">
        <v>141.58</v>
      </c>
      <c r="F213" s="11" t="n">
        <v>74.95</v>
      </c>
      <c r="G213" s="11" t="n">
        <v>124.95</v>
      </c>
      <c r="H213" s="12" t="n">
        <v>0.4</v>
      </c>
      <c r="I213" s="5" t="n">
        <f aca="false">F213-D213</f>
        <v>-10</v>
      </c>
      <c r="J213" s="6" t="n">
        <f aca="false">IF(D213=0,0,F213/D213-1)</f>
        <v>-0.117716303708064</v>
      </c>
      <c r="K213" s="4"/>
    </row>
    <row r="214" customFormat="false" ht="15" hidden="false" customHeight="false" outlineLevel="0" collapsed="false">
      <c r="A214" s="4" t="s">
        <v>26</v>
      </c>
      <c r="B214" s="4" t="s">
        <v>469</v>
      </c>
      <c r="C214" s="4" t="s">
        <v>470</v>
      </c>
      <c r="D214" s="5" t="n">
        <v>99.95</v>
      </c>
      <c r="E214" s="5" t="n">
        <v>199.9</v>
      </c>
      <c r="F214" s="11" t="n">
        <v>79.95</v>
      </c>
      <c r="G214" s="11" t="n">
        <v>159.95</v>
      </c>
      <c r="H214" s="12" t="n">
        <v>0.5</v>
      </c>
      <c r="I214" s="5" t="n">
        <f aca="false">F214-D214</f>
        <v>-20</v>
      </c>
      <c r="J214" s="6" t="n">
        <f aca="false">IF(D214=0,0,F214/D214-1)</f>
        <v>-0.200100050025013</v>
      </c>
      <c r="K214" s="4"/>
    </row>
    <row r="215" customFormat="false" ht="15" hidden="false" customHeight="false" outlineLevel="0" collapsed="false">
      <c r="A215" s="4" t="s">
        <v>26</v>
      </c>
      <c r="B215" s="4" t="s">
        <v>471</v>
      </c>
      <c r="C215" s="4" t="s">
        <v>472</v>
      </c>
      <c r="D215" s="5" t="n">
        <v>99.95</v>
      </c>
      <c r="E215" s="5" t="n">
        <v>199.9</v>
      </c>
      <c r="F215" s="11" t="n">
        <v>79.95</v>
      </c>
      <c r="G215" s="11" t="n">
        <v>159.95</v>
      </c>
      <c r="H215" s="12" t="n">
        <v>0.5</v>
      </c>
      <c r="I215" s="5" t="n">
        <f aca="false">F215-D215</f>
        <v>-20</v>
      </c>
      <c r="J215" s="6" t="n">
        <f aca="false">IF(D215=0,0,F215/D215-1)</f>
        <v>-0.200100050025013</v>
      </c>
      <c r="K215" s="4"/>
    </row>
    <row r="216" customFormat="false" ht="15" hidden="false" customHeight="false" outlineLevel="0" collapsed="false">
      <c r="A216" s="4" t="s">
        <v>26</v>
      </c>
      <c r="B216" s="4" t="s">
        <v>473</v>
      </c>
      <c r="C216" s="4" t="s">
        <v>474</v>
      </c>
      <c r="D216" s="5" t="n">
        <v>99.95</v>
      </c>
      <c r="E216" s="5" t="n">
        <v>199.9</v>
      </c>
      <c r="F216" s="11" t="n">
        <v>79.95</v>
      </c>
      <c r="G216" s="11" t="n">
        <v>159.95</v>
      </c>
      <c r="H216" s="12" t="n">
        <v>0.5</v>
      </c>
      <c r="I216" s="5" t="n">
        <f aca="false">F216-D216</f>
        <v>-20</v>
      </c>
      <c r="J216" s="6" t="n">
        <f aca="false">IF(D216=0,0,F216/D216-1)</f>
        <v>-0.200100050025013</v>
      </c>
      <c r="K216" s="4"/>
    </row>
    <row r="217" customFormat="false" ht="15" hidden="false" customHeight="false" outlineLevel="0" collapsed="false">
      <c r="A217" s="4" t="s">
        <v>26</v>
      </c>
      <c r="B217" s="4" t="s">
        <v>475</v>
      </c>
      <c r="C217" s="4" t="s">
        <v>476</v>
      </c>
      <c r="D217" s="5" t="n">
        <v>99.95</v>
      </c>
      <c r="E217" s="5" t="n">
        <v>199.9</v>
      </c>
      <c r="F217" s="11" t="n">
        <v>79.95</v>
      </c>
      <c r="G217" s="11" t="n">
        <v>159.95</v>
      </c>
      <c r="H217" s="12" t="n">
        <v>0.5</v>
      </c>
      <c r="I217" s="5" t="n">
        <f aca="false">F217-D217</f>
        <v>-20</v>
      </c>
      <c r="J217" s="6" t="n">
        <f aca="false">IF(D217=0,0,F217/D217-1)</f>
        <v>-0.200100050025013</v>
      </c>
      <c r="K217" s="4"/>
    </row>
    <row r="218" customFormat="false" ht="15" hidden="false" customHeight="false" outlineLevel="0" collapsed="false">
      <c r="A218" s="4" t="s">
        <v>26</v>
      </c>
      <c r="B218" s="4" t="s">
        <v>477</v>
      </c>
      <c r="C218" s="4" t="s">
        <v>478</v>
      </c>
      <c r="D218" s="5" t="n">
        <v>99.95</v>
      </c>
      <c r="E218" s="5" t="n">
        <v>181.73</v>
      </c>
      <c r="F218" s="11" t="n">
        <v>79.95</v>
      </c>
      <c r="G218" s="11" t="n">
        <v>145.95</v>
      </c>
      <c r="H218" s="12" t="n">
        <v>0.45</v>
      </c>
      <c r="I218" s="5" t="n">
        <f aca="false">F218-D218</f>
        <v>-20</v>
      </c>
      <c r="J218" s="6" t="n">
        <f aca="false">IF(D218=0,0,F218/D218-1)</f>
        <v>-0.200100050025013</v>
      </c>
      <c r="K218" s="4"/>
    </row>
    <row r="219" customFormat="false" ht="15" hidden="false" customHeight="false" outlineLevel="0" collapsed="false">
      <c r="A219" s="4" t="s">
        <v>26</v>
      </c>
      <c r="B219" s="4" t="s">
        <v>479</v>
      </c>
      <c r="C219" s="4" t="s">
        <v>480</v>
      </c>
      <c r="D219" s="5" t="n">
        <v>114.95</v>
      </c>
      <c r="E219" s="5" t="n">
        <v>209</v>
      </c>
      <c r="F219" s="11" t="n">
        <v>84.95</v>
      </c>
      <c r="G219" s="11" t="n">
        <v>154.95</v>
      </c>
      <c r="H219" s="12" t="n">
        <v>0.45</v>
      </c>
      <c r="I219" s="5" t="n">
        <f aca="false">F219-D219</f>
        <v>-30</v>
      </c>
      <c r="J219" s="6" t="n">
        <f aca="false">IF(D219=0,0,F219/D219-1)</f>
        <v>-0.260983036102653</v>
      </c>
      <c r="K219" s="4"/>
    </row>
    <row r="220" customFormat="false" ht="15" hidden="false" customHeight="false" outlineLevel="0" collapsed="false">
      <c r="A220" s="4" t="s">
        <v>19</v>
      </c>
      <c r="B220" s="4" t="s">
        <v>481</v>
      </c>
      <c r="C220" s="4" t="s">
        <v>482</v>
      </c>
      <c r="D220" s="5" t="n">
        <v>69.95</v>
      </c>
      <c r="E220" s="5" t="n">
        <v>116.58</v>
      </c>
      <c r="F220" s="11" t="n">
        <v>64.95</v>
      </c>
      <c r="G220" s="11" t="n">
        <v>108.95</v>
      </c>
      <c r="H220" s="12" t="n">
        <v>0.4</v>
      </c>
      <c r="I220" s="5" t="n">
        <f aca="false">F220-D220</f>
        <v>-5</v>
      </c>
      <c r="J220" s="6" t="n">
        <f aca="false">IF(D220=0,0,F220/D220-1)</f>
        <v>-0.0714796283059328</v>
      </c>
      <c r="K220" s="4"/>
    </row>
    <row r="221" customFormat="false" ht="15" hidden="false" customHeight="false" outlineLevel="0" collapsed="false">
      <c r="A221" s="4" t="s">
        <v>19</v>
      </c>
      <c r="B221" s="4" t="s">
        <v>483</v>
      </c>
      <c r="C221" s="4" t="s">
        <v>484</v>
      </c>
      <c r="D221" s="5" t="n">
        <v>69.95</v>
      </c>
      <c r="E221" s="5" t="n">
        <v>127.18</v>
      </c>
      <c r="F221" s="11" t="n">
        <v>64.95</v>
      </c>
      <c r="G221" s="11" t="n">
        <v>118.95</v>
      </c>
      <c r="H221" s="12" t="n">
        <v>0.45</v>
      </c>
      <c r="I221" s="5" t="n">
        <f aca="false">F221-D221</f>
        <v>-5</v>
      </c>
      <c r="J221" s="6" t="n">
        <f aca="false">IF(D221=0,0,F221/D221-1)</f>
        <v>-0.0714796283059328</v>
      </c>
      <c r="K221" s="4"/>
    </row>
    <row r="222" customFormat="false" ht="15" hidden="false" customHeight="false" outlineLevel="0" collapsed="false">
      <c r="A222" s="4" t="s">
        <v>19</v>
      </c>
      <c r="B222" s="4" t="s">
        <v>485</v>
      </c>
      <c r="C222" s="4" t="s">
        <v>486</v>
      </c>
      <c r="D222" s="5" t="n">
        <v>69.95</v>
      </c>
      <c r="E222" s="5" t="n">
        <v>127.18</v>
      </c>
      <c r="F222" s="11" t="n">
        <v>64.95</v>
      </c>
      <c r="G222" s="11" t="n">
        <v>118.95</v>
      </c>
      <c r="H222" s="12" t="n">
        <v>0.45</v>
      </c>
      <c r="I222" s="5" t="n">
        <f aca="false">F222-D222</f>
        <v>-5</v>
      </c>
      <c r="J222" s="6" t="n">
        <f aca="false">IF(D222=0,0,F222/D222-1)</f>
        <v>-0.0714796283059328</v>
      </c>
      <c r="K222" s="4"/>
    </row>
    <row r="223" customFormat="false" ht="15" hidden="false" customHeight="false" outlineLevel="0" collapsed="false">
      <c r="A223" s="4" t="s">
        <v>19</v>
      </c>
      <c r="B223" s="4" t="s">
        <v>487</v>
      </c>
      <c r="C223" s="4" t="s">
        <v>488</v>
      </c>
      <c r="D223" s="5" t="n">
        <v>84.95</v>
      </c>
      <c r="E223" s="5" t="n">
        <v>154.45</v>
      </c>
      <c r="F223" s="11" t="n">
        <v>69.95</v>
      </c>
      <c r="G223" s="11" t="n">
        <v>127.95</v>
      </c>
      <c r="H223" s="12" t="n">
        <v>0.45</v>
      </c>
      <c r="I223" s="5" t="n">
        <f aca="false">F223-D223</f>
        <v>-15</v>
      </c>
      <c r="J223" s="6" t="n">
        <f aca="false">IF(D223=0,0,F223/D223-1)</f>
        <v>-0.176574455562095</v>
      </c>
      <c r="K223" s="4"/>
    </row>
    <row r="224" customFormat="false" ht="15" hidden="false" customHeight="false" outlineLevel="0" collapsed="false">
      <c r="A224" s="4" t="s">
        <v>19</v>
      </c>
      <c r="B224" s="4" t="s">
        <v>489</v>
      </c>
      <c r="C224" s="4" t="s">
        <v>490</v>
      </c>
      <c r="D224" s="5" t="n">
        <v>84.95</v>
      </c>
      <c r="E224" s="5" t="n">
        <v>141.58</v>
      </c>
      <c r="F224" s="11" t="n">
        <v>69.95</v>
      </c>
      <c r="G224" s="11" t="n">
        <v>116.95</v>
      </c>
      <c r="H224" s="12" t="n">
        <v>0.4</v>
      </c>
      <c r="I224" s="5" t="n">
        <f aca="false">F224-D224</f>
        <v>-15</v>
      </c>
      <c r="J224" s="6" t="n">
        <f aca="false">IF(D224=0,0,F224/D224-1)</f>
        <v>-0.176574455562095</v>
      </c>
      <c r="K224" s="4"/>
    </row>
    <row r="225" customFormat="false" ht="15" hidden="false" customHeight="false" outlineLevel="0" collapsed="false">
      <c r="A225" s="4" t="s">
        <v>19</v>
      </c>
      <c r="B225" s="4" t="s">
        <v>491</v>
      </c>
      <c r="C225" s="4" t="s">
        <v>492</v>
      </c>
      <c r="D225" s="5" t="n">
        <v>84.95</v>
      </c>
      <c r="E225" s="5" t="n">
        <v>141.58</v>
      </c>
      <c r="F225" s="11" t="n">
        <v>69.95</v>
      </c>
      <c r="G225" s="11" t="n">
        <v>116.95</v>
      </c>
      <c r="H225" s="12" t="n">
        <v>0.4</v>
      </c>
      <c r="I225" s="5" t="n">
        <f aca="false">F225-D225</f>
        <v>-15</v>
      </c>
      <c r="J225" s="6" t="n">
        <f aca="false">IF(D225=0,0,F225/D225-1)</f>
        <v>-0.176574455562095</v>
      </c>
      <c r="K225" s="4"/>
    </row>
    <row r="226" customFormat="false" ht="15" hidden="false" customHeight="false" outlineLevel="0" collapsed="false">
      <c r="A226" s="4" t="s">
        <v>19</v>
      </c>
      <c r="B226" s="4" t="s">
        <v>493</v>
      </c>
      <c r="C226" s="4" t="s">
        <v>494</v>
      </c>
      <c r="D226" s="5" t="n">
        <v>94.95</v>
      </c>
      <c r="E226" s="5" t="n">
        <v>189.9</v>
      </c>
      <c r="F226" s="11" t="n">
        <v>74.95</v>
      </c>
      <c r="G226" s="11" t="n">
        <v>149.95</v>
      </c>
      <c r="H226" s="12" t="n">
        <v>0.5</v>
      </c>
      <c r="I226" s="5" t="n">
        <f aca="false">F226-D226</f>
        <v>-20</v>
      </c>
      <c r="J226" s="6" t="n">
        <f aca="false">IF(D226=0,0,F226/D226-1)</f>
        <v>-0.210637177461822</v>
      </c>
      <c r="K226" s="4"/>
    </row>
    <row r="227" customFormat="false" ht="15" hidden="false" customHeight="false" outlineLevel="0" collapsed="false">
      <c r="A227" s="4" t="s">
        <v>19</v>
      </c>
      <c r="B227" s="4" t="s">
        <v>495</v>
      </c>
      <c r="C227" s="4" t="s">
        <v>496</v>
      </c>
      <c r="D227" s="5" t="n">
        <v>94.95</v>
      </c>
      <c r="E227" s="5" t="n">
        <v>172.64</v>
      </c>
      <c r="F227" s="11" t="n">
        <v>74.95</v>
      </c>
      <c r="G227" s="11" t="n">
        <v>136.95</v>
      </c>
      <c r="H227" s="12" t="n">
        <v>0.45</v>
      </c>
      <c r="I227" s="5" t="n">
        <f aca="false">F227-D227</f>
        <v>-20</v>
      </c>
      <c r="J227" s="6" t="n">
        <f aca="false">IF(D227=0,0,F227/D227-1)</f>
        <v>-0.210637177461822</v>
      </c>
      <c r="K227" s="4"/>
    </row>
    <row r="228" customFormat="false" ht="15" hidden="false" customHeight="false" outlineLevel="0" collapsed="false">
      <c r="A228" s="4" t="s">
        <v>19</v>
      </c>
      <c r="B228" s="4" t="s">
        <v>497</v>
      </c>
      <c r="C228" s="4" t="s">
        <v>498</v>
      </c>
      <c r="D228" s="5" t="n">
        <v>94.95</v>
      </c>
      <c r="E228" s="5" t="n">
        <v>158.25</v>
      </c>
      <c r="F228" s="11" t="n">
        <v>74.95</v>
      </c>
      <c r="G228" s="11" t="n">
        <v>124.95</v>
      </c>
      <c r="H228" s="12" t="n">
        <v>0.4</v>
      </c>
      <c r="I228" s="5" t="n">
        <f aca="false">F228-D228</f>
        <v>-20</v>
      </c>
      <c r="J228" s="6" t="n">
        <f aca="false">IF(D228=0,0,F228/D228-1)</f>
        <v>-0.210637177461822</v>
      </c>
      <c r="K228" s="4"/>
    </row>
    <row r="229" customFormat="false" ht="15" hidden="false" customHeight="false" outlineLevel="0" collapsed="false">
      <c r="A229" s="4" t="s">
        <v>19</v>
      </c>
      <c r="B229" s="4" t="s">
        <v>499</v>
      </c>
      <c r="C229" s="4" t="s">
        <v>500</v>
      </c>
      <c r="D229" s="5" t="n">
        <v>94.95</v>
      </c>
      <c r="E229" s="5" t="n">
        <v>172.64</v>
      </c>
      <c r="F229" s="11" t="n">
        <v>74.95</v>
      </c>
      <c r="G229" s="11" t="n">
        <v>136.95</v>
      </c>
      <c r="H229" s="12" t="n">
        <v>0.45</v>
      </c>
      <c r="I229" s="5" t="n">
        <f aca="false">F229-D229</f>
        <v>-20</v>
      </c>
      <c r="J229" s="6" t="n">
        <f aca="false">IF(D229=0,0,F229/D229-1)</f>
        <v>-0.210637177461822</v>
      </c>
      <c r="K229" s="4"/>
    </row>
    <row r="230" customFormat="false" ht="15" hidden="false" customHeight="false" outlineLevel="0" collapsed="false">
      <c r="A230" s="4" t="s">
        <v>22</v>
      </c>
      <c r="B230" s="4" t="s">
        <v>501</v>
      </c>
      <c r="C230" s="4" t="s">
        <v>502</v>
      </c>
      <c r="D230" s="5" t="n">
        <v>79.95</v>
      </c>
      <c r="E230" s="5" t="n">
        <v>145.36</v>
      </c>
      <c r="F230" s="11" t="n">
        <v>64.95</v>
      </c>
      <c r="G230" s="11" t="n">
        <v>118.95</v>
      </c>
      <c r="H230" s="12" t="n">
        <v>0.45</v>
      </c>
      <c r="I230" s="5" t="n">
        <f aca="false">F230-D230</f>
        <v>-15</v>
      </c>
      <c r="J230" s="6" t="n">
        <f aca="false">IF(D230=0,0,F230/D230-1)</f>
        <v>-0.187617260787992</v>
      </c>
      <c r="K230" s="4"/>
    </row>
    <row r="231" customFormat="false" ht="15" hidden="false" customHeight="false" outlineLevel="0" collapsed="false">
      <c r="A231" s="4" t="s">
        <v>22</v>
      </c>
      <c r="B231" s="4" t="s">
        <v>503</v>
      </c>
      <c r="C231" s="4" t="s">
        <v>504</v>
      </c>
      <c r="D231" s="5" t="n">
        <v>79.95</v>
      </c>
      <c r="E231" s="5" t="n">
        <v>145.36</v>
      </c>
      <c r="F231" s="11" t="n">
        <v>64.95</v>
      </c>
      <c r="G231" s="11" t="n">
        <v>118.95</v>
      </c>
      <c r="H231" s="12" t="n">
        <v>0.45</v>
      </c>
      <c r="I231" s="5" t="n">
        <f aca="false">F231-D231</f>
        <v>-15</v>
      </c>
      <c r="J231" s="6" t="n">
        <f aca="false">IF(D231=0,0,F231/D231-1)</f>
        <v>-0.187617260787992</v>
      </c>
      <c r="K231" s="4"/>
    </row>
    <row r="232" customFormat="false" ht="15" hidden="false" customHeight="false" outlineLevel="0" collapsed="false">
      <c r="A232" s="4" t="s">
        <v>22</v>
      </c>
      <c r="B232" s="4" t="s">
        <v>505</v>
      </c>
      <c r="C232" s="4" t="s">
        <v>506</v>
      </c>
      <c r="D232" s="5" t="n">
        <v>84.95</v>
      </c>
      <c r="E232" s="5" t="n">
        <v>169.9</v>
      </c>
      <c r="F232" s="11" t="n">
        <v>69.95</v>
      </c>
      <c r="G232" s="11" t="n">
        <v>139.95</v>
      </c>
      <c r="H232" s="12" t="n">
        <v>0.5</v>
      </c>
      <c r="I232" s="5" t="n">
        <f aca="false">F232-D232</f>
        <v>-15</v>
      </c>
      <c r="J232" s="6" t="n">
        <f aca="false">IF(D232=0,0,F232/D232-1)</f>
        <v>-0.176574455562095</v>
      </c>
      <c r="K232" s="4"/>
    </row>
    <row r="233" customFormat="false" ht="15" hidden="false" customHeight="false" outlineLevel="0" collapsed="false">
      <c r="A233" s="4" t="s">
        <v>22</v>
      </c>
      <c r="B233" s="4" t="s">
        <v>507</v>
      </c>
      <c r="C233" s="4" t="s">
        <v>508</v>
      </c>
      <c r="D233" s="5" t="n">
        <v>84.95</v>
      </c>
      <c r="E233" s="5" t="n">
        <v>141.58</v>
      </c>
      <c r="F233" s="11" t="n">
        <v>69.95</v>
      </c>
      <c r="G233" s="11" t="n">
        <v>116.95</v>
      </c>
      <c r="H233" s="12" t="n">
        <v>0.4</v>
      </c>
      <c r="I233" s="5" t="n">
        <f aca="false">F233-D233</f>
        <v>-15</v>
      </c>
      <c r="J233" s="6" t="n">
        <f aca="false">IF(D233=0,0,F233/D233-1)</f>
        <v>-0.176574455562095</v>
      </c>
      <c r="K233" s="4"/>
    </row>
    <row r="234" customFormat="false" ht="15" hidden="false" customHeight="false" outlineLevel="0" collapsed="false">
      <c r="A234" s="4" t="s">
        <v>22</v>
      </c>
      <c r="B234" s="4" t="s">
        <v>509</v>
      </c>
      <c r="C234" s="4" t="s">
        <v>510</v>
      </c>
      <c r="D234" s="5" t="n">
        <v>84.95</v>
      </c>
      <c r="E234" s="5" t="n">
        <v>169.9</v>
      </c>
      <c r="F234" s="11" t="n">
        <v>69.95</v>
      </c>
      <c r="G234" s="11" t="n">
        <v>139.95</v>
      </c>
      <c r="H234" s="12" t="n">
        <v>0.5</v>
      </c>
      <c r="I234" s="5" t="n">
        <f aca="false">F234-D234</f>
        <v>-15</v>
      </c>
      <c r="J234" s="6" t="n">
        <f aca="false">IF(D234=0,0,F234/D234-1)</f>
        <v>-0.176574455562095</v>
      </c>
      <c r="K234" s="4"/>
    </row>
    <row r="235" customFormat="false" ht="15" hidden="false" customHeight="false" outlineLevel="0" collapsed="false">
      <c r="A235" s="4" t="s">
        <v>22</v>
      </c>
      <c r="B235" s="4" t="s">
        <v>511</v>
      </c>
      <c r="C235" s="4" t="s">
        <v>512</v>
      </c>
      <c r="D235" s="5" t="n">
        <v>84.95</v>
      </c>
      <c r="E235" s="5" t="n">
        <v>169.9</v>
      </c>
      <c r="F235" s="11" t="n">
        <v>69.95</v>
      </c>
      <c r="G235" s="11" t="n">
        <v>139.95</v>
      </c>
      <c r="H235" s="12" t="n">
        <v>0.5</v>
      </c>
      <c r="I235" s="5" t="n">
        <f aca="false">F235-D235</f>
        <v>-15</v>
      </c>
      <c r="J235" s="6" t="n">
        <f aca="false">IF(D235=0,0,F235/D235-1)</f>
        <v>-0.176574455562095</v>
      </c>
      <c r="K235" s="4"/>
    </row>
    <row r="236" customFormat="false" ht="15" hidden="false" customHeight="false" outlineLevel="0" collapsed="false">
      <c r="A236" s="4" t="s">
        <v>22</v>
      </c>
      <c r="B236" s="4" t="s">
        <v>513</v>
      </c>
      <c r="C236" s="4" t="s">
        <v>514</v>
      </c>
      <c r="D236" s="5" t="n">
        <v>94.95</v>
      </c>
      <c r="E236" s="5" t="n">
        <v>158.25</v>
      </c>
      <c r="F236" s="11" t="n">
        <v>74.95</v>
      </c>
      <c r="G236" s="11" t="n">
        <v>124.95</v>
      </c>
      <c r="H236" s="12" t="n">
        <v>0.4</v>
      </c>
      <c r="I236" s="5" t="n">
        <f aca="false">F236-D236</f>
        <v>-20</v>
      </c>
      <c r="J236" s="6" t="n">
        <f aca="false">IF(D236=0,0,F236/D236-1)</f>
        <v>-0.210637177461822</v>
      </c>
      <c r="K236" s="4"/>
    </row>
    <row r="237" customFormat="false" ht="15" hidden="false" customHeight="false" outlineLevel="0" collapsed="false">
      <c r="A237" s="4" t="s">
        <v>22</v>
      </c>
      <c r="B237" s="4" t="s">
        <v>515</v>
      </c>
      <c r="C237" s="4" t="s">
        <v>516</v>
      </c>
      <c r="D237" s="5" t="n">
        <v>94.95</v>
      </c>
      <c r="E237" s="5" t="n">
        <v>172.64</v>
      </c>
      <c r="F237" s="11" t="n">
        <v>74.95</v>
      </c>
      <c r="G237" s="11" t="n">
        <v>136.95</v>
      </c>
      <c r="H237" s="12" t="n">
        <v>0.45</v>
      </c>
      <c r="I237" s="5" t="n">
        <f aca="false">F237-D237</f>
        <v>-20</v>
      </c>
      <c r="J237" s="6" t="n">
        <f aca="false">IF(D237=0,0,F237/D237-1)</f>
        <v>-0.210637177461822</v>
      </c>
      <c r="K237" s="4"/>
    </row>
    <row r="238" customFormat="false" ht="15" hidden="false" customHeight="false" outlineLevel="0" collapsed="false">
      <c r="A238" s="4" t="s">
        <v>22</v>
      </c>
      <c r="B238" s="4" t="s">
        <v>517</v>
      </c>
      <c r="C238" s="4" t="s">
        <v>518</v>
      </c>
      <c r="D238" s="5" t="n">
        <v>94.95</v>
      </c>
      <c r="E238" s="5" t="n">
        <v>189.9</v>
      </c>
      <c r="F238" s="11" t="n">
        <v>74.95</v>
      </c>
      <c r="G238" s="11" t="n">
        <v>149.95</v>
      </c>
      <c r="H238" s="12" t="n">
        <v>0.5</v>
      </c>
      <c r="I238" s="5" t="n">
        <f aca="false">F238-D238</f>
        <v>-20</v>
      </c>
      <c r="J238" s="6" t="n">
        <f aca="false">IF(D238=0,0,F238/D238-1)</f>
        <v>-0.210637177461822</v>
      </c>
      <c r="K238" s="4"/>
    </row>
    <row r="239" customFormat="false" ht="15" hidden="false" customHeight="false" outlineLevel="0" collapsed="false">
      <c r="A239" s="4" t="s">
        <v>22</v>
      </c>
      <c r="B239" s="4" t="s">
        <v>519</v>
      </c>
      <c r="C239" s="4" t="s">
        <v>520</v>
      </c>
      <c r="D239" s="5" t="n">
        <v>94.95</v>
      </c>
      <c r="E239" s="5" t="n">
        <v>158.25</v>
      </c>
      <c r="F239" s="11" t="n">
        <v>74.95</v>
      </c>
      <c r="G239" s="11" t="n">
        <v>124.95</v>
      </c>
      <c r="H239" s="12" t="n">
        <v>0.4</v>
      </c>
      <c r="I239" s="5" t="n">
        <f aca="false">F239-D239</f>
        <v>-20</v>
      </c>
      <c r="J239" s="6" t="n">
        <f aca="false">IF(D239=0,0,F239/D239-1)</f>
        <v>-0.210637177461822</v>
      </c>
      <c r="K239" s="4"/>
    </row>
    <row r="240" customFormat="false" ht="15" hidden="false" customHeight="false" outlineLevel="0" collapsed="false">
      <c r="A240" s="4" t="s">
        <v>22</v>
      </c>
      <c r="B240" s="4" t="s">
        <v>521</v>
      </c>
      <c r="C240" s="4" t="s">
        <v>522</v>
      </c>
      <c r="D240" s="5" t="n">
        <v>94.95</v>
      </c>
      <c r="E240" s="5" t="n">
        <v>189.9</v>
      </c>
      <c r="F240" s="11" t="n">
        <v>74.95</v>
      </c>
      <c r="G240" s="11" t="n">
        <v>149.95</v>
      </c>
      <c r="H240" s="12" t="n">
        <v>0.5</v>
      </c>
      <c r="I240" s="5" t="n">
        <f aca="false">F240-D240</f>
        <v>-20</v>
      </c>
      <c r="J240" s="6" t="n">
        <f aca="false">IF(D240=0,0,F240/D240-1)</f>
        <v>-0.210637177461822</v>
      </c>
      <c r="K240" s="4"/>
    </row>
    <row r="241" customFormat="false" ht="15" hidden="false" customHeight="false" outlineLevel="0" collapsed="false">
      <c r="A241" s="4" t="s">
        <v>22</v>
      </c>
      <c r="B241" s="4" t="s">
        <v>523</v>
      </c>
      <c r="C241" s="4" t="s">
        <v>524</v>
      </c>
      <c r="D241" s="5" t="n">
        <v>94.95</v>
      </c>
      <c r="E241" s="5" t="n">
        <v>189.9</v>
      </c>
      <c r="F241" s="11" t="n">
        <v>74.95</v>
      </c>
      <c r="G241" s="11" t="n">
        <v>149.95</v>
      </c>
      <c r="H241" s="12" t="n">
        <v>0.5</v>
      </c>
      <c r="I241" s="5" t="n">
        <f aca="false">F241-D241</f>
        <v>-20</v>
      </c>
      <c r="J241" s="6" t="n">
        <f aca="false">IF(D241=0,0,F241/D241-1)</f>
        <v>-0.210637177461822</v>
      </c>
      <c r="K241" s="4"/>
    </row>
    <row r="242" customFormat="false" ht="15" hidden="false" customHeight="false" outlineLevel="0" collapsed="false">
      <c r="A242" s="4" t="s">
        <v>22</v>
      </c>
      <c r="B242" s="4" t="s">
        <v>525</v>
      </c>
      <c r="C242" s="4" t="s">
        <v>526</v>
      </c>
      <c r="D242" s="5" t="n">
        <v>94.95</v>
      </c>
      <c r="E242" s="5" t="n">
        <v>172.64</v>
      </c>
      <c r="F242" s="11" t="n">
        <v>74.95</v>
      </c>
      <c r="G242" s="11" t="n">
        <v>136.95</v>
      </c>
      <c r="H242" s="12" t="n">
        <v>0.45</v>
      </c>
      <c r="I242" s="5" t="n">
        <f aca="false">F242-D242</f>
        <v>-20</v>
      </c>
      <c r="J242" s="6" t="n">
        <f aca="false">IF(D242=0,0,F242/D242-1)</f>
        <v>-0.210637177461822</v>
      </c>
      <c r="K242" s="4"/>
    </row>
    <row r="243" customFormat="false" ht="15" hidden="false" customHeight="false" outlineLevel="0" collapsed="false">
      <c r="A243" s="4" t="s">
        <v>22</v>
      </c>
      <c r="B243" s="4" t="s">
        <v>527</v>
      </c>
      <c r="C243" s="4" t="s">
        <v>528</v>
      </c>
      <c r="D243" s="5" t="n">
        <v>94.95</v>
      </c>
      <c r="E243" s="5" t="n">
        <v>189.9</v>
      </c>
      <c r="F243" s="11" t="n">
        <v>74.95</v>
      </c>
      <c r="G243" s="11" t="n">
        <v>149.95</v>
      </c>
      <c r="H243" s="12" t="n">
        <v>0.5</v>
      </c>
      <c r="I243" s="5" t="n">
        <f aca="false">F243-D243</f>
        <v>-20</v>
      </c>
      <c r="J243" s="6" t="n">
        <f aca="false">IF(D243=0,0,F243/D243-1)</f>
        <v>-0.210637177461822</v>
      </c>
      <c r="K243" s="4"/>
    </row>
    <row r="244" customFormat="false" ht="15" hidden="false" customHeight="false" outlineLevel="0" collapsed="false">
      <c r="A244" s="4" t="s">
        <v>22</v>
      </c>
      <c r="B244" s="4" t="s">
        <v>529</v>
      </c>
      <c r="C244" s="4" t="s">
        <v>530</v>
      </c>
      <c r="D244" s="5" t="n">
        <v>94.95</v>
      </c>
      <c r="E244" s="5" t="n">
        <v>158.25</v>
      </c>
      <c r="F244" s="11" t="n">
        <v>74.95</v>
      </c>
      <c r="G244" s="11" t="n">
        <v>124.95</v>
      </c>
      <c r="H244" s="12" t="n">
        <v>0.4</v>
      </c>
      <c r="I244" s="5" t="n">
        <f aca="false">F244-D244</f>
        <v>-20</v>
      </c>
      <c r="J244" s="6" t="n">
        <f aca="false">IF(D244=0,0,F244/D244-1)</f>
        <v>-0.210637177461822</v>
      </c>
      <c r="K244" s="4"/>
    </row>
    <row r="245" customFormat="false" ht="15" hidden="false" customHeight="false" outlineLevel="0" collapsed="false">
      <c r="A245" s="4" t="s">
        <v>22</v>
      </c>
      <c r="B245" s="4" t="s">
        <v>531</v>
      </c>
      <c r="C245" s="4" t="s">
        <v>532</v>
      </c>
      <c r="D245" s="5" t="n">
        <v>94.95</v>
      </c>
      <c r="E245" s="5" t="n">
        <v>158.25</v>
      </c>
      <c r="F245" s="11" t="n">
        <v>74.95</v>
      </c>
      <c r="G245" s="11" t="n">
        <v>124.95</v>
      </c>
      <c r="H245" s="12" t="n">
        <v>0.4</v>
      </c>
      <c r="I245" s="5" t="n">
        <f aca="false">F245-D245</f>
        <v>-20</v>
      </c>
      <c r="J245" s="6" t="n">
        <f aca="false">IF(D245=0,0,F245/D245-1)</f>
        <v>-0.210637177461822</v>
      </c>
      <c r="K245" s="4"/>
    </row>
    <row r="246" customFormat="false" ht="15" hidden="false" customHeight="false" outlineLevel="0" collapsed="false">
      <c r="A246" s="4" t="s">
        <v>14</v>
      </c>
      <c r="B246" s="4" t="s">
        <v>533</v>
      </c>
      <c r="C246" s="4" t="s">
        <v>534</v>
      </c>
      <c r="D246" s="5" t="n">
        <v>54.95</v>
      </c>
      <c r="E246" s="5" t="n">
        <v>99.91</v>
      </c>
      <c r="F246" s="11" t="n">
        <v>54.95</v>
      </c>
      <c r="G246" s="11" t="n">
        <v>99.95</v>
      </c>
      <c r="H246" s="12" t="n">
        <v>0.45</v>
      </c>
      <c r="I246" s="5" t="n">
        <f aca="false">F246-D246</f>
        <v>0</v>
      </c>
      <c r="J246" s="6" t="n">
        <f aca="false">IF(D246=0,0,F246/D246-1)</f>
        <v>0</v>
      </c>
      <c r="K246" s="4"/>
    </row>
    <row r="247" customFormat="false" ht="15" hidden="false" customHeight="false" outlineLevel="0" collapsed="false">
      <c r="A247" s="4" t="s">
        <v>14</v>
      </c>
      <c r="B247" s="4" t="s">
        <v>535</v>
      </c>
      <c r="C247" s="4" t="s">
        <v>536</v>
      </c>
      <c r="D247" s="5" t="n">
        <v>59.95</v>
      </c>
      <c r="E247" s="5" t="n">
        <v>109</v>
      </c>
      <c r="F247" s="11" t="n">
        <v>54.95</v>
      </c>
      <c r="G247" s="11" t="n">
        <v>99.95</v>
      </c>
      <c r="H247" s="12" t="n">
        <v>0.45</v>
      </c>
      <c r="I247" s="5" t="n">
        <f aca="false">F247-D247</f>
        <v>-5</v>
      </c>
      <c r="J247" s="6" t="n">
        <f aca="false">IF(D247=0,0,F247/D247-1)</f>
        <v>-0.0834028356964137</v>
      </c>
      <c r="K247" s="4"/>
    </row>
    <row r="248" customFormat="false" ht="15" hidden="false" customHeight="false" outlineLevel="0" collapsed="false">
      <c r="A248" s="4" t="s">
        <v>14</v>
      </c>
      <c r="B248" s="4" t="s">
        <v>537</v>
      </c>
      <c r="C248" s="4" t="s">
        <v>538</v>
      </c>
      <c r="D248" s="5" t="n">
        <v>54.95</v>
      </c>
      <c r="E248" s="5" t="n">
        <v>109.9</v>
      </c>
      <c r="F248" s="11" t="n">
        <v>54.95</v>
      </c>
      <c r="G248" s="11" t="n">
        <v>109.95</v>
      </c>
      <c r="H248" s="12" t="n">
        <v>0.5</v>
      </c>
      <c r="I248" s="5" t="n">
        <f aca="false">F248-D248</f>
        <v>0</v>
      </c>
      <c r="J248" s="6" t="n">
        <f aca="false">IF(D248=0,0,F248/D248-1)</f>
        <v>0</v>
      </c>
      <c r="K248" s="4"/>
    </row>
    <row r="249" customFormat="false" ht="15" hidden="false" customHeight="false" outlineLevel="0" collapsed="false">
      <c r="A249" s="4" t="s">
        <v>14</v>
      </c>
      <c r="B249" s="4" t="s">
        <v>539</v>
      </c>
      <c r="C249" s="4" t="s">
        <v>540</v>
      </c>
      <c r="D249" s="5" t="n">
        <v>54.95</v>
      </c>
      <c r="E249" s="5" t="n">
        <v>91.58</v>
      </c>
      <c r="F249" s="11" t="n">
        <v>54.95</v>
      </c>
      <c r="G249" s="11" t="n">
        <v>91.95</v>
      </c>
      <c r="H249" s="12" t="n">
        <v>0.4</v>
      </c>
      <c r="I249" s="5" t="n">
        <f aca="false">F249-D249</f>
        <v>0</v>
      </c>
      <c r="J249" s="6" t="n">
        <f aca="false">IF(D249=0,0,F249/D249-1)</f>
        <v>0</v>
      </c>
      <c r="K249" s="4"/>
    </row>
    <row r="250" customFormat="false" ht="15" hidden="false" customHeight="false" outlineLevel="0" collapsed="false">
      <c r="A250" s="4" t="s">
        <v>14</v>
      </c>
      <c r="B250" s="4" t="s">
        <v>541</v>
      </c>
      <c r="C250" s="4" t="s">
        <v>542</v>
      </c>
      <c r="D250" s="5" t="n">
        <v>79.95</v>
      </c>
      <c r="E250" s="5" t="n">
        <v>145.36</v>
      </c>
      <c r="F250" s="11" t="n">
        <v>59.95</v>
      </c>
      <c r="G250" s="11" t="n">
        <v>108.95</v>
      </c>
      <c r="H250" s="12" t="n">
        <v>0.45</v>
      </c>
      <c r="I250" s="5" t="n">
        <f aca="false">F250-D250</f>
        <v>-20</v>
      </c>
      <c r="J250" s="6" t="n">
        <f aca="false">IF(D250=0,0,F250/D250-1)</f>
        <v>-0.250156347717323</v>
      </c>
      <c r="K250" s="4"/>
    </row>
    <row r="251" customFormat="false" ht="15" hidden="false" customHeight="false" outlineLevel="0" collapsed="false">
      <c r="A251" s="4" t="s">
        <v>14</v>
      </c>
      <c r="B251" s="4" t="s">
        <v>543</v>
      </c>
      <c r="C251" s="4" t="s">
        <v>544</v>
      </c>
      <c r="D251" s="5" t="n">
        <v>79.95</v>
      </c>
      <c r="E251" s="5" t="n">
        <v>133.25</v>
      </c>
      <c r="F251" s="11" t="n">
        <v>59.95</v>
      </c>
      <c r="G251" s="11" t="n">
        <v>99.95</v>
      </c>
      <c r="H251" s="12" t="n">
        <v>0.4</v>
      </c>
      <c r="I251" s="5" t="n">
        <f aca="false">F251-D251</f>
        <v>-20</v>
      </c>
      <c r="J251" s="6" t="n">
        <f aca="false">IF(D251=0,0,F251/D251-1)</f>
        <v>-0.250156347717323</v>
      </c>
      <c r="K251" s="4"/>
    </row>
    <row r="252" customFormat="false" ht="15" hidden="false" customHeight="false" outlineLevel="0" collapsed="false">
      <c r="A252" s="4" t="s">
        <v>14</v>
      </c>
      <c r="B252" s="4" t="s">
        <v>545</v>
      </c>
      <c r="C252" s="4" t="s">
        <v>546</v>
      </c>
      <c r="D252" s="5" t="n">
        <v>79.95</v>
      </c>
      <c r="E252" s="5" t="n">
        <v>133.25</v>
      </c>
      <c r="F252" s="11" t="n">
        <v>59.95</v>
      </c>
      <c r="G252" s="11" t="n">
        <v>99.95</v>
      </c>
      <c r="H252" s="12" t="n">
        <v>0.4</v>
      </c>
      <c r="I252" s="5" t="n">
        <f aca="false">F252-D252</f>
        <v>-20</v>
      </c>
      <c r="J252" s="6" t="n">
        <f aca="false">IF(D252=0,0,F252/D252-1)</f>
        <v>-0.250156347717323</v>
      </c>
      <c r="K252" s="4"/>
    </row>
    <row r="253" customFormat="false" ht="15" hidden="false" customHeight="false" outlineLevel="0" collapsed="false">
      <c r="A253" s="4" t="s">
        <v>14</v>
      </c>
      <c r="B253" s="4" t="s">
        <v>547</v>
      </c>
      <c r="C253" s="4" t="s">
        <v>548</v>
      </c>
      <c r="D253" s="5" t="n">
        <v>79.95</v>
      </c>
      <c r="E253" s="5" t="n">
        <v>145.36</v>
      </c>
      <c r="F253" s="11" t="n">
        <v>59.95</v>
      </c>
      <c r="G253" s="11" t="n">
        <v>108.95</v>
      </c>
      <c r="H253" s="12" t="n">
        <v>0.45</v>
      </c>
      <c r="I253" s="5" t="n">
        <f aca="false">F253-D253</f>
        <v>-20</v>
      </c>
      <c r="J253" s="6" t="n">
        <f aca="false">IF(D253=0,0,F253/D253-1)</f>
        <v>-0.250156347717323</v>
      </c>
      <c r="K253" s="4"/>
    </row>
    <row r="254" customFormat="false" ht="15" hidden="false" customHeight="false" outlineLevel="0" collapsed="false">
      <c r="A254" s="4" t="s">
        <v>14</v>
      </c>
      <c r="B254" s="4" t="s">
        <v>549</v>
      </c>
      <c r="C254" s="4" t="s">
        <v>550</v>
      </c>
      <c r="D254" s="5" t="n">
        <v>79.95</v>
      </c>
      <c r="E254" s="5" t="n">
        <v>133.25</v>
      </c>
      <c r="F254" s="11" t="n">
        <v>59.95</v>
      </c>
      <c r="G254" s="11" t="n">
        <v>99.95</v>
      </c>
      <c r="H254" s="12" t="n">
        <v>0.4</v>
      </c>
      <c r="I254" s="5" t="n">
        <f aca="false">F254-D254</f>
        <v>-20</v>
      </c>
      <c r="J254" s="6" t="n">
        <f aca="false">IF(D254=0,0,F254/D254-1)</f>
        <v>-0.250156347717323</v>
      </c>
      <c r="K254" s="4"/>
    </row>
    <row r="255" customFormat="false" ht="15" hidden="false" customHeight="false" outlineLevel="0" collapsed="false">
      <c r="A255" s="4" t="s">
        <v>14</v>
      </c>
      <c r="B255" s="4" t="s">
        <v>551</v>
      </c>
      <c r="C255" s="4" t="s">
        <v>552</v>
      </c>
      <c r="D255" s="5" t="n">
        <v>64.95</v>
      </c>
      <c r="E255" s="5" t="n">
        <v>118.09</v>
      </c>
      <c r="F255" s="11" t="n">
        <v>59.95</v>
      </c>
      <c r="G255" s="11" t="n">
        <v>108.95</v>
      </c>
      <c r="H255" s="12" t="n">
        <v>0.45</v>
      </c>
      <c r="I255" s="5" t="n">
        <f aca="false">F255-D255</f>
        <v>-5</v>
      </c>
      <c r="J255" s="6" t="n">
        <f aca="false">IF(D255=0,0,F255/D255-1)</f>
        <v>-0.0769822940723633</v>
      </c>
      <c r="K255" s="4"/>
    </row>
    <row r="256" customFormat="false" ht="15" hidden="false" customHeight="false" outlineLevel="0" collapsed="false">
      <c r="A256" s="4" t="s">
        <v>14</v>
      </c>
      <c r="B256" s="4" t="s">
        <v>553</v>
      </c>
      <c r="C256" s="4" t="s">
        <v>554</v>
      </c>
      <c r="D256" s="5" t="n">
        <v>64.95</v>
      </c>
      <c r="E256" s="5" t="n">
        <v>129.9</v>
      </c>
      <c r="F256" s="11" t="n">
        <v>59.95</v>
      </c>
      <c r="G256" s="11" t="n">
        <v>119.95</v>
      </c>
      <c r="H256" s="12" t="n">
        <v>0.5</v>
      </c>
      <c r="I256" s="5" t="n">
        <f aca="false">F256-D256</f>
        <v>-5</v>
      </c>
      <c r="J256" s="6" t="n">
        <f aca="false">IF(D256=0,0,F256/D256-1)</f>
        <v>-0.0769822940723633</v>
      </c>
      <c r="K256" s="4"/>
    </row>
    <row r="257" customFormat="false" ht="15" hidden="false" customHeight="false" outlineLevel="0" collapsed="false">
      <c r="A257" s="4" t="s">
        <v>14</v>
      </c>
      <c r="B257" s="4" t="s">
        <v>555</v>
      </c>
      <c r="C257" s="4" t="s">
        <v>556</v>
      </c>
      <c r="D257" s="5" t="n">
        <v>64.95</v>
      </c>
      <c r="E257" s="5" t="n">
        <v>108.25</v>
      </c>
      <c r="F257" s="11" t="n">
        <v>59.95</v>
      </c>
      <c r="G257" s="11" t="n">
        <v>99.95</v>
      </c>
      <c r="H257" s="12" t="n">
        <v>0.4</v>
      </c>
      <c r="I257" s="5" t="n">
        <f aca="false">F257-D257</f>
        <v>-5</v>
      </c>
      <c r="J257" s="6" t="n">
        <f aca="false">IF(D257=0,0,F257/D257-1)</f>
        <v>-0.0769822940723633</v>
      </c>
      <c r="K257" s="4"/>
    </row>
    <row r="258" customFormat="false" ht="15" hidden="false" customHeight="false" outlineLevel="0" collapsed="false">
      <c r="A258" s="4" t="s">
        <v>14</v>
      </c>
      <c r="B258" s="4" t="s">
        <v>557</v>
      </c>
      <c r="C258" s="4" t="s">
        <v>558</v>
      </c>
      <c r="D258" s="5" t="n">
        <v>64.95</v>
      </c>
      <c r="E258" s="5" t="n">
        <v>108.25</v>
      </c>
      <c r="F258" s="11" t="n">
        <v>59.95</v>
      </c>
      <c r="G258" s="11" t="n">
        <v>99.95</v>
      </c>
      <c r="H258" s="12" t="n">
        <v>0.4</v>
      </c>
      <c r="I258" s="5" t="n">
        <f aca="false">F258-D258</f>
        <v>-5</v>
      </c>
      <c r="J258" s="6" t="n">
        <f aca="false">IF(D258=0,0,F258/D258-1)</f>
        <v>-0.0769822940723633</v>
      </c>
      <c r="K258" s="4"/>
    </row>
    <row r="259" customFormat="false" ht="15" hidden="false" customHeight="false" outlineLevel="0" collapsed="false">
      <c r="A259" s="4" t="s">
        <v>14</v>
      </c>
      <c r="B259" s="4" t="s">
        <v>559</v>
      </c>
      <c r="C259" s="4" t="s">
        <v>560</v>
      </c>
      <c r="D259" s="5" t="n">
        <v>69.95</v>
      </c>
      <c r="E259" s="5" t="n">
        <v>139.9</v>
      </c>
      <c r="F259" s="11" t="n">
        <v>59.95</v>
      </c>
      <c r="G259" s="11" t="n">
        <v>119.95</v>
      </c>
      <c r="H259" s="12" t="n">
        <v>0.5</v>
      </c>
      <c r="I259" s="5" t="n">
        <f aca="false">F259-D259</f>
        <v>-10</v>
      </c>
      <c r="J259" s="6" t="n">
        <f aca="false">IF(D259=0,0,F259/D259-1)</f>
        <v>-0.142959256611866</v>
      </c>
      <c r="K259" s="4"/>
    </row>
    <row r="260" customFormat="false" ht="15" hidden="false" customHeight="false" outlineLevel="0" collapsed="false">
      <c r="A260" s="4" t="s">
        <v>14</v>
      </c>
      <c r="B260" s="4" t="s">
        <v>561</v>
      </c>
      <c r="C260" s="4" t="s">
        <v>562</v>
      </c>
      <c r="D260" s="5" t="n">
        <v>79.95</v>
      </c>
      <c r="E260" s="5" t="n">
        <v>159.9</v>
      </c>
      <c r="F260" s="11" t="n">
        <v>59.95</v>
      </c>
      <c r="G260" s="11" t="n">
        <v>119.95</v>
      </c>
      <c r="H260" s="12" t="n">
        <v>0.5</v>
      </c>
      <c r="I260" s="5" t="n">
        <f aca="false">F260-D260</f>
        <v>-20</v>
      </c>
      <c r="J260" s="6" t="n">
        <f aca="false">IF(D260=0,0,F260/D260-1)</f>
        <v>-0.250156347717323</v>
      </c>
      <c r="K260" s="4"/>
    </row>
    <row r="261" customFormat="false" ht="15" hidden="false" customHeight="false" outlineLevel="0" collapsed="false">
      <c r="A261" s="4" t="s">
        <v>14</v>
      </c>
      <c r="B261" s="4" t="s">
        <v>563</v>
      </c>
      <c r="C261" s="4" t="s">
        <v>564</v>
      </c>
      <c r="D261" s="5" t="n">
        <v>69.95</v>
      </c>
      <c r="E261" s="5" t="n">
        <v>116.58</v>
      </c>
      <c r="F261" s="11" t="n">
        <v>59.95</v>
      </c>
      <c r="G261" s="11" t="n">
        <v>99.95</v>
      </c>
      <c r="H261" s="12" t="n">
        <v>0.4</v>
      </c>
      <c r="I261" s="5" t="n">
        <f aca="false">F261-D261</f>
        <v>-10</v>
      </c>
      <c r="J261" s="6" t="n">
        <f aca="false">IF(D261=0,0,F261/D261-1)</f>
        <v>-0.142959256611866</v>
      </c>
      <c r="K261" s="4"/>
    </row>
    <row r="262" customFormat="false" ht="15" hidden="false" customHeight="false" outlineLevel="0" collapsed="false">
      <c r="A262" s="4" t="s">
        <v>14</v>
      </c>
      <c r="B262" s="4" t="s">
        <v>565</v>
      </c>
      <c r="C262" s="4" t="s">
        <v>566</v>
      </c>
      <c r="D262" s="5" t="n">
        <v>69.95</v>
      </c>
      <c r="E262" s="5" t="n">
        <v>139.9</v>
      </c>
      <c r="F262" s="11" t="n">
        <v>59.95</v>
      </c>
      <c r="G262" s="11" t="n">
        <v>119.95</v>
      </c>
      <c r="H262" s="12" t="n">
        <v>0.5</v>
      </c>
      <c r="I262" s="5" t="n">
        <f aca="false">F262-D262</f>
        <v>-10</v>
      </c>
      <c r="J262" s="6" t="n">
        <f aca="false">IF(D262=0,0,F262/D262-1)</f>
        <v>-0.142959256611866</v>
      </c>
      <c r="K262" s="4"/>
    </row>
    <row r="263" customFormat="false" ht="15" hidden="false" customHeight="false" outlineLevel="0" collapsed="false">
      <c r="A263" s="4" t="s">
        <v>14</v>
      </c>
      <c r="B263" s="4" t="s">
        <v>567</v>
      </c>
      <c r="C263" s="4" t="s">
        <v>568</v>
      </c>
      <c r="D263" s="5" t="n">
        <v>79.95</v>
      </c>
      <c r="E263" s="5" t="n">
        <v>145.36</v>
      </c>
      <c r="F263" s="11" t="n">
        <v>59.95</v>
      </c>
      <c r="G263" s="11" t="n">
        <v>108.95</v>
      </c>
      <c r="H263" s="12" t="n">
        <v>0.45</v>
      </c>
      <c r="I263" s="5" t="n">
        <f aca="false">F263-D263</f>
        <v>-20</v>
      </c>
      <c r="J263" s="6" t="n">
        <f aca="false">IF(D263=0,0,F263/D263-1)</f>
        <v>-0.250156347717323</v>
      </c>
      <c r="K263" s="4"/>
    </row>
    <row r="264" customFormat="false" ht="15" hidden="false" customHeight="false" outlineLevel="0" collapsed="false">
      <c r="A264" s="4" t="s">
        <v>14</v>
      </c>
      <c r="B264" s="4" t="s">
        <v>569</v>
      </c>
      <c r="C264" s="4" t="s">
        <v>570</v>
      </c>
      <c r="D264" s="5" t="n">
        <v>79.95</v>
      </c>
      <c r="E264" s="5" t="n">
        <v>145.36</v>
      </c>
      <c r="F264" s="11" t="n">
        <v>59.95</v>
      </c>
      <c r="G264" s="11" t="n">
        <v>108.95</v>
      </c>
      <c r="H264" s="12" t="n">
        <v>0.45</v>
      </c>
      <c r="I264" s="5" t="n">
        <f aca="false">F264-D264</f>
        <v>-20</v>
      </c>
      <c r="J264" s="6" t="n">
        <f aca="false">IF(D264=0,0,F264/D264-1)</f>
        <v>-0.250156347717323</v>
      </c>
      <c r="K264" s="4"/>
    </row>
    <row r="265" customFormat="false" ht="15" hidden="false" customHeight="false" outlineLevel="0" collapsed="false">
      <c r="A265" s="4" t="s">
        <v>14</v>
      </c>
      <c r="B265" s="4" t="s">
        <v>571</v>
      </c>
      <c r="C265" s="4" t="s">
        <v>572</v>
      </c>
      <c r="D265" s="5" t="n">
        <v>79.95</v>
      </c>
      <c r="E265" s="5" t="n">
        <v>133.25</v>
      </c>
      <c r="F265" s="11" t="n">
        <v>59.95</v>
      </c>
      <c r="G265" s="11" t="n">
        <v>99.95</v>
      </c>
      <c r="H265" s="12" t="n">
        <v>0.4</v>
      </c>
      <c r="I265" s="5" t="n">
        <f aca="false">F265-D265</f>
        <v>-20</v>
      </c>
      <c r="J265" s="6" t="n">
        <f aca="false">IF(D265=0,0,F265/D265-1)</f>
        <v>-0.250156347717323</v>
      </c>
      <c r="K265" s="4"/>
    </row>
    <row r="266" customFormat="false" ht="15" hidden="false" customHeight="false" outlineLevel="0" collapsed="false">
      <c r="A266" s="4" t="s">
        <v>14</v>
      </c>
      <c r="B266" s="4" t="s">
        <v>573</v>
      </c>
      <c r="C266" s="4" t="s">
        <v>574</v>
      </c>
      <c r="D266" s="5" t="n">
        <v>69.95</v>
      </c>
      <c r="E266" s="5" t="n">
        <v>139.9</v>
      </c>
      <c r="F266" s="11" t="n">
        <v>59.95</v>
      </c>
      <c r="G266" s="11" t="n">
        <v>119.95</v>
      </c>
      <c r="H266" s="12" t="n">
        <v>0.5</v>
      </c>
      <c r="I266" s="5" t="n">
        <f aca="false">F266-D266</f>
        <v>-10</v>
      </c>
      <c r="J266" s="6" t="n">
        <f aca="false">IF(D266=0,0,F266/D266-1)</f>
        <v>-0.142959256611866</v>
      </c>
      <c r="K266" s="4"/>
    </row>
    <row r="267" customFormat="false" ht="15" hidden="false" customHeight="false" outlineLevel="0" collapsed="false">
      <c r="A267" s="4" t="s">
        <v>14</v>
      </c>
      <c r="B267" s="4" t="s">
        <v>575</v>
      </c>
      <c r="C267" s="4" t="s">
        <v>576</v>
      </c>
      <c r="D267" s="5" t="n">
        <v>79.95</v>
      </c>
      <c r="E267" s="5" t="n">
        <v>145.36</v>
      </c>
      <c r="F267" s="11" t="n">
        <v>59.95</v>
      </c>
      <c r="G267" s="11" t="n">
        <v>108.95</v>
      </c>
      <c r="H267" s="12" t="n">
        <v>0.45</v>
      </c>
      <c r="I267" s="5" t="n">
        <f aca="false">F267-D267</f>
        <v>-20</v>
      </c>
      <c r="J267" s="6" t="n">
        <f aca="false">IF(D267=0,0,F267/D267-1)</f>
        <v>-0.250156347717323</v>
      </c>
      <c r="K267" s="4"/>
    </row>
    <row r="268" customFormat="false" ht="15" hidden="false" customHeight="false" outlineLevel="0" collapsed="false">
      <c r="A268" s="4" t="s">
        <v>14</v>
      </c>
      <c r="B268" s="4" t="s">
        <v>577</v>
      </c>
      <c r="C268" s="4" t="s">
        <v>578</v>
      </c>
      <c r="D268" s="5" t="n">
        <v>79.95</v>
      </c>
      <c r="E268" s="5" t="n">
        <v>145.36</v>
      </c>
      <c r="F268" s="11" t="n">
        <v>59.95</v>
      </c>
      <c r="G268" s="11" t="n">
        <v>108.95</v>
      </c>
      <c r="H268" s="12" t="n">
        <v>0.45</v>
      </c>
      <c r="I268" s="5" t="n">
        <f aca="false">F268-D268</f>
        <v>-20</v>
      </c>
      <c r="J268" s="6" t="n">
        <f aca="false">IF(D268=0,0,F268/D268-1)</f>
        <v>-0.250156347717323</v>
      </c>
      <c r="K268" s="4"/>
    </row>
    <row r="269" customFormat="false" ht="15" hidden="false" customHeight="false" outlineLevel="0" collapsed="false">
      <c r="A269" s="4" t="s">
        <v>14</v>
      </c>
      <c r="B269" s="4" t="s">
        <v>579</v>
      </c>
      <c r="C269" s="4" t="s">
        <v>580</v>
      </c>
      <c r="D269" s="5" t="n">
        <v>79.95</v>
      </c>
      <c r="E269" s="5" t="n">
        <v>159.9</v>
      </c>
      <c r="F269" s="11" t="n">
        <v>59.95</v>
      </c>
      <c r="G269" s="11" t="n">
        <v>119.95</v>
      </c>
      <c r="H269" s="12" t="n">
        <v>0.5</v>
      </c>
      <c r="I269" s="5" t="n">
        <f aca="false">F269-D269</f>
        <v>-20</v>
      </c>
      <c r="J269" s="6" t="n">
        <f aca="false">IF(D269=0,0,F269/D269-1)</f>
        <v>-0.250156347717323</v>
      </c>
      <c r="K269" s="4"/>
    </row>
    <row r="270" customFormat="false" ht="15" hidden="false" customHeight="false" outlineLevel="0" collapsed="false">
      <c r="A270" s="4" t="s">
        <v>14</v>
      </c>
      <c r="B270" s="4" t="s">
        <v>581</v>
      </c>
      <c r="C270" s="4" t="s">
        <v>582</v>
      </c>
      <c r="D270" s="5" t="n">
        <v>79.95</v>
      </c>
      <c r="E270" s="5" t="n">
        <v>159.9</v>
      </c>
      <c r="F270" s="11" t="n">
        <v>59.95</v>
      </c>
      <c r="G270" s="11" t="n">
        <v>119.95</v>
      </c>
      <c r="H270" s="12" t="n">
        <v>0.5</v>
      </c>
      <c r="I270" s="5" t="n">
        <f aca="false">F270-D270</f>
        <v>-20</v>
      </c>
      <c r="J270" s="6" t="n">
        <f aca="false">IF(D270=0,0,F270/D270-1)</f>
        <v>-0.250156347717323</v>
      </c>
      <c r="K270" s="4"/>
    </row>
    <row r="271" customFormat="false" ht="15" hidden="false" customHeight="false" outlineLevel="0" collapsed="false">
      <c r="A271" s="4" t="s">
        <v>14</v>
      </c>
      <c r="B271" s="4" t="s">
        <v>583</v>
      </c>
      <c r="C271" s="4" t="s">
        <v>584</v>
      </c>
      <c r="D271" s="5" t="n">
        <v>79.95</v>
      </c>
      <c r="E271" s="5" t="n">
        <v>145.36</v>
      </c>
      <c r="F271" s="11" t="n">
        <v>59.95</v>
      </c>
      <c r="G271" s="11" t="n">
        <v>108.95</v>
      </c>
      <c r="H271" s="12" t="n">
        <v>0.45</v>
      </c>
      <c r="I271" s="5" t="n">
        <f aca="false">F271-D271</f>
        <v>-20</v>
      </c>
      <c r="J271" s="6" t="n">
        <f aca="false">IF(D271=0,0,F271/D271-1)</f>
        <v>-0.250156347717323</v>
      </c>
      <c r="K271" s="4"/>
    </row>
    <row r="272" customFormat="false" ht="15" hidden="false" customHeight="false" outlineLevel="0" collapsed="false">
      <c r="A272" s="4" t="s">
        <v>14</v>
      </c>
      <c r="B272" s="4" t="s">
        <v>585</v>
      </c>
      <c r="C272" s="4" t="s">
        <v>586</v>
      </c>
      <c r="D272" s="5" t="n">
        <v>69.95</v>
      </c>
      <c r="E272" s="5" t="n">
        <v>139.9</v>
      </c>
      <c r="F272" s="11" t="n">
        <v>59.95</v>
      </c>
      <c r="G272" s="11" t="n">
        <v>119.95</v>
      </c>
      <c r="H272" s="12" t="n">
        <v>0.5</v>
      </c>
      <c r="I272" s="5" t="n">
        <f aca="false">F272-D272</f>
        <v>-10</v>
      </c>
      <c r="J272" s="6" t="n">
        <f aca="false">IF(D272=0,0,F272/D272-1)</f>
        <v>-0.142959256611866</v>
      </c>
      <c r="K272" s="4"/>
    </row>
    <row r="273" customFormat="false" ht="15" hidden="false" customHeight="false" outlineLevel="0" collapsed="false">
      <c r="A273" s="4" t="s">
        <v>14</v>
      </c>
      <c r="B273" s="4" t="s">
        <v>587</v>
      </c>
      <c r="C273" s="4" t="s">
        <v>588</v>
      </c>
      <c r="D273" s="5" t="n">
        <v>69.95</v>
      </c>
      <c r="E273" s="5" t="n">
        <v>127.18</v>
      </c>
      <c r="F273" s="11" t="n">
        <v>59.95</v>
      </c>
      <c r="G273" s="11" t="n">
        <v>108.95</v>
      </c>
      <c r="H273" s="12" t="n">
        <v>0.45</v>
      </c>
      <c r="I273" s="5" t="n">
        <f aca="false">F273-D273</f>
        <v>-10</v>
      </c>
      <c r="J273" s="6" t="n">
        <f aca="false">IF(D273=0,0,F273/D273-1)</f>
        <v>-0.142959256611866</v>
      </c>
      <c r="K273" s="4"/>
    </row>
    <row r="274" customFormat="false" ht="15" hidden="false" customHeight="false" outlineLevel="0" collapsed="false">
      <c r="A274" s="4" t="s">
        <v>14</v>
      </c>
      <c r="B274" s="4" t="s">
        <v>589</v>
      </c>
      <c r="C274" s="4" t="s">
        <v>590</v>
      </c>
      <c r="D274" s="5" t="n">
        <v>69.95</v>
      </c>
      <c r="E274" s="5" t="n">
        <v>139.9</v>
      </c>
      <c r="F274" s="11" t="n">
        <v>59.95</v>
      </c>
      <c r="G274" s="11" t="n">
        <v>119.95</v>
      </c>
      <c r="H274" s="12" t="n">
        <v>0.5</v>
      </c>
      <c r="I274" s="5" t="n">
        <f aca="false">F274-D274</f>
        <v>-10</v>
      </c>
      <c r="J274" s="6" t="n">
        <f aca="false">IF(D274=0,0,F274/D274-1)</f>
        <v>-0.142959256611866</v>
      </c>
      <c r="K274" s="4"/>
    </row>
    <row r="275" customFormat="false" ht="15" hidden="false" customHeight="false" outlineLevel="0" collapsed="false">
      <c r="A275" s="4" t="s">
        <v>14</v>
      </c>
      <c r="B275" s="4" t="s">
        <v>591</v>
      </c>
      <c r="C275" s="4" t="s">
        <v>592</v>
      </c>
      <c r="D275" s="5" t="n">
        <v>84.95</v>
      </c>
      <c r="E275" s="5" t="n">
        <v>169.9</v>
      </c>
      <c r="F275" s="11" t="n">
        <v>59.95</v>
      </c>
      <c r="G275" s="11" t="n">
        <v>119.95</v>
      </c>
      <c r="H275" s="12" t="n">
        <v>0.5</v>
      </c>
      <c r="I275" s="5" t="n">
        <f aca="false">F275-D275</f>
        <v>-25</v>
      </c>
      <c r="J275" s="6" t="n">
        <f aca="false">IF(D275=0,0,F275/D275-1)</f>
        <v>-0.294290759270159</v>
      </c>
      <c r="K275" s="4"/>
    </row>
    <row r="276" customFormat="false" ht="15" hidden="false" customHeight="false" outlineLevel="0" collapsed="false">
      <c r="A276" s="4" t="s">
        <v>14</v>
      </c>
      <c r="B276" s="4" t="s">
        <v>593</v>
      </c>
      <c r="C276" s="4" t="s">
        <v>594</v>
      </c>
      <c r="D276" s="5" t="n">
        <v>69.95</v>
      </c>
      <c r="E276" s="5" t="n">
        <v>139.9</v>
      </c>
      <c r="F276" s="11" t="n">
        <v>59.95</v>
      </c>
      <c r="G276" s="11" t="n">
        <v>119.95</v>
      </c>
      <c r="H276" s="12" t="n">
        <v>0.5</v>
      </c>
      <c r="I276" s="5" t="n">
        <f aca="false">F276-D276</f>
        <v>-10</v>
      </c>
      <c r="J276" s="6" t="n">
        <f aca="false">IF(D276=0,0,F276/D276-1)</f>
        <v>-0.142959256611866</v>
      </c>
      <c r="K276" s="4"/>
    </row>
    <row r="277" customFormat="false" ht="15" hidden="false" customHeight="false" outlineLevel="0" collapsed="false">
      <c r="A277" s="4" t="s">
        <v>14</v>
      </c>
      <c r="B277" s="4" t="s">
        <v>595</v>
      </c>
      <c r="C277" s="4" t="s">
        <v>596</v>
      </c>
      <c r="D277" s="5" t="n">
        <v>69.95</v>
      </c>
      <c r="E277" s="5" t="n">
        <v>127.18</v>
      </c>
      <c r="F277" s="11" t="n">
        <v>59.95</v>
      </c>
      <c r="G277" s="11" t="n">
        <v>108.95</v>
      </c>
      <c r="H277" s="12" t="n">
        <v>0.45</v>
      </c>
      <c r="I277" s="5" t="n">
        <f aca="false">F277-D277</f>
        <v>-10</v>
      </c>
      <c r="J277" s="6" t="n">
        <f aca="false">IF(D277=0,0,F277/D277-1)</f>
        <v>-0.142959256611866</v>
      </c>
      <c r="K277" s="4"/>
    </row>
    <row r="278" customFormat="false" ht="15" hidden="false" customHeight="false" outlineLevel="0" collapsed="false">
      <c r="A278" s="4" t="s">
        <v>14</v>
      </c>
      <c r="B278" s="4" t="s">
        <v>597</v>
      </c>
      <c r="C278" s="4" t="s">
        <v>598</v>
      </c>
      <c r="D278" s="5" t="n">
        <v>79.95</v>
      </c>
      <c r="E278" s="5" t="n">
        <v>145.36</v>
      </c>
      <c r="F278" s="11" t="n">
        <v>59.95</v>
      </c>
      <c r="G278" s="11" t="n">
        <v>108.95</v>
      </c>
      <c r="H278" s="12" t="n">
        <v>0.45</v>
      </c>
      <c r="I278" s="5" t="n">
        <f aca="false">F278-D278</f>
        <v>-20</v>
      </c>
      <c r="J278" s="6" t="n">
        <f aca="false">IF(D278=0,0,F278/D278-1)</f>
        <v>-0.250156347717323</v>
      </c>
      <c r="K278" s="4"/>
    </row>
    <row r="279" customFormat="false" ht="15" hidden="false" customHeight="false" outlineLevel="0" collapsed="false">
      <c r="A279" s="4" t="s">
        <v>14</v>
      </c>
      <c r="B279" s="4" t="s">
        <v>599</v>
      </c>
      <c r="C279" s="4" t="s">
        <v>600</v>
      </c>
      <c r="D279" s="5" t="n">
        <v>94.95</v>
      </c>
      <c r="E279" s="5" t="n">
        <v>189.9</v>
      </c>
      <c r="F279" s="11" t="n">
        <v>64.95</v>
      </c>
      <c r="G279" s="11" t="n">
        <v>129.95</v>
      </c>
      <c r="H279" s="12" t="n">
        <v>0.5</v>
      </c>
      <c r="I279" s="5" t="n">
        <f aca="false">F279-D279</f>
        <v>-30</v>
      </c>
      <c r="J279" s="6" t="n">
        <f aca="false">IF(D279=0,0,F279/D279-1)</f>
        <v>-0.315955766192733</v>
      </c>
      <c r="K279" s="4"/>
    </row>
    <row r="280" customFormat="false" ht="15" hidden="false" customHeight="false" outlineLevel="0" collapsed="false">
      <c r="A280" s="4" t="s">
        <v>14</v>
      </c>
      <c r="B280" s="4" t="s">
        <v>601</v>
      </c>
      <c r="C280" s="4" t="s">
        <v>602</v>
      </c>
      <c r="D280" s="5" t="n">
        <v>94.95</v>
      </c>
      <c r="E280" s="5" t="n">
        <v>158.25</v>
      </c>
      <c r="F280" s="11" t="n">
        <v>64.95</v>
      </c>
      <c r="G280" s="11" t="n">
        <v>108.95</v>
      </c>
      <c r="H280" s="12" t="n">
        <v>0.4</v>
      </c>
      <c r="I280" s="5" t="n">
        <f aca="false">F280-D280</f>
        <v>-30</v>
      </c>
      <c r="J280" s="6" t="n">
        <f aca="false">IF(D280=0,0,F280/D280-1)</f>
        <v>-0.315955766192733</v>
      </c>
      <c r="K280" s="4"/>
    </row>
    <row r="281" customFormat="false" ht="15" hidden="false" customHeight="false" outlineLevel="0" collapsed="false">
      <c r="A281" s="4" t="s">
        <v>14</v>
      </c>
      <c r="B281" s="4" t="s">
        <v>603</v>
      </c>
      <c r="C281" s="4" t="s">
        <v>604</v>
      </c>
      <c r="D281" s="5" t="n">
        <v>94.95</v>
      </c>
      <c r="E281" s="5" t="n">
        <v>189.9</v>
      </c>
      <c r="F281" s="11" t="n">
        <v>64.95</v>
      </c>
      <c r="G281" s="11" t="n">
        <v>129.95</v>
      </c>
      <c r="H281" s="12" t="n">
        <v>0.5</v>
      </c>
      <c r="I281" s="5" t="n">
        <f aca="false">F281-D281</f>
        <v>-30</v>
      </c>
      <c r="J281" s="6" t="n">
        <f aca="false">IF(D281=0,0,F281/D281-1)</f>
        <v>-0.315955766192733</v>
      </c>
      <c r="K281" s="4"/>
    </row>
    <row r="282" customFormat="false" ht="15" hidden="false" customHeight="false" outlineLevel="0" collapsed="false">
      <c r="A282" s="4" t="s">
        <v>23</v>
      </c>
      <c r="B282" s="4" t="s">
        <v>605</v>
      </c>
      <c r="C282" s="4" t="s">
        <v>606</v>
      </c>
      <c r="D282" s="5" t="n">
        <v>84.95</v>
      </c>
      <c r="E282" s="5" t="n">
        <v>141.58</v>
      </c>
      <c r="F282" s="11" t="n">
        <v>69.95</v>
      </c>
      <c r="G282" s="11" t="n">
        <v>116.95</v>
      </c>
      <c r="H282" s="12" t="n">
        <v>0.4</v>
      </c>
      <c r="I282" s="5" t="n">
        <f aca="false">F282-D282</f>
        <v>-15</v>
      </c>
      <c r="J282" s="6" t="n">
        <f aca="false">IF(D282=0,0,F282/D282-1)</f>
        <v>-0.176574455562095</v>
      </c>
      <c r="K282" s="4"/>
    </row>
    <row r="283" customFormat="false" ht="15" hidden="false" customHeight="false" outlineLevel="0" collapsed="false">
      <c r="A283" s="4" t="s">
        <v>23</v>
      </c>
      <c r="B283" s="4" t="s">
        <v>607</v>
      </c>
      <c r="C283" s="4" t="s">
        <v>608</v>
      </c>
      <c r="D283" s="5" t="n">
        <v>79.95</v>
      </c>
      <c r="E283" s="5" t="n">
        <v>145.36</v>
      </c>
      <c r="F283" s="11" t="n">
        <v>69.95</v>
      </c>
      <c r="G283" s="11" t="n">
        <v>127.95</v>
      </c>
      <c r="H283" s="12" t="n">
        <v>0.45</v>
      </c>
      <c r="I283" s="5" t="n">
        <f aca="false">F283-D283</f>
        <v>-10</v>
      </c>
      <c r="J283" s="6" t="n">
        <f aca="false">IF(D283=0,0,F283/D283-1)</f>
        <v>-0.125078173858662</v>
      </c>
      <c r="K283" s="4"/>
    </row>
    <row r="284" customFormat="false" ht="15" hidden="false" customHeight="false" outlineLevel="0" collapsed="false">
      <c r="A284" s="4" t="s">
        <v>23</v>
      </c>
      <c r="B284" s="4" t="s">
        <v>609</v>
      </c>
      <c r="C284" s="4" t="s">
        <v>610</v>
      </c>
      <c r="D284" s="5" t="n">
        <v>84.95</v>
      </c>
      <c r="E284" s="5" t="n">
        <v>154.45</v>
      </c>
      <c r="F284" s="11" t="n">
        <v>69.95</v>
      </c>
      <c r="G284" s="11" t="n">
        <v>127.95</v>
      </c>
      <c r="H284" s="12" t="n">
        <v>0.45</v>
      </c>
      <c r="I284" s="5" t="n">
        <f aca="false">F284-D284</f>
        <v>-15</v>
      </c>
      <c r="J284" s="6" t="n">
        <f aca="false">IF(D284=0,0,F284/D284-1)</f>
        <v>-0.176574455562095</v>
      </c>
      <c r="K284" s="4"/>
    </row>
    <row r="285" customFormat="false" ht="15" hidden="false" customHeight="false" outlineLevel="0" collapsed="false">
      <c r="A285" s="4" t="s">
        <v>23</v>
      </c>
      <c r="B285" s="4" t="s">
        <v>611</v>
      </c>
      <c r="C285" s="4" t="s">
        <v>612</v>
      </c>
      <c r="D285" s="5" t="n">
        <v>89.95</v>
      </c>
      <c r="E285" s="5" t="n">
        <v>179.9</v>
      </c>
      <c r="F285" s="11" t="n">
        <v>74.95</v>
      </c>
      <c r="G285" s="11" t="n">
        <v>149.95</v>
      </c>
      <c r="H285" s="12" t="n">
        <v>0.5</v>
      </c>
      <c r="I285" s="5" t="n">
        <f aca="false">F285-D285</f>
        <v>-15</v>
      </c>
      <c r="J285" s="6" t="n">
        <f aca="false">IF(D285=0,0,F285/D285-1)</f>
        <v>-0.166759310728182</v>
      </c>
      <c r="K285" s="4"/>
    </row>
    <row r="286" customFormat="false" ht="15" hidden="false" customHeight="false" outlineLevel="0" collapsed="false">
      <c r="A286" s="4" t="s">
        <v>23</v>
      </c>
      <c r="B286" s="4" t="s">
        <v>613</v>
      </c>
      <c r="C286" s="4" t="s">
        <v>614</v>
      </c>
      <c r="D286" s="5" t="n">
        <v>99.95</v>
      </c>
      <c r="E286" s="5" t="n">
        <v>199.9</v>
      </c>
      <c r="F286" s="11" t="n">
        <v>79.95</v>
      </c>
      <c r="G286" s="11" t="n">
        <v>159.95</v>
      </c>
      <c r="H286" s="12" t="n">
        <v>0.5</v>
      </c>
      <c r="I286" s="5" t="n">
        <f aca="false">F286-D286</f>
        <v>-20</v>
      </c>
      <c r="J286" s="6" t="n">
        <f aca="false">IF(D286=0,0,F286/D286-1)</f>
        <v>-0.200100050025013</v>
      </c>
      <c r="K286" s="4"/>
    </row>
    <row r="287" customFormat="false" ht="15" hidden="false" customHeight="false" outlineLevel="0" collapsed="false">
      <c r="A287" s="4" t="s">
        <v>23</v>
      </c>
      <c r="B287" s="4" t="s">
        <v>615</v>
      </c>
      <c r="C287" s="4" t="s">
        <v>616</v>
      </c>
      <c r="D287" s="5" t="n">
        <v>99.95</v>
      </c>
      <c r="E287" s="5" t="n">
        <v>181.73</v>
      </c>
      <c r="F287" s="11" t="n">
        <v>79.95</v>
      </c>
      <c r="G287" s="11" t="n">
        <v>145.95</v>
      </c>
      <c r="H287" s="12" t="n">
        <v>0.45</v>
      </c>
      <c r="I287" s="5" t="n">
        <f aca="false">F287-D287</f>
        <v>-20</v>
      </c>
      <c r="J287" s="6" t="n">
        <f aca="false">IF(D287=0,0,F287/D287-1)</f>
        <v>-0.200100050025013</v>
      </c>
      <c r="K287" s="4"/>
    </row>
    <row r="288" customFormat="false" ht="15" hidden="false" customHeight="false" outlineLevel="0" collapsed="false">
      <c r="A288" s="4" t="s">
        <v>23</v>
      </c>
      <c r="B288" s="4" t="s">
        <v>617</v>
      </c>
      <c r="C288" s="4" t="s">
        <v>618</v>
      </c>
      <c r="D288" s="5" t="n">
        <v>99.95</v>
      </c>
      <c r="E288" s="5" t="n">
        <v>199.9</v>
      </c>
      <c r="F288" s="11" t="n">
        <v>79.95</v>
      </c>
      <c r="G288" s="11" t="n">
        <v>159.95</v>
      </c>
      <c r="H288" s="12" t="n">
        <v>0.5</v>
      </c>
      <c r="I288" s="5" t="n">
        <f aca="false">F288-D288</f>
        <v>-20</v>
      </c>
      <c r="J288" s="6" t="n">
        <f aca="false">IF(D288=0,0,F288/D288-1)</f>
        <v>-0.200100050025013</v>
      </c>
      <c r="K288" s="4"/>
    </row>
    <row r="289" customFormat="false" ht="15" hidden="false" customHeight="false" outlineLevel="0" collapsed="false">
      <c r="A289" s="4" t="s">
        <v>23</v>
      </c>
      <c r="B289" s="4" t="s">
        <v>619</v>
      </c>
      <c r="C289" s="4" t="s">
        <v>620</v>
      </c>
      <c r="D289" s="5" t="n">
        <v>99.95</v>
      </c>
      <c r="E289" s="5" t="n">
        <v>199.9</v>
      </c>
      <c r="F289" s="11" t="n">
        <v>79.95</v>
      </c>
      <c r="G289" s="11" t="n">
        <v>159.95</v>
      </c>
      <c r="H289" s="12" t="n">
        <v>0.5</v>
      </c>
      <c r="I289" s="5" t="n">
        <f aca="false">F289-D289</f>
        <v>-20</v>
      </c>
      <c r="J289" s="6" t="n">
        <f aca="false">IF(D289=0,0,F289/D289-1)</f>
        <v>-0.200100050025013</v>
      </c>
      <c r="K289" s="4"/>
    </row>
    <row r="290" customFormat="false" ht="15" hidden="false" customHeight="false" outlineLevel="0" collapsed="false">
      <c r="A290" s="4" t="s">
        <v>23</v>
      </c>
      <c r="B290" s="4" t="s">
        <v>621</v>
      </c>
      <c r="C290" s="4" t="s">
        <v>622</v>
      </c>
      <c r="D290" s="5" t="n">
        <v>99.95</v>
      </c>
      <c r="E290" s="5" t="n">
        <v>199.9</v>
      </c>
      <c r="F290" s="11" t="n">
        <v>79.95</v>
      </c>
      <c r="G290" s="11" t="n">
        <v>159.95</v>
      </c>
      <c r="H290" s="12" t="n">
        <v>0.5</v>
      </c>
      <c r="I290" s="5" t="n">
        <f aca="false">F290-D290</f>
        <v>-20</v>
      </c>
      <c r="J290" s="6" t="n">
        <f aca="false">IF(D290=0,0,F290/D290-1)</f>
        <v>-0.200100050025013</v>
      </c>
      <c r="K290" s="4"/>
    </row>
    <row r="291" customFormat="false" ht="15" hidden="false" customHeight="false" outlineLevel="0" collapsed="false">
      <c r="A291" s="4" t="s">
        <v>23</v>
      </c>
      <c r="B291" s="4" t="s">
        <v>623</v>
      </c>
      <c r="C291" s="4" t="s">
        <v>624</v>
      </c>
      <c r="D291" s="5" t="n">
        <v>99.95</v>
      </c>
      <c r="E291" s="5" t="n">
        <v>166.58</v>
      </c>
      <c r="F291" s="11" t="n">
        <v>79.95</v>
      </c>
      <c r="G291" s="11" t="n">
        <v>133.95</v>
      </c>
      <c r="H291" s="12" t="n">
        <v>0.4</v>
      </c>
      <c r="I291" s="5" t="n">
        <f aca="false">F291-D291</f>
        <v>-20</v>
      </c>
      <c r="J291" s="6" t="n">
        <f aca="false">IF(D291=0,0,F291/D291-1)</f>
        <v>-0.200100050025013</v>
      </c>
      <c r="K291" s="4"/>
    </row>
    <row r="292" customFormat="false" ht="15" hidden="false" customHeight="false" outlineLevel="0" collapsed="false">
      <c r="A292" s="4" t="s">
        <v>12</v>
      </c>
      <c r="B292" s="4" t="s">
        <v>625</v>
      </c>
      <c r="C292" s="4" t="s">
        <v>626</v>
      </c>
      <c r="D292" s="5" t="n">
        <v>54.95</v>
      </c>
      <c r="E292" s="5" t="n">
        <v>99.91</v>
      </c>
      <c r="F292" s="11" t="n">
        <v>49.95</v>
      </c>
      <c r="G292" s="11" t="n">
        <v>90.95</v>
      </c>
      <c r="H292" s="12" t="n">
        <v>0.45</v>
      </c>
      <c r="I292" s="5" t="n">
        <f aca="false">F292-D292</f>
        <v>-5</v>
      </c>
      <c r="J292" s="6" t="n">
        <f aca="false">IF(D292=0,0,F292/D292-1)</f>
        <v>-0.0909918107370337</v>
      </c>
      <c r="K292" s="4"/>
    </row>
    <row r="293" customFormat="false" ht="15" hidden="false" customHeight="false" outlineLevel="0" collapsed="false">
      <c r="A293" s="4" t="s">
        <v>12</v>
      </c>
      <c r="B293" s="4" t="s">
        <v>627</v>
      </c>
      <c r="C293" s="4" t="s">
        <v>628</v>
      </c>
      <c r="D293" s="5" t="n">
        <v>54.95</v>
      </c>
      <c r="E293" s="5" t="n">
        <v>99.91</v>
      </c>
      <c r="F293" s="11" t="n">
        <v>49.95</v>
      </c>
      <c r="G293" s="11" t="n">
        <v>90.95</v>
      </c>
      <c r="H293" s="12" t="n">
        <v>0.45</v>
      </c>
      <c r="I293" s="5" t="n">
        <f aca="false">F293-D293</f>
        <v>-5</v>
      </c>
      <c r="J293" s="6" t="n">
        <f aca="false">IF(D293=0,0,F293/D293-1)</f>
        <v>-0.0909918107370337</v>
      </c>
      <c r="K293" s="4"/>
    </row>
    <row r="294" customFormat="false" ht="15" hidden="false" customHeight="false" outlineLevel="0" collapsed="false">
      <c r="A294" s="4" t="s">
        <v>12</v>
      </c>
      <c r="B294" s="4" t="s">
        <v>629</v>
      </c>
      <c r="C294" s="4" t="s">
        <v>630</v>
      </c>
      <c r="D294" s="5" t="n">
        <v>49.95</v>
      </c>
      <c r="E294" s="5" t="n">
        <v>90.82</v>
      </c>
      <c r="F294" s="11" t="n">
        <v>49.95</v>
      </c>
      <c r="G294" s="11" t="n">
        <v>90.95</v>
      </c>
      <c r="H294" s="12" t="n">
        <v>0.45</v>
      </c>
      <c r="I294" s="5" t="n">
        <f aca="false">F294-D294</f>
        <v>0</v>
      </c>
      <c r="J294" s="6" t="n">
        <f aca="false">IF(D294=0,0,F294/D294-1)</f>
        <v>0</v>
      </c>
      <c r="K294" s="4"/>
    </row>
    <row r="295" customFormat="false" ht="15" hidden="false" customHeight="false" outlineLevel="0" collapsed="false">
      <c r="A295" s="4" t="s">
        <v>12</v>
      </c>
      <c r="B295" s="4" t="s">
        <v>631</v>
      </c>
      <c r="C295" s="4" t="s">
        <v>632</v>
      </c>
      <c r="D295" s="5" t="n">
        <v>54.95</v>
      </c>
      <c r="E295" s="5" t="n">
        <v>91.58</v>
      </c>
      <c r="F295" s="11" t="n">
        <v>49.95</v>
      </c>
      <c r="G295" s="11" t="n">
        <v>83.95</v>
      </c>
      <c r="H295" s="12" t="n">
        <v>0.4</v>
      </c>
      <c r="I295" s="5" t="n">
        <f aca="false">F295-D295</f>
        <v>-5</v>
      </c>
      <c r="J295" s="6" t="n">
        <f aca="false">IF(D295=0,0,F295/D295-1)</f>
        <v>-0.0909918107370337</v>
      </c>
      <c r="K295" s="4"/>
    </row>
    <row r="296" customFormat="false" ht="15" hidden="false" customHeight="false" outlineLevel="0" collapsed="false">
      <c r="A296" s="4" t="s">
        <v>12</v>
      </c>
      <c r="B296" s="4" t="s">
        <v>633</v>
      </c>
      <c r="C296" s="4" t="s">
        <v>634</v>
      </c>
      <c r="D296" s="5" t="n">
        <v>49.95</v>
      </c>
      <c r="E296" s="5" t="n">
        <v>99.9</v>
      </c>
      <c r="F296" s="11" t="n">
        <v>49.95</v>
      </c>
      <c r="G296" s="11" t="n">
        <v>99.95</v>
      </c>
      <c r="H296" s="12" t="n">
        <v>0.5</v>
      </c>
      <c r="I296" s="5" t="n">
        <f aca="false">F296-D296</f>
        <v>0</v>
      </c>
      <c r="J296" s="6" t="n">
        <f aca="false">IF(D296=0,0,F296/D296-1)</f>
        <v>0</v>
      </c>
      <c r="K296" s="4"/>
    </row>
    <row r="297" customFormat="false" ht="15" hidden="false" customHeight="false" outlineLevel="0" collapsed="false">
      <c r="A297" s="4" t="s">
        <v>12</v>
      </c>
      <c r="B297" s="4" t="s">
        <v>635</v>
      </c>
      <c r="C297" s="4" t="s">
        <v>636</v>
      </c>
      <c r="D297" s="5" t="n">
        <v>54.95</v>
      </c>
      <c r="E297" s="5" t="n">
        <v>109.9</v>
      </c>
      <c r="F297" s="11" t="n">
        <v>49.95</v>
      </c>
      <c r="G297" s="11" t="n">
        <v>99.95</v>
      </c>
      <c r="H297" s="12" t="n">
        <v>0.5</v>
      </c>
      <c r="I297" s="5" t="n">
        <f aca="false">F297-D297</f>
        <v>-5</v>
      </c>
      <c r="J297" s="6" t="n">
        <f aca="false">IF(D297=0,0,F297/D297-1)</f>
        <v>-0.0909918107370337</v>
      </c>
      <c r="K297" s="4"/>
    </row>
    <row r="298" customFormat="false" ht="15" hidden="false" customHeight="false" outlineLevel="0" collapsed="false">
      <c r="A298" s="4" t="s">
        <v>12</v>
      </c>
      <c r="B298" s="4" t="s">
        <v>637</v>
      </c>
      <c r="C298" s="4" t="s">
        <v>638</v>
      </c>
      <c r="D298" s="5" t="n">
        <v>64.95</v>
      </c>
      <c r="E298" s="5" t="n">
        <v>118.09</v>
      </c>
      <c r="F298" s="11" t="n">
        <v>54.95</v>
      </c>
      <c r="G298" s="11" t="n">
        <v>99.95</v>
      </c>
      <c r="H298" s="12" t="n">
        <v>0.45</v>
      </c>
      <c r="I298" s="5" t="n">
        <f aca="false">F298-D298</f>
        <v>-10</v>
      </c>
      <c r="J298" s="6" t="n">
        <f aca="false">IF(D298=0,0,F298/D298-1)</f>
        <v>-0.153964588144727</v>
      </c>
      <c r="K298" s="4"/>
    </row>
    <row r="299" customFormat="false" ht="15" hidden="false" customHeight="false" outlineLevel="0" collapsed="false">
      <c r="A299" s="4" t="s">
        <v>12</v>
      </c>
      <c r="B299" s="4" t="s">
        <v>639</v>
      </c>
      <c r="C299" s="4" t="s">
        <v>640</v>
      </c>
      <c r="D299" s="5" t="n">
        <v>64.95</v>
      </c>
      <c r="E299" s="5" t="n">
        <v>118.09</v>
      </c>
      <c r="F299" s="11" t="n">
        <v>54.95</v>
      </c>
      <c r="G299" s="11" t="n">
        <v>99.95</v>
      </c>
      <c r="H299" s="12" t="n">
        <v>0.45</v>
      </c>
      <c r="I299" s="5" t="n">
        <f aca="false">F299-D299</f>
        <v>-10</v>
      </c>
      <c r="J299" s="6" t="n">
        <f aca="false">IF(D299=0,0,F299/D299-1)</f>
        <v>-0.153964588144727</v>
      </c>
      <c r="K299" s="4"/>
    </row>
    <row r="300" customFormat="false" ht="15" hidden="false" customHeight="false" outlineLevel="0" collapsed="false">
      <c r="A300" s="4" t="s">
        <v>12</v>
      </c>
      <c r="B300" s="4" t="s">
        <v>641</v>
      </c>
      <c r="C300" s="4" t="s">
        <v>642</v>
      </c>
      <c r="D300" s="5" t="n">
        <v>64.95</v>
      </c>
      <c r="E300" s="5" t="n">
        <v>129.9</v>
      </c>
      <c r="F300" s="11" t="n">
        <v>54.95</v>
      </c>
      <c r="G300" s="11" t="n">
        <v>109.95</v>
      </c>
      <c r="H300" s="12" t="n">
        <v>0.5</v>
      </c>
      <c r="I300" s="5" t="n">
        <f aca="false">F300-D300</f>
        <v>-10</v>
      </c>
      <c r="J300" s="6" t="n">
        <f aca="false">IF(D300=0,0,F300/D300-1)</f>
        <v>-0.153964588144727</v>
      </c>
      <c r="K300" s="4"/>
    </row>
    <row r="301" customFormat="false" ht="15" hidden="false" customHeight="false" outlineLevel="0" collapsed="false">
      <c r="A301" s="4" t="s">
        <v>12</v>
      </c>
      <c r="B301" s="4" t="s">
        <v>643</v>
      </c>
      <c r="C301" s="4" t="s">
        <v>644</v>
      </c>
      <c r="D301" s="5" t="n">
        <v>64.95</v>
      </c>
      <c r="E301" s="5" t="n">
        <v>129.9</v>
      </c>
      <c r="F301" s="11" t="n">
        <v>54.95</v>
      </c>
      <c r="G301" s="11" t="n">
        <v>109.95</v>
      </c>
      <c r="H301" s="12" t="n">
        <v>0.5</v>
      </c>
      <c r="I301" s="5" t="n">
        <f aca="false">F301-D301</f>
        <v>-10</v>
      </c>
      <c r="J301" s="6" t="n">
        <f aca="false">IF(D301=0,0,F301/D301-1)</f>
        <v>-0.153964588144727</v>
      </c>
      <c r="K301" s="4"/>
    </row>
    <row r="302" customFormat="false" ht="15" hidden="false" customHeight="false" outlineLevel="0" collapsed="false">
      <c r="A302" s="4" t="s">
        <v>12</v>
      </c>
      <c r="B302" s="4" t="s">
        <v>645</v>
      </c>
      <c r="C302" s="4" t="s">
        <v>646</v>
      </c>
      <c r="D302" s="5" t="n">
        <v>64.95</v>
      </c>
      <c r="E302" s="5" t="n">
        <v>118.09</v>
      </c>
      <c r="F302" s="11" t="n">
        <v>54.95</v>
      </c>
      <c r="G302" s="11" t="n">
        <v>99.95</v>
      </c>
      <c r="H302" s="12" t="n">
        <v>0.45</v>
      </c>
      <c r="I302" s="5" t="n">
        <f aca="false">F302-D302</f>
        <v>-10</v>
      </c>
      <c r="J302" s="6" t="n">
        <f aca="false">IF(D302=0,0,F302/D302-1)</f>
        <v>-0.153964588144727</v>
      </c>
      <c r="K302" s="4"/>
    </row>
    <row r="303" customFormat="false" ht="15" hidden="false" customHeight="false" outlineLevel="0" collapsed="false">
      <c r="A303" s="4" t="s">
        <v>12</v>
      </c>
      <c r="B303" s="4" t="s">
        <v>647</v>
      </c>
      <c r="C303" s="4" t="s">
        <v>648</v>
      </c>
      <c r="D303" s="5" t="n">
        <v>64.95</v>
      </c>
      <c r="E303" s="5" t="n">
        <v>129.9</v>
      </c>
      <c r="F303" s="11" t="n">
        <v>54.95</v>
      </c>
      <c r="G303" s="11" t="n">
        <v>109.95</v>
      </c>
      <c r="H303" s="12" t="n">
        <v>0.5</v>
      </c>
      <c r="I303" s="5" t="n">
        <f aca="false">F303-D303</f>
        <v>-10</v>
      </c>
      <c r="J303" s="6" t="n">
        <f aca="false">IF(D303=0,0,F303/D303-1)</f>
        <v>-0.153964588144727</v>
      </c>
      <c r="K303" s="4"/>
    </row>
    <row r="304" customFormat="false" ht="15" hidden="false" customHeight="false" outlineLevel="0" collapsed="false">
      <c r="A304" s="4" t="s">
        <v>12</v>
      </c>
      <c r="B304" s="4" t="s">
        <v>649</v>
      </c>
      <c r="C304" s="4" t="s">
        <v>650</v>
      </c>
      <c r="D304" s="5" t="n">
        <v>64.95</v>
      </c>
      <c r="E304" s="5" t="n">
        <v>118.09</v>
      </c>
      <c r="F304" s="11" t="n">
        <v>54.95</v>
      </c>
      <c r="G304" s="11" t="n">
        <v>99.95</v>
      </c>
      <c r="H304" s="12" t="n">
        <v>0.45</v>
      </c>
      <c r="I304" s="5" t="n">
        <f aca="false">F304-D304</f>
        <v>-10</v>
      </c>
      <c r="J304" s="6" t="n">
        <f aca="false">IF(D304=0,0,F304/D304-1)</f>
        <v>-0.153964588144727</v>
      </c>
      <c r="K304" s="4"/>
    </row>
    <row r="305" customFormat="false" ht="15" hidden="false" customHeight="false" outlineLevel="0" collapsed="false">
      <c r="A305" s="4" t="s">
        <v>12</v>
      </c>
      <c r="B305" s="4" t="s">
        <v>651</v>
      </c>
      <c r="C305" s="4" t="s">
        <v>652</v>
      </c>
      <c r="D305" s="5" t="n">
        <v>64.95</v>
      </c>
      <c r="E305" s="5" t="n">
        <v>108.25</v>
      </c>
      <c r="F305" s="11" t="n">
        <v>54.95</v>
      </c>
      <c r="G305" s="11" t="n">
        <v>91.95</v>
      </c>
      <c r="H305" s="12" t="n">
        <v>0.4</v>
      </c>
      <c r="I305" s="5" t="n">
        <f aca="false">F305-D305</f>
        <v>-10</v>
      </c>
      <c r="J305" s="6" t="n">
        <f aca="false">IF(D305=0,0,F305/D305-1)</f>
        <v>-0.153964588144727</v>
      </c>
      <c r="K305" s="4"/>
    </row>
    <row r="306" customFormat="false" ht="15" hidden="false" customHeight="false" outlineLevel="0" collapsed="false">
      <c r="A306" s="4" t="s">
        <v>12</v>
      </c>
      <c r="B306" s="4" t="s">
        <v>653</v>
      </c>
      <c r="C306" s="4" t="s">
        <v>654</v>
      </c>
      <c r="D306" s="5" t="n">
        <v>64.95</v>
      </c>
      <c r="E306" s="5" t="n">
        <v>108.25</v>
      </c>
      <c r="F306" s="11" t="n">
        <v>54.95</v>
      </c>
      <c r="G306" s="11" t="n">
        <v>91.95</v>
      </c>
      <c r="H306" s="12" t="n">
        <v>0.4</v>
      </c>
      <c r="I306" s="5" t="n">
        <f aca="false">F306-D306</f>
        <v>-10</v>
      </c>
      <c r="J306" s="6" t="n">
        <f aca="false">IF(D306=0,0,F306/D306-1)</f>
        <v>-0.153964588144727</v>
      </c>
      <c r="K306" s="4"/>
    </row>
    <row r="307" customFormat="false" ht="15" hidden="false" customHeight="false" outlineLevel="0" collapsed="false">
      <c r="A307" s="4" t="s">
        <v>12</v>
      </c>
      <c r="B307" s="4" t="s">
        <v>655</v>
      </c>
      <c r="C307" s="4" t="s">
        <v>656</v>
      </c>
      <c r="D307" s="5" t="n">
        <v>64.95</v>
      </c>
      <c r="E307" s="5" t="n">
        <v>108.25</v>
      </c>
      <c r="F307" s="11" t="n">
        <v>54.95</v>
      </c>
      <c r="G307" s="11" t="n">
        <v>91.95</v>
      </c>
      <c r="H307" s="12" t="n">
        <v>0.4</v>
      </c>
      <c r="I307" s="5" t="n">
        <f aca="false">F307-D307</f>
        <v>-10</v>
      </c>
      <c r="J307" s="6" t="n">
        <f aca="false">IF(D307=0,0,F307/D307-1)</f>
        <v>-0.153964588144727</v>
      </c>
      <c r="K307" s="4"/>
    </row>
    <row r="308" customFormat="false" ht="15" hidden="false" customHeight="false" outlineLevel="0" collapsed="false">
      <c r="A308" s="4" t="s">
        <v>15</v>
      </c>
      <c r="B308" s="4" t="s">
        <v>657</v>
      </c>
      <c r="C308" s="4" t="s">
        <v>658</v>
      </c>
      <c r="D308" s="5" t="n">
        <v>54.95</v>
      </c>
      <c r="E308" s="5" t="n">
        <v>99.91</v>
      </c>
      <c r="F308" s="11" t="n">
        <v>54.95</v>
      </c>
      <c r="G308" s="11" t="n">
        <v>99.95</v>
      </c>
      <c r="H308" s="12" t="n">
        <v>0.45</v>
      </c>
      <c r="I308" s="5" t="n">
        <f aca="false">F308-D308</f>
        <v>0</v>
      </c>
      <c r="J308" s="6" t="n">
        <f aca="false">IF(D308=0,0,F308/D308-1)</f>
        <v>0</v>
      </c>
      <c r="K308" s="4"/>
    </row>
    <row r="309" customFormat="false" ht="15" hidden="false" customHeight="false" outlineLevel="0" collapsed="false">
      <c r="A309" s="4" t="s">
        <v>15</v>
      </c>
      <c r="B309" s="4" t="s">
        <v>659</v>
      </c>
      <c r="C309" s="4" t="s">
        <v>660</v>
      </c>
      <c r="D309" s="5" t="n">
        <v>54.95</v>
      </c>
      <c r="E309" s="5" t="n">
        <v>91.58</v>
      </c>
      <c r="F309" s="11" t="n">
        <v>54.95</v>
      </c>
      <c r="G309" s="11" t="n">
        <v>91.95</v>
      </c>
      <c r="H309" s="12" t="n">
        <v>0.4</v>
      </c>
      <c r="I309" s="5" t="n">
        <f aca="false">F309-D309</f>
        <v>0</v>
      </c>
      <c r="J309" s="6" t="n">
        <f aca="false">IF(D309=0,0,F309/D309-1)</f>
        <v>0</v>
      </c>
      <c r="K309" s="4"/>
    </row>
    <row r="310" customFormat="false" ht="15" hidden="false" customHeight="false" outlineLevel="0" collapsed="false">
      <c r="A310" s="4" t="s">
        <v>15</v>
      </c>
      <c r="B310" s="4" t="s">
        <v>661</v>
      </c>
      <c r="C310" s="4" t="s">
        <v>662</v>
      </c>
      <c r="D310" s="5" t="n">
        <v>64.95</v>
      </c>
      <c r="E310" s="5" t="n">
        <v>118.09</v>
      </c>
      <c r="F310" s="11" t="n">
        <v>59.95</v>
      </c>
      <c r="G310" s="11" t="n">
        <v>108.95</v>
      </c>
      <c r="H310" s="12" t="n">
        <v>0.45</v>
      </c>
      <c r="I310" s="5" t="n">
        <f aca="false">F310-D310</f>
        <v>-5</v>
      </c>
      <c r="J310" s="6" t="n">
        <f aca="false">IF(D310=0,0,F310/D310-1)</f>
        <v>-0.0769822940723633</v>
      </c>
      <c r="K310" s="4"/>
    </row>
    <row r="311" customFormat="false" ht="15" hidden="false" customHeight="false" outlineLevel="0" collapsed="false">
      <c r="A311" s="4" t="s">
        <v>15</v>
      </c>
      <c r="B311" s="4" t="s">
        <v>663</v>
      </c>
      <c r="C311" s="4" t="s">
        <v>664</v>
      </c>
      <c r="D311" s="5" t="n">
        <v>69.95</v>
      </c>
      <c r="E311" s="5" t="n">
        <v>139.9</v>
      </c>
      <c r="F311" s="11" t="n">
        <v>59.95</v>
      </c>
      <c r="G311" s="11" t="n">
        <v>119.95</v>
      </c>
      <c r="H311" s="12" t="n">
        <v>0.5</v>
      </c>
      <c r="I311" s="5" t="n">
        <f aca="false">F311-D311</f>
        <v>-10</v>
      </c>
      <c r="J311" s="6" t="n">
        <f aca="false">IF(D311=0,0,F311/D311-1)</f>
        <v>-0.142959256611866</v>
      </c>
      <c r="K311" s="4"/>
    </row>
    <row r="312" customFormat="false" ht="15" hidden="false" customHeight="false" outlineLevel="0" collapsed="false">
      <c r="A312" s="4" t="s">
        <v>15</v>
      </c>
      <c r="B312" s="4" t="s">
        <v>665</v>
      </c>
      <c r="C312" s="4" t="s">
        <v>666</v>
      </c>
      <c r="D312" s="5" t="n">
        <v>69.95</v>
      </c>
      <c r="E312" s="5" t="n">
        <v>127.18</v>
      </c>
      <c r="F312" s="11" t="n">
        <v>59.95</v>
      </c>
      <c r="G312" s="11" t="n">
        <v>108.95</v>
      </c>
      <c r="H312" s="12" t="n">
        <v>0.45</v>
      </c>
      <c r="I312" s="5" t="n">
        <f aca="false">F312-D312</f>
        <v>-10</v>
      </c>
      <c r="J312" s="6" t="n">
        <f aca="false">IF(D312=0,0,F312/D312-1)</f>
        <v>-0.142959256611866</v>
      </c>
      <c r="K312" s="4"/>
    </row>
    <row r="313" customFormat="false" ht="15" hidden="false" customHeight="false" outlineLevel="0" collapsed="false">
      <c r="A313" s="4" t="s">
        <v>15</v>
      </c>
      <c r="B313" s="4" t="s">
        <v>667</v>
      </c>
      <c r="C313" s="4" t="s">
        <v>668</v>
      </c>
      <c r="D313" s="5" t="n">
        <v>69.95</v>
      </c>
      <c r="E313" s="5" t="n">
        <v>127.18</v>
      </c>
      <c r="F313" s="11" t="n">
        <v>59.95</v>
      </c>
      <c r="G313" s="11" t="n">
        <v>108.95</v>
      </c>
      <c r="H313" s="12" t="n">
        <v>0.45</v>
      </c>
      <c r="I313" s="5" t="n">
        <f aca="false">F313-D313</f>
        <v>-10</v>
      </c>
      <c r="J313" s="6" t="n">
        <f aca="false">IF(D313=0,0,F313/D313-1)</f>
        <v>-0.142959256611866</v>
      </c>
      <c r="K313" s="4"/>
    </row>
    <row r="314" customFormat="false" ht="15" hidden="false" customHeight="false" outlineLevel="0" collapsed="false">
      <c r="A314" s="4" t="s">
        <v>15</v>
      </c>
      <c r="B314" s="4" t="s">
        <v>669</v>
      </c>
      <c r="C314" s="4" t="s">
        <v>670</v>
      </c>
      <c r="D314" s="5" t="n">
        <v>69.95</v>
      </c>
      <c r="E314" s="5" t="n">
        <v>116.58</v>
      </c>
      <c r="F314" s="11" t="n">
        <v>59.95</v>
      </c>
      <c r="G314" s="11" t="n">
        <v>99.95</v>
      </c>
      <c r="H314" s="12" t="n">
        <v>0.4</v>
      </c>
      <c r="I314" s="5" t="n">
        <f aca="false">F314-D314</f>
        <v>-10</v>
      </c>
      <c r="J314" s="6" t="n">
        <f aca="false">IF(D314=0,0,F314/D314-1)</f>
        <v>-0.142959256611866</v>
      </c>
      <c r="K314" s="4"/>
    </row>
    <row r="315" customFormat="false" ht="15" hidden="false" customHeight="false" outlineLevel="0" collapsed="false">
      <c r="A315" s="4" t="s">
        <v>15</v>
      </c>
      <c r="B315" s="4" t="s">
        <v>671</v>
      </c>
      <c r="C315" s="4" t="s">
        <v>672</v>
      </c>
      <c r="D315" s="5" t="n">
        <v>69.95</v>
      </c>
      <c r="E315" s="5" t="n">
        <v>127.18</v>
      </c>
      <c r="F315" s="11" t="n">
        <v>59.95</v>
      </c>
      <c r="G315" s="11" t="n">
        <v>108.95</v>
      </c>
      <c r="H315" s="12" t="n">
        <v>0.45</v>
      </c>
      <c r="I315" s="5" t="n">
        <f aca="false">F315-D315</f>
        <v>-10</v>
      </c>
      <c r="J315" s="6" t="n">
        <f aca="false">IF(D315=0,0,F315/D315-1)</f>
        <v>-0.142959256611866</v>
      </c>
      <c r="K315" s="4"/>
    </row>
    <row r="316" customFormat="false" ht="15" hidden="false" customHeight="false" outlineLevel="0" collapsed="false">
      <c r="A316" s="4" t="s">
        <v>15</v>
      </c>
      <c r="B316" s="4" t="s">
        <v>673</v>
      </c>
      <c r="C316" s="4" t="s">
        <v>674</v>
      </c>
      <c r="D316" s="5" t="n">
        <v>64.95</v>
      </c>
      <c r="E316" s="5" t="n">
        <v>108.25</v>
      </c>
      <c r="F316" s="11" t="n">
        <v>59.95</v>
      </c>
      <c r="G316" s="11" t="n">
        <v>99.95</v>
      </c>
      <c r="H316" s="12" t="n">
        <v>0.4</v>
      </c>
      <c r="I316" s="5" t="n">
        <f aca="false">F316-D316</f>
        <v>-5</v>
      </c>
      <c r="J316" s="6" t="n">
        <f aca="false">IF(D316=0,0,F316/D316-1)</f>
        <v>-0.0769822940723633</v>
      </c>
      <c r="K316" s="4"/>
    </row>
    <row r="317" customFormat="false" ht="15" hidden="false" customHeight="false" outlineLevel="0" collapsed="false">
      <c r="A317" s="4" t="s">
        <v>15</v>
      </c>
      <c r="B317" s="4" t="s">
        <v>675</v>
      </c>
      <c r="C317" s="4" t="s">
        <v>676</v>
      </c>
      <c r="D317" s="5" t="n">
        <v>69.95</v>
      </c>
      <c r="E317" s="5" t="n">
        <v>139.9</v>
      </c>
      <c r="F317" s="11" t="n">
        <v>59.95</v>
      </c>
      <c r="G317" s="11" t="n">
        <v>119.95</v>
      </c>
      <c r="H317" s="12" t="n">
        <v>0.5</v>
      </c>
      <c r="I317" s="5" t="n">
        <f aca="false">F317-D317</f>
        <v>-10</v>
      </c>
      <c r="J317" s="6" t="n">
        <f aca="false">IF(D317=0,0,F317/D317-1)</f>
        <v>-0.142959256611866</v>
      </c>
      <c r="K317" s="4"/>
    </row>
    <row r="318" customFormat="false" ht="15" hidden="false" customHeight="false" outlineLevel="0" collapsed="false">
      <c r="A318" s="4" t="s">
        <v>15</v>
      </c>
      <c r="B318" s="4" t="s">
        <v>677</v>
      </c>
      <c r="C318" s="4" t="s">
        <v>678</v>
      </c>
      <c r="D318" s="5" t="n">
        <v>64.95</v>
      </c>
      <c r="E318" s="5" t="n">
        <v>108.25</v>
      </c>
      <c r="F318" s="11" t="n">
        <v>59.95</v>
      </c>
      <c r="G318" s="11" t="n">
        <v>99.95</v>
      </c>
      <c r="H318" s="12" t="n">
        <v>0.4</v>
      </c>
      <c r="I318" s="5" t="n">
        <f aca="false">F318-D318</f>
        <v>-5</v>
      </c>
      <c r="J318" s="6" t="n">
        <f aca="false">IF(D318=0,0,F318/D318-1)</f>
        <v>-0.0769822940723633</v>
      </c>
      <c r="K318" s="4"/>
    </row>
    <row r="319" customFormat="false" ht="15" hidden="false" customHeight="false" outlineLevel="0" collapsed="false">
      <c r="A319" s="4" t="s">
        <v>15</v>
      </c>
      <c r="B319" s="4" t="s">
        <v>679</v>
      </c>
      <c r="C319" s="4" t="s">
        <v>680</v>
      </c>
      <c r="D319" s="5" t="n">
        <v>69.95</v>
      </c>
      <c r="E319" s="5" t="n">
        <v>127.18</v>
      </c>
      <c r="F319" s="11" t="n">
        <v>59.95</v>
      </c>
      <c r="G319" s="11" t="n">
        <v>108.95</v>
      </c>
      <c r="H319" s="12" t="n">
        <v>0.45</v>
      </c>
      <c r="I319" s="5" t="n">
        <f aca="false">F319-D319</f>
        <v>-10</v>
      </c>
      <c r="J319" s="6" t="n">
        <f aca="false">IF(D319=0,0,F319/D319-1)</f>
        <v>-0.142959256611866</v>
      </c>
      <c r="K319" s="4"/>
    </row>
    <row r="320" customFormat="false" ht="15" hidden="false" customHeight="false" outlineLevel="0" collapsed="false">
      <c r="A320" s="4" t="s">
        <v>15</v>
      </c>
      <c r="B320" s="4" t="s">
        <v>681</v>
      </c>
      <c r="C320" s="4" t="s">
        <v>682</v>
      </c>
      <c r="D320" s="5" t="n">
        <v>79.95</v>
      </c>
      <c r="E320" s="5" t="n">
        <v>133.25</v>
      </c>
      <c r="F320" s="11" t="n">
        <v>64.95</v>
      </c>
      <c r="G320" s="11" t="n">
        <v>108.95</v>
      </c>
      <c r="H320" s="12" t="n">
        <v>0.4</v>
      </c>
      <c r="I320" s="5" t="n">
        <f aca="false">F320-D320</f>
        <v>-15</v>
      </c>
      <c r="J320" s="6" t="n">
        <f aca="false">IF(D320=0,0,F320/D320-1)</f>
        <v>-0.187617260787992</v>
      </c>
      <c r="K320" s="4"/>
    </row>
    <row r="321" customFormat="false" ht="15" hidden="false" customHeight="false" outlineLevel="0" collapsed="false">
      <c r="A321" s="4" t="s">
        <v>15</v>
      </c>
      <c r="B321" s="4" t="s">
        <v>683</v>
      </c>
      <c r="C321" s="4" t="s">
        <v>684</v>
      </c>
      <c r="D321" s="5" t="n">
        <v>79.95</v>
      </c>
      <c r="E321" s="5" t="n">
        <v>145.36</v>
      </c>
      <c r="F321" s="11" t="n">
        <v>64.95</v>
      </c>
      <c r="G321" s="11" t="n">
        <v>118.95</v>
      </c>
      <c r="H321" s="12" t="n">
        <v>0.45</v>
      </c>
      <c r="I321" s="5" t="n">
        <f aca="false">F321-D321</f>
        <v>-15</v>
      </c>
      <c r="J321" s="6" t="n">
        <f aca="false">IF(D321=0,0,F321/D321-1)</f>
        <v>-0.187617260787992</v>
      </c>
      <c r="K321" s="4"/>
    </row>
    <row r="322" customFormat="false" ht="15" hidden="false" customHeight="false" outlineLevel="0" collapsed="false">
      <c r="A322" s="4" t="s">
        <v>15</v>
      </c>
      <c r="B322" s="4" t="s">
        <v>685</v>
      </c>
      <c r="C322" s="4" t="s">
        <v>686</v>
      </c>
      <c r="D322" s="5" t="n">
        <v>79.95</v>
      </c>
      <c r="E322" s="5" t="n">
        <v>145.36</v>
      </c>
      <c r="F322" s="11" t="n">
        <v>64.95</v>
      </c>
      <c r="G322" s="11" t="n">
        <v>118.95</v>
      </c>
      <c r="H322" s="12" t="n">
        <v>0.45</v>
      </c>
      <c r="I322" s="5" t="n">
        <f aca="false">F322-D322</f>
        <v>-15</v>
      </c>
      <c r="J322" s="6" t="n">
        <f aca="false">IF(D322=0,0,F322/D322-1)</f>
        <v>-0.187617260787992</v>
      </c>
      <c r="K322" s="4"/>
    </row>
    <row r="323" customFormat="false" ht="15" hidden="false" customHeight="false" outlineLevel="0" collapsed="false">
      <c r="A323" s="4" t="s">
        <v>15</v>
      </c>
      <c r="B323" s="4" t="s">
        <v>687</v>
      </c>
      <c r="C323" s="4" t="s">
        <v>688</v>
      </c>
      <c r="D323" s="5" t="n">
        <v>79.95</v>
      </c>
      <c r="E323" s="5" t="n">
        <v>145.36</v>
      </c>
      <c r="F323" s="11" t="n">
        <v>64.95</v>
      </c>
      <c r="G323" s="11" t="n">
        <v>118.95</v>
      </c>
      <c r="H323" s="12" t="n">
        <v>0.45</v>
      </c>
      <c r="I323" s="5" t="n">
        <f aca="false">F323-D323</f>
        <v>-15</v>
      </c>
      <c r="J323" s="6" t="n">
        <f aca="false">IF(D323=0,0,F323/D323-1)</f>
        <v>-0.187617260787992</v>
      </c>
      <c r="K323" s="4"/>
    </row>
    <row r="324" customFormat="false" ht="15" hidden="false" customHeight="false" outlineLevel="0" collapsed="false">
      <c r="A324" s="4" t="s">
        <v>15</v>
      </c>
      <c r="B324" s="4" t="s">
        <v>689</v>
      </c>
      <c r="C324" s="4" t="s">
        <v>690</v>
      </c>
      <c r="D324" s="5" t="n">
        <v>79.95</v>
      </c>
      <c r="E324" s="5" t="n">
        <v>133.25</v>
      </c>
      <c r="F324" s="11" t="n">
        <v>64.95</v>
      </c>
      <c r="G324" s="11" t="n">
        <v>108.95</v>
      </c>
      <c r="H324" s="12" t="n">
        <v>0.4</v>
      </c>
      <c r="I324" s="5" t="n">
        <f aca="false">F324-D324</f>
        <v>-15</v>
      </c>
      <c r="J324" s="6" t="n">
        <f aca="false">IF(D324=0,0,F324/D324-1)</f>
        <v>-0.187617260787992</v>
      </c>
      <c r="K324" s="4"/>
    </row>
    <row r="325" customFormat="false" ht="15" hidden="false" customHeight="false" outlineLevel="0" collapsed="false">
      <c r="A325" s="4" t="s">
        <v>15</v>
      </c>
      <c r="B325" s="4" t="s">
        <v>691</v>
      </c>
      <c r="C325" s="4" t="s">
        <v>692</v>
      </c>
      <c r="D325" s="5" t="n">
        <v>79.95</v>
      </c>
      <c r="E325" s="5" t="n">
        <v>159.9</v>
      </c>
      <c r="F325" s="11" t="n">
        <v>64.95</v>
      </c>
      <c r="G325" s="11" t="n">
        <v>129.95</v>
      </c>
      <c r="H325" s="12" t="n">
        <v>0.5</v>
      </c>
      <c r="I325" s="5" t="n">
        <f aca="false">F325-D325</f>
        <v>-15</v>
      </c>
      <c r="J325" s="6" t="n">
        <f aca="false">IF(D325=0,0,F325/D325-1)</f>
        <v>-0.187617260787992</v>
      </c>
      <c r="K325" s="4"/>
    </row>
    <row r="326" customFormat="false" ht="15" hidden="false" customHeight="false" outlineLevel="0" collapsed="false">
      <c r="A326" s="4" t="s">
        <v>15</v>
      </c>
      <c r="B326" s="4" t="s">
        <v>693</v>
      </c>
      <c r="C326" s="4" t="s">
        <v>694</v>
      </c>
      <c r="D326" s="5" t="n">
        <v>79.95</v>
      </c>
      <c r="E326" s="5" t="n">
        <v>133.25</v>
      </c>
      <c r="F326" s="11" t="n">
        <v>64.95</v>
      </c>
      <c r="G326" s="11" t="n">
        <v>108.95</v>
      </c>
      <c r="H326" s="12" t="n">
        <v>0.4</v>
      </c>
      <c r="I326" s="5" t="n">
        <f aca="false">F326-D326</f>
        <v>-15</v>
      </c>
      <c r="J326" s="6" t="n">
        <f aca="false">IF(D326=0,0,F326/D326-1)</f>
        <v>-0.187617260787992</v>
      </c>
      <c r="K326" s="4"/>
    </row>
    <row r="327" customFormat="false" ht="15" hidden="false" customHeight="false" outlineLevel="0" collapsed="false">
      <c r="A327" s="4" t="s">
        <v>15</v>
      </c>
      <c r="B327" s="4" t="s">
        <v>695</v>
      </c>
      <c r="C327" s="4" t="s">
        <v>696</v>
      </c>
      <c r="D327" s="5" t="n">
        <v>79.95</v>
      </c>
      <c r="E327" s="5" t="n">
        <v>159.9</v>
      </c>
      <c r="F327" s="11" t="n">
        <v>64.95</v>
      </c>
      <c r="G327" s="11" t="n">
        <v>129.95</v>
      </c>
      <c r="H327" s="12" t="n">
        <v>0.5</v>
      </c>
      <c r="I327" s="5" t="n">
        <f aca="false">F327-D327</f>
        <v>-15</v>
      </c>
      <c r="J327" s="6" t="n">
        <f aca="false">IF(D327=0,0,F327/D327-1)</f>
        <v>-0.187617260787992</v>
      </c>
      <c r="K327" s="4"/>
    </row>
    <row r="328" customFormat="false" ht="15" hidden="false" customHeight="false" outlineLevel="0" collapsed="false">
      <c r="A328" s="4" t="s">
        <v>15</v>
      </c>
      <c r="B328" s="4" t="s">
        <v>697</v>
      </c>
      <c r="C328" s="4" t="s">
        <v>698</v>
      </c>
      <c r="D328" s="5" t="n">
        <v>79.95</v>
      </c>
      <c r="E328" s="5" t="n">
        <v>145.36</v>
      </c>
      <c r="F328" s="11" t="n">
        <v>64.95</v>
      </c>
      <c r="G328" s="11" t="n">
        <v>118.95</v>
      </c>
      <c r="H328" s="12" t="n">
        <v>0.45</v>
      </c>
      <c r="I328" s="5" t="n">
        <f aca="false">F328-D328</f>
        <v>-15</v>
      </c>
      <c r="J328" s="6" t="n">
        <f aca="false">IF(D328=0,0,F328/D328-1)</f>
        <v>-0.187617260787992</v>
      </c>
      <c r="K328" s="4"/>
    </row>
    <row r="329" customFormat="false" ht="15" hidden="false" customHeight="false" outlineLevel="0" collapsed="false">
      <c r="A329" s="4" t="s">
        <v>15</v>
      </c>
      <c r="B329" s="4" t="s">
        <v>699</v>
      </c>
      <c r="C329" s="4" t="s">
        <v>700</v>
      </c>
      <c r="D329" s="5" t="n">
        <v>79.95</v>
      </c>
      <c r="E329" s="5" t="n">
        <v>145.36</v>
      </c>
      <c r="F329" s="11" t="n">
        <v>64.95</v>
      </c>
      <c r="G329" s="11" t="n">
        <v>118.95</v>
      </c>
      <c r="H329" s="12" t="n">
        <v>0.45</v>
      </c>
      <c r="I329" s="5" t="n">
        <f aca="false">F329-D329</f>
        <v>-15</v>
      </c>
      <c r="J329" s="6" t="n">
        <f aca="false">IF(D329=0,0,F329/D329-1)</f>
        <v>-0.187617260787992</v>
      </c>
      <c r="K329" s="4"/>
    </row>
    <row r="330" customFormat="false" ht="15" hidden="false" customHeight="false" outlineLevel="0" collapsed="false">
      <c r="A330" s="4" t="s">
        <v>15</v>
      </c>
      <c r="B330" s="4" t="s">
        <v>701</v>
      </c>
      <c r="C330" s="4" t="s">
        <v>702</v>
      </c>
      <c r="D330" s="5" t="n">
        <v>79.95</v>
      </c>
      <c r="E330" s="5" t="n">
        <v>159.9</v>
      </c>
      <c r="F330" s="11" t="n">
        <v>64.95</v>
      </c>
      <c r="G330" s="11" t="n">
        <v>129.95</v>
      </c>
      <c r="H330" s="12" t="n">
        <v>0.5</v>
      </c>
      <c r="I330" s="5" t="n">
        <f aca="false">F330-D330</f>
        <v>-15</v>
      </c>
      <c r="J330" s="6" t="n">
        <f aca="false">IF(D330=0,0,F330/D330-1)</f>
        <v>-0.187617260787992</v>
      </c>
      <c r="K330" s="4"/>
    </row>
    <row r="331" customFormat="false" ht="15" hidden="false" customHeight="false" outlineLevel="0" collapsed="false">
      <c r="A331" s="4" t="s">
        <v>15</v>
      </c>
      <c r="B331" s="4" t="s">
        <v>703</v>
      </c>
      <c r="C331" s="4" t="s">
        <v>704</v>
      </c>
      <c r="D331" s="5" t="n">
        <v>79.95</v>
      </c>
      <c r="E331" s="5" t="n">
        <v>159.9</v>
      </c>
      <c r="F331" s="11" t="n">
        <v>64.95</v>
      </c>
      <c r="G331" s="11" t="n">
        <v>129.95</v>
      </c>
      <c r="H331" s="12" t="n">
        <v>0.5</v>
      </c>
      <c r="I331" s="5" t="n">
        <f aca="false">F331-D331</f>
        <v>-15</v>
      </c>
      <c r="J331" s="6" t="n">
        <f aca="false">IF(D331=0,0,F331/D331-1)</f>
        <v>-0.187617260787992</v>
      </c>
      <c r="K331" s="4"/>
    </row>
    <row r="332" customFormat="false" ht="15" hidden="false" customHeight="false" outlineLevel="0" collapsed="false">
      <c r="A332" s="4" t="s">
        <v>15</v>
      </c>
      <c r="B332" s="4" t="s">
        <v>705</v>
      </c>
      <c r="C332" s="4" t="s">
        <v>706</v>
      </c>
      <c r="D332" s="5" t="n">
        <v>79.95</v>
      </c>
      <c r="E332" s="5" t="n">
        <v>133.25</v>
      </c>
      <c r="F332" s="11" t="n">
        <v>64.95</v>
      </c>
      <c r="G332" s="11" t="n">
        <v>108.95</v>
      </c>
      <c r="H332" s="12" t="n">
        <v>0.4</v>
      </c>
      <c r="I332" s="5" t="n">
        <f aca="false">F332-D332</f>
        <v>-15</v>
      </c>
      <c r="J332" s="6" t="n">
        <f aca="false">IF(D332=0,0,F332/D332-1)</f>
        <v>-0.187617260787992</v>
      </c>
      <c r="K332" s="4"/>
    </row>
    <row r="333" customFormat="false" ht="15" hidden="false" customHeight="false" outlineLevel="0" collapsed="false">
      <c r="A333" s="4" t="s">
        <v>15</v>
      </c>
      <c r="B333" s="4" t="s">
        <v>707</v>
      </c>
      <c r="C333" s="4" t="s">
        <v>708</v>
      </c>
      <c r="D333" s="5" t="n">
        <v>79.95</v>
      </c>
      <c r="E333" s="5" t="n">
        <v>159.9</v>
      </c>
      <c r="F333" s="11" t="n">
        <v>64.95</v>
      </c>
      <c r="G333" s="11" t="n">
        <v>129.95</v>
      </c>
      <c r="H333" s="12" t="n">
        <v>0.5</v>
      </c>
      <c r="I333" s="5" t="n">
        <f aca="false">F333-D333</f>
        <v>-15</v>
      </c>
      <c r="J333" s="6" t="n">
        <f aca="false">IF(D333=0,0,F333/D333-1)</f>
        <v>-0.187617260787992</v>
      </c>
      <c r="K333" s="4"/>
    </row>
    <row r="334" customFormat="false" ht="15" hidden="false" customHeight="false" outlineLevel="0" collapsed="false">
      <c r="A334" s="4" t="s">
        <v>15</v>
      </c>
      <c r="B334" s="4" t="s">
        <v>709</v>
      </c>
      <c r="C334" s="4" t="s">
        <v>710</v>
      </c>
      <c r="D334" s="5" t="n">
        <v>79.95</v>
      </c>
      <c r="E334" s="5" t="n">
        <v>145.36</v>
      </c>
      <c r="F334" s="11" t="n">
        <v>64.95</v>
      </c>
      <c r="G334" s="11" t="n">
        <v>118.95</v>
      </c>
      <c r="H334" s="12" t="n">
        <v>0.45</v>
      </c>
      <c r="I334" s="5" t="n">
        <f aca="false">F334-D334</f>
        <v>-15</v>
      </c>
      <c r="J334" s="6" t="n">
        <f aca="false">IF(D334=0,0,F334/D334-1)</f>
        <v>-0.187617260787992</v>
      </c>
      <c r="K334" s="4"/>
    </row>
    <row r="335" customFormat="false" ht="15" hidden="false" customHeight="false" outlineLevel="0" collapsed="false">
      <c r="A335" s="4" t="s">
        <v>15</v>
      </c>
      <c r="B335" s="4" t="s">
        <v>711</v>
      </c>
      <c r="C335" s="4" t="s">
        <v>712</v>
      </c>
      <c r="D335" s="5" t="n">
        <v>79.95</v>
      </c>
      <c r="E335" s="5" t="n">
        <v>159.9</v>
      </c>
      <c r="F335" s="11" t="n">
        <v>64.95</v>
      </c>
      <c r="G335" s="11" t="n">
        <v>129.95</v>
      </c>
      <c r="H335" s="12" t="n">
        <v>0.5</v>
      </c>
      <c r="I335" s="5" t="n">
        <f aca="false">F335-D335</f>
        <v>-15</v>
      </c>
      <c r="J335" s="6" t="n">
        <f aca="false">IF(D335=0,0,F335/D335-1)</f>
        <v>-0.187617260787992</v>
      </c>
      <c r="K335" s="4"/>
    </row>
    <row r="336" customFormat="false" ht="15" hidden="false" customHeight="false" outlineLevel="0" collapsed="false">
      <c r="A336" s="4" t="s">
        <v>15</v>
      </c>
      <c r="B336" s="4" t="s">
        <v>713</v>
      </c>
      <c r="C336" s="4" t="s">
        <v>714</v>
      </c>
      <c r="D336" s="5" t="n">
        <v>79.95</v>
      </c>
      <c r="E336" s="5" t="n">
        <v>133.25</v>
      </c>
      <c r="F336" s="11" t="n">
        <v>64.95</v>
      </c>
      <c r="G336" s="11" t="n">
        <v>108.95</v>
      </c>
      <c r="H336" s="12" t="n">
        <v>0.4</v>
      </c>
      <c r="I336" s="5" t="n">
        <f aca="false">F336-D336</f>
        <v>-15</v>
      </c>
      <c r="J336" s="6" t="n">
        <f aca="false">IF(D336=0,0,F336/D336-1)</f>
        <v>-0.187617260787992</v>
      </c>
      <c r="K336" s="4"/>
    </row>
    <row r="337" customFormat="false" ht="15" hidden="false" customHeight="false" outlineLevel="0" collapsed="false">
      <c r="A337" s="4" t="s">
        <v>15</v>
      </c>
      <c r="B337" s="4" t="s">
        <v>715</v>
      </c>
      <c r="C337" s="4" t="s">
        <v>716</v>
      </c>
      <c r="D337" s="5" t="n">
        <v>79.95</v>
      </c>
      <c r="E337" s="5" t="n">
        <v>145.36</v>
      </c>
      <c r="F337" s="11" t="n">
        <v>64.95</v>
      </c>
      <c r="G337" s="11" t="n">
        <v>118.95</v>
      </c>
      <c r="H337" s="12" t="n">
        <v>0.45</v>
      </c>
      <c r="I337" s="5" t="n">
        <f aca="false">F337-D337</f>
        <v>-15</v>
      </c>
      <c r="J337" s="6" t="n">
        <f aca="false">IF(D337=0,0,F337/D337-1)</f>
        <v>-0.187617260787992</v>
      </c>
      <c r="K337" s="4"/>
    </row>
    <row r="338" customFormat="false" ht="15" hidden="false" customHeight="false" outlineLevel="0" collapsed="false">
      <c r="A338" s="4" t="s">
        <v>15</v>
      </c>
      <c r="B338" s="4" t="s">
        <v>717</v>
      </c>
      <c r="C338" s="4" t="s">
        <v>718</v>
      </c>
      <c r="D338" s="5" t="n">
        <v>79.95</v>
      </c>
      <c r="E338" s="5" t="n">
        <v>159.9</v>
      </c>
      <c r="F338" s="11" t="n">
        <v>64.95</v>
      </c>
      <c r="G338" s="11" t="n">
        <v>129.95</v>
      </c>
      <c r="H338" s="12" t="n">
        <v>0.5</v>
      </c>
      <c r="I338" s="5" t="n">
        <f aca="false">F338-D338</f>
        <v>-15</v>
      </c>
      <c r="J338" s="6" t="n">
        <f aca="false">IF(D338=0,0,F338/D338-1)</f>
        <v>-0.187617260787992</v>
      </c>
      <c r="K338" s="4"/>
    </row>
    <row r="339" customFormat="false" ht="15" hidden="false" customHeight="false" outlineLevel="0" collapsed="false">
      <c r="A339" s="4" t="s">
        <v>15</v>
      </c>
      <c r="B339" s="4" t="s">
        <v>719</v>
      </c>
      <c r="C339" s="4" t="s">
        <v>720</v>
      </c>
      <c r="D339" s="5" t="n">
        <v>74.95</v>
      </c>
      <c r="E339" s="5" t="n">
        <v>149.9</v>
      </c>
      <c r="F339" s="11" t="n">
        <v>64.95</v>
      </c>
      <c r="G339" s="11" t="n">
        <v>129.95</v>
      </c>
      <c r="H339" s="12" t="n">
        <v>0.5</v>
      </c>
      <c r="I339" s="5" t="n">
        <f aca="false">F339-D339</f>
        <v>-10</v>
      </c>
      <c r="J339" s="6" t="n">
        <f aca="false">IF(D339=0,0,F339/D339-1)</f>
        <v>-0.133422281521014</v>
      </c>
      <c r="K339" s="4"/>
    </row>
    <row r="340" customFormat="false" ht="15" hidden="false" customHeight="false" outlineLevel="0" collapsed="false">
      <c r="A340" s="4" t="s">
        <v>25</v>
      </c>
      <c r="B340" s="4" t="s">
        <v>721</v>
      </c>
      <c r="C340" s="4" t="s">
        <v>722</v>
      </c>
      <c r="D340" s="5" t="n">
        <v>84.95</v>
      </c>
      <c r="E340" s="5" t="n">
        <v>169.9</v>
      </c>
      <c r="F340" s="11" t="n">
        <v>69.95</v>
      </c>
      <c r="G340" s="11" t="n">
        <v>139.95</v>
      </c>
      <c r="H340" s="12" t="n">
        <v>0.5</v>
      </c>
      <c r="I340" s="5" t="n">
        <f aca="false">F340-D340</f>
        <v>-15</v>
      </c>
      <c r="J340" s="6" t="n">
        <f aca="false">IF(D340=0,0,F340/D340-1)</f>
        <v>-0.176574455562095</v>
      </c>
      <c r="K340" s="4"/>
    </row>
    <row r="341" customFormat="false" ht="15" hidden="false" customHeight="false" outlineLevel="0" collapsed="false">
      <c r="A341" s="4" t="s">
        <v>25</v>
      </c>
      <c r="B341" s="4" t="s">
        <v>723</v>
      </c>
      <c r="C341" s="4" t="s">
        <v>724</v>
      </c>
      <c r="D341" s="5" t="n">
        <v>99.95</v>
      </c>
      <c r="E341" s="5" t="n">
        <v>181.73</v>
      </c>
      <c r="F341" s="11" t="n">
        <v>79.95</v>
      </c>
      <c r="G341" s="11" t="n">
        <v>145.95</v>
      </c>
      <c r="H341" s="12" t="n">
        <v>0.45</v>
      </c>
      <c r="I341" s="5" t="n">
        <f aca="false">F341-D341</f>
        <v>-20</v>
      </c>
      <c r="J341" s="6" t="n">
        <f aca="false">IF(D341=0,0,F341/D341-1)</f>
        <v>-0.200100050025013</v>
      </c>
      <c r="K341" s="4"/>
    </row>
    <row r="342" customFormat="false" ht="15" hidden="false" customHeight="false" outlineLevel="0" collapsed="false">
      <c r="A342" s="4" t="s">
        <v>25</v>
      </c>
      <c r="B342" s="4" t="s">
        <v>725</v>
      </c>
      <c r="C342" s="4" t="s">
        <v>726</v>
      </c>
      <c r="D342" s="5" t="n">
        <v>99.95</v>
      </c>
      <c r="E342" s="5" t="n">
        <v>199.9</v>
      </c>
      <c r="F342" s="11" t="n">
        <v>79.95</v>
      </c>
      <c r="G342" s="11" t="n">
        <v>159.95</v>
      </c>
      <c r="H342" s="12" t="n">
        <v>0.5</v>
      </c>
      <c r="I342" s="5" t="n">
        <f aca="false">F342-D342</f>
        <v>-20</v>
      </c>
      <c r="J342" s="6" t="n">
        <f aca="false">IF(D342=0,0,F342/D342-1)</f>
        <v>-0.200100050025013</v>
      </c>
      <c r="K342" s="4"/>
    </row>
    <row r="343" customFormat="false" ht="15" hidden="false" customHeight="false" outlineLevel="0" collapsed="false">
      <c r="A343" s="4" t="s">
        <v>25</v>
      </c>
      <c r="B343" s="4" t="s">
        <v>727</v>
      </c>
      <c r="C343" s="4" t="s">
        <v>728</v>
      </c>
      <c r="D343" s="5" t="n">
        <v>99.95</v>
      </c>
      <c r="E343" s="5" t="n">
        <v>181.73</v>
      </c>
      <c r="F343" s="11" t="n">
        <v>79.95</v>
      </c>
      <c r="G343" s="11" t="n">
        <v>145.95</v>
      </c>
      <c r="H343" s="12" t="n">
        <v>0.45</v>
      </c>
      <c r="I343" s="5" t="n">
        <f aca="false">F343-D343</f>
        <v>-20</v>
      </c>
      <c r="J343" s="6" t="n">
        <f aca="false">IF(D343=0,0,F343/D343-1)</f>
        <v>-0.200100050025013</v>
      </c>
      <c r="K343" s="4"/>
    </row>
    <row r="344" customFormat="false" ht="15" hidden="false" customHeight="false" outlineLevel="0" collapsed="false">
      <c r="A344" s="4" t="s">
        <v>13</v>
      </c>
      <c r="B344" s="4" t="s">
        <v>729</v>
      </c>
      <c r="C344" s="4" t="s">
        <v>730</v>
      </c>
      <c r="D344" s="5" t="n">
        <v>49.95</v>
      </c>
      <c r="E344" s="5" t="n">
        <v>90.82</v>
      </c>
      <c r="F344" s="11" t="n">
        <v>49.95</v>
      </c>
      <c r="G344" s="11" t="n">
        <v>90.95</v>
      </c>
      <c r="H344" s="12" t="n">
        <v>0.45</v>
      </c>
      <c r="I344" s="5" t="n">
        <f aca="false">F344-D344</f>
        <v>0</v>
      </c>
      <c r="J344" s="6" t="n">
        <f aca="false">IF(D344=0,0,F344/D344-1)</f>
        <v>0</v>
      </c>
      <c r="K344" s="4"/>
    </row>
    <row r="345" customFormat="false" ht="15" hidden="false" customHeight="false" outlineLevel="0" collapsed="false">
      <c r="A345" s="4" t="s">
        <v>13</v>
      </c>
      <c r="B345" s="4" t="s">
        <v>731</v>
      </c>
      <c r="C345" s="4" t="s">
        <v>732</v>
      </c>
      <c r="D345" s="5" t="n">
        <v>54.95</v>
      </c>
      <c r="E345" s="5" t="n">
        <v>91.58</v>
      </c>
      <c r="F345" s="11" t="n">
        <v>49.95</v>
      </c>
      <c r="G345" s="11" t="n">
        <v>83.95</v>
      </c>
      <c r="H345" s="12" t="n">
        <v>0.4</v>
      </c>
      <c r="I345" s="5" t="n">
        <f aca="false">F345-D345</f>
        <v>-5</v>
      </c>
      <c r="J345" s="6" t="n">
        <f aca="false">IF(D345=0,0,F345/D345-1)</f>
        <v>-0.0909918107370337</v>
      </c>
      <c r="K345" s="4"/>
    </row>
    <row r="346" customFormat="false" ht="15" hidden="false" customHeight="false" outlineLevel="0" collapsed="false">
      <c r="A346" s="4" t="s">
        <v>13</v>
      </c>
      <c r="B346" s="4" t="s">
        <v>733</v>
      </c>
      <c r="C346" s="4" t="s">
        <v>734</v>
      </c>
      <c r="D346" s="5" t="n">
        <v>54.95</v>
      </c>
      <c r="E346" s="5" t="n">
        <v>109.9</v>
      </c>
      <c r="F346" s="11" t="n">
        <v>49.95</v>
      </c>
      <c r="G346" s="11" t="n">
        <v>99.95</v>
      </c>
      <c r="H346" s="12" t="n">
        <v>0.5</v>
      </c>
      <c r="I346" s="5" t="n">
        <f aca="false">F346-D346</f>
        <v>-5</v>
      </c>
      <c r="J346" s="6" t="n">
        <f aca="false">IF(D346=0,0,F346/D346-1)</f>
        <v>-0.0909918107370337</v>
      </c>
      <c r="K346" s="4"/>
    </row>
    <row r="347" customFormat="false" ht="15" hidden="false" customHeight="false" outlineLevel="0" collapsed="false">
      <c r="A347" s="4" t="s">
        <v>13</v>
      </c>
      <c r="B347" s="4" t="s">
        <v>735</v>
      </c>
      <c r="C347" s="4" t="s">
        <v>736</v>
      </c>
      <c r="D347" s="5" t="n">
        <v>54.95</v>
      </c>
      <c r="E347" s="5" t="n">
        <v>99.91</v>
      </c>
      <c r="F347" s="11" t="n">
        <v>49.95</v>
      </c>
      <c r="G347" s="11" t="n">
        <v>90.95</v>
      </c>
      <c r="H347" s="12" t="n">
        <v>0.45</v>
      </c>
      <c r="I347" s="5" t="n">
        <f aca="false">F347-D347</f>
        <v>-5</v>
      </c>
      <c r="J347" s="6" t="n">
        <f aca="false">IF(D347=0,0,F347/D347-1)</f>
        <v>-0.0909918107370337</v>
      </c>
      <c r="K347" s="4"/>
    </row>
    <row r="348" customFormat="false" ht="15" hidden="false" customHeight="false" outlineLevel="0" collapsed="false">
      <c r="A348" s="4" t="s">
        <v>13</v>
      </c>
      <c r="B348" s="4" t="s">
        <v>737</v>
      </c>
      <c r="C348" s="4" t="s">
        <v>738</v>
      </c>
      <c r="D348" s="5" t="n">
        <v>49.95</v>
      </c>
      <c r="E348" s="5" t="n">
        <v>90.82</v>
      </c>
      <c r="F348" s="11" t="n">
        <v>49.95</v>
      </c>
      <c r="G348" s="11" t="n">
        <v>90.95</v>
      </c>
      <c r="H348" s="12" t="n">
        <v>0.45</v>
      </c>
      <c r="I348" s="5" t="n">
        <f aca="false">F348-D348</f>
        <v>0</v>
      </c>
      <c r="J348" s="6" t="n">
        <f aca="false">IF(D348=0,0,F348/D348-1)</f>
        <v>0</v>
      </c>
      <c r="K348" s="4"/>
    </row>
    <row r="349" customFormat="false" ht="15" hidden="false" customHeight="false" outlineLevel="0" collapsed="false">
      <c r="A349" s="4" t="s">
        <v>13</v>
      </c>
      <c r="B349" s="4" t="s">
        <v>739</v>
      </c>
      <c r="C349" s="4" t="s">
        <v>740</v>
      </c>
      <c r="D349" s="5" t="n">
        <v>64.95</v>
      </c>
      <c r="E349" s="5" t="n">
        <v>108.25</v>
      </c>
      <c r="F349" s="11" t="n">
        <v>54.95</v>
      </c>
      <c r="G349" s="11" t="n">
        <v>91.95</v>
      </c>
      <c r="H349" s="12" t="n">
        <v>0.4</v>
      </c>
      <c r="I349" s="5" t="n">
        <f aca="false">F349-D349</f>
        <v>-10</v>
      </c>
      <c r="J349" s="6" t="n">
        <f aca="false">IF(D349=0,0,F349/D349-1)</f>
        <v>-0.153964588144727</v>
      </c>
      <c r="K349" s="4"/>
    </row>
    <row r="350" customFormat="false" ht="15" hidden="false" customHeight="false" outlineLevel="0" collapsed="false">
      <c r="A350" s="4" t="s">
        <v>13</v>
      </c>
      <c r="B350" s="4" t="s">
        <v>741</v>
      </c>
      <c r="C350" s="4" t="s">
        <v>742</v>
      </c>
      <c r="D350" s="5" t="n">
        <v>64.95</v>
      </c>
      <c r="E350" s="5" t="n">
        <v>118.09</v>
      </c>
      <c r="F350" s="11" t="n">
        <v>54.95</v>
      </c>
      <c r="G350" s="11" t="n">
        <v>99.95</v>
      </c>
      <c r="H350" s="12" t="n">
        <v>0.45</v>
      </c>
      <c r="I350" s="5" t="n">
        <f aca="false">F350-D350</f>
        <v>-10</v>
      </c>
      <c r="J350" s="6" t="n">
        <f aca="false">IF(D350=0,0,F350/D350-1)</f>
        <v>-0.153964588144727</v>
      </c>
      <c r="K350" s="4"/>
    </row>
    <row r="351" customFormat="false" ht="15" hidden="false" customHeight="false" outlineLevel="0" collapsed="false">
      <c r="A351" s="4" t="s">
        <v>13</v>
      </c>
      <c r="B351" s="4" t="s">
        <v>743</v>
      </c>
      <c r="C351" s="4" t="s">
        <v>744</v>
      </c>
      <c r="D351" s="5" t="n">
        <v>64.95</v>
      </c>
      <c r="E351" s="5" t="n">
        <v>108.25</v>
      </c>
      <c r="F351" s="11" t="n">
        <v>54.95</v>
      </c>
      <c r="G351" s="11" t="n">
        <v>91.95</v>
      </c>
      <c r="H351" s="12" t="n">
        <v>0.4</v>
      </c>
      <c r="I351" s="5" t="n">
        <f aca="false">F351-D351</f>
        <v>-10</v>
      </c>
      <c r="J351" s="6" t="n">
        <f aca="false">IF(D351=0,0,F351/D351-1)</f>
        <v>-0.153964588144727</v>
      </c>
      <c r="K351" s="4"/>
    </row>
    <row r="352" customFormat="false" ht="15" hidden="false" customHeight="false" outlineLevel="0" collapsed="false">
      <c r="A352" s="4" t="s">
        <v>13</v>
      </c>
      <c r="B352" s="4" t="s">
        <v>745</v>
      </c>
      <c r="C352" s="4" t="s">
        <v>746</v>
      </c>
      <c r="D352" s="5" t="n">
        <v>64.95</v>
      </c>
      <c r="E352" s="5" t="n">
        <v>108.25</v>
      </c>
      <c r="F352" s="11" t="n">
        <v>54.95</v>
      </c>
      <c r="G352" s="11" t="n">
        <v>91.95</v>
      </c>
      <c r="H352" s="12" t="n">
        <v>0.4</v>
      </c>
      <c r="I352" s="5" t="n">
        <f aca="false">F352-D352</f>
        <v>-10</v>
      </c>
      <c r="J352" s="6" t="n">
        <f aca="false">IF(D352=0,0,F352/D352-1)</f>
        <v>-0.153964588144727</v>
      </c>
      <c r="K352" s="4"/>
    </row>
    <row r="353" customFormat="false" ht="15" hidden="false" customHeight="false" outlineLevel="0" collapsed="false">
      <c r="A353" s="4" t="s">
        <v>13</v>
      </c>
      <c r="B353" s="4" t="s">
        <v>747</v>
      </c>
      <c r="C353" s="4" t="s">
        <v>748</v>
      </c>
      <c r="D353" s="5" t="n">
        <v>64.95</v>
      </c>
      <c r="E353" s="5" t="n">
        <v>118.09</v>
      </c>
      <c r="F353" s="11" t="n">
        <v>54.95</v>
      </c>
      <c r="G353" s="11" t="n">
        <v>99.95</v>
      </c>
      <c r="H353" s="12" t="n">
        <v>0.45</v>
      </c>
      <c r="I353" s="5" t="n">
        <f aca="false">F353-D353</f>
        <v>-10</v>
      </c>
      <c r="J353" s="6" t="n">
        <f aca="false">IF(D353=0,0,F353/D353-1)</f>
        <v>-0.153964588144727</v>
      </c>
      <c r="K353" s="4"/>
    </row>
    <row r="354" customFormat="false" ht="15" hidden="false" customHeight="false" outlineLevel="0" collapsed="false">
      <c r="A354" s="4" t="s">
        <v>13</v>
      </c>
      <c r="B354" s="4" t="s">
        <v>749</v>
      </c>
      <c r="C354" s="4" t="s">
        <v>750</v>
      </c>
      <c r="D354" s="5" t="n">
        <v>64.95</v>
      </c>
      <c r="E354" s="5" t="n">
        <v>108.25</v>
      </c>
      <c r="F354" s="11" t="n">
        <v>54.95</v>
      </c>
      <c r="G354" s="11" t="n">
        <v>91.95</v>
      </c>
      <c r="H354" s="12" t="n">
        <v>0.4</v>
      </c>
      <c r="I354" s="5" t="n">
        <f aca="false">F354-D354</f>
        <v>-10</v>
      </c>
      <c r="J354" s="6" t="n">
        <f aca="false">IF(D354=0,0,F354/D354-1)</f>
        <v>-0.153964588144727</v>
      </c>
      <c r="K354" s="4"/>
    </row>
    <row r="355" customFormat="false" ht="15" hidden="false" customHeight="false" outlineLevel="0" collapsed="false">
      <c r="A355" s="4" t="s">
        <v>13</v>
      </c>
      <c r="B355" s="4" t="s">
        <v>751</v>
      </c>
      <c r="C355" s="4" t="s">
        <v>752</v>
      </c>
      <c r="D355" s="5" t="n">
        <v>64.95</v>
      </c>
      <c r="E355" s="5" t="n">
        <v>108.25</v>
      </c>
      <c r="F355" s="11" t="n">
        <v>54.95</v>
      </c>
      <c r="G355" s="11" t="n">
        <v>91.95</v>
      </c>
      <c r="H355" s="12" t="n">
        <v>0.4</v>
      </c>
      <c r="I355" s="5" t="n">
        <f aca="false">F355-D355</f>
        <v>-10</v>
      </c>
      <c r="J355" s="6" t="n">
        <f aca="false">IF(D355=0,0,F355/D355-1)</f>
        <v>-0.153964588144727</v>
      </c>
      <c r="K355" s="4"/>
    </row>
    <row r="356" customFormat="false" ht="15" hidden="false" customHeight="false" outlineLevel="0" collapsed="false">
      <c r="A356" s="4" t="s">
        <v>13</v>
      </c>
      <c r="B356" s="4" t="s">
        <v>753</v>
      </c>
      <c r="C356" s="4" t="s">
        <v>754</v>
      </c>
      <c r="D356" s="5" t="n">
        <v>64.95</v>
      </c>
      <c r="E356" s="5" t="n">
        <v>129.9</v>
      </c>
      <c r="F356" s="11" t="n">
        <v>54.95</v>
      </c>
      <c r="G356" s="11" t="n">
        <v>109.95</v>
      </c>
      <c r="H356" s="12" t="n">
        <v>0.5</v>
      </c>
      <c r="I356" s="5" t="n">
        <f aca="false">F356-D356</f>
        <v>-10</v>
      </c>
      <c r="J356" s="6" t="n">
        <f aca="false">IF(D356=0,0,F356/D356-1)</f>
        <v>-0.153964588144727</v>
      </c>
      <c r="K356" s="4"/>
    </row>
    <row r="357" customFormat="false" ht="15" hidden="false" customHeight="false" outlineLevel="0" collapsed="false">
      <c r="A357" s="4" t="s">
        <v>13</v>
      </c>
      <c r="B357" s="4" t="s">
        <v>755</v>
      </c>
      <c r="C357" s="4" t="s">
        <v>756</v>
      </c>
      <c r="D357" s="5" t="n">
        <v>64.95</v>
      </c>
      <c r="E357" s="5" t="n">
        <v>108.25</v>
      </c>
      <c r="F357" s="11" t="n">
        <v>54.95</v>
      </c>
      <c r="G357" s="11" t="n">
        <v>91.95</v>
      </c>
      <c r="H357" s="12" t="n">
        <v>0.4</v>
      </c>
      <c r="I357" s="5" t="n">
        <f aca="false">F357-D357</f>
        <v>-10</v>
      </c>
      <c r="J357" s="6" t="n">
        <f aca="false">IF(D357=0,0,F357/D357-1)</f>
        <v>-0.153964588144727</v>
      </c>
      <c r="K357" s="4"/>
    </row>
    <row r="358" customFormat="false" ht="15" hidden="false" customHeight="false" outlineLevel="0" collapsed="false">
      <c r="A358" s="4" t="s">
        <v>13</v>
      </c>
      <c r="B358" s="4" t="s">
        <v>757</v>
      </c>
      <c r="C358" s="4" t="s">
        <v>758</v>
      </c>
      <c r="D358" s="5" t="n">
        <v>64.95</v>
      </c>
      <c r="E358" s="5" t="n">
        <v>129.9</v>
      </c>
      <c r="F358" s="11" t="n">
        <v>54.95</v>
      </c>
      <c r="G358" s="11" t="n">
        <v>109.95</v>
      </c>
      <c r="H358" s="12" t="n">
        <v>0.5</v>
      </c>
      <c r="I358" s="5" t="n">
        <f aca="false">F358-D358</f>
        <v>-10</v>
      </c>
      <c r="J358" s="6" t="n">
        <f aca="false">IF(D358=0,0,F358/D358-1)</f>
        <v>-0.153964588144727</v>
      </c>
      <c r="K358" s="4"/>
    </row>
    <row r="359" customFormat="false" ht="15" hidden="false" customHeight="false" outlineLevel="0" collapsed="false">
      <c r="A359" s="4" t="s">
        <v>13</v>
      </c>
      <c r="B359" s="4" t="s">
        <v>759</v>
      </c>
      <c r="C359" s="4" t="s">
        <v>760</v>
      </c>
      <c r="D359" s="5" t="n">
        <v>64.95</v>
      </c>
      <c r="E359" s="5" t="n">
        <v>129.9</v>
      </c>
      <c r="F359" s="11" t="n">
        <v>54.95</v>
      </c>
      <c r="G359" s="11" t="n">
        <v>109.95</v>
      </c>
      <c r="H359" s="12" t="n">
        <v>0.5</v>
      </c>
      <c r="I359" s="5" t="n">
        <f aca="false">F359-D359</f>
        <v>-10</v>
      </c>
      <c r="J359" s="6" t="n">
        <f aca="false">IF(D359=0,0,F359/D359-1)</f>
        <v>-0.153964588144727</v>
      </c>
      <c r="K359" s="4"/>
    </row>
    <row r="360" customFormat="false" ht="15" hidden="false" customHeight="false" outlineLevel="0" collapsed="false">
      <c r="A360" s="4" t="s">
        <v>13</v>
      </c>
      <c r="B360" s="4" t="s">
        <v>761</v>
      </c>
      <c r="C360" s="4" t="s">
        <v>762</v>
      </c>
      <c r="D360" s="5" t="n">
        <v>64.95</v>
      </c>
      <c r="E360" s="5" t="n">
        <v>118.09</v>
      </c>
      <c r="F360" s="11" t="n">
        <v>54.95</v>
      </c>
      <c r="G360" s="11" t="n">
        <v>99.95</v>
      </c>
      <c r="H360" s="12" t="n">
        <v>0.45</v>
      </c>
      <c r="I360" s="5" t="n">
        <f aca="false">F360-D360</f>
        <v>-10</v>
      </c>
      <c r="J360" s="6" t="n">
        <f aca="false">IF(D360=0,0,F360/D360-1)</f>
        <v>-0.153964588144727</v>
      </c>
      <c r="K360" s="4"/>
    </row>
    <row r="361" customFormat="false" ht="15" hidden="false" customHeight="false" outlineLevel="0" collapsed="false">
      <c r="A361" s="4" t="s">
        <v>13</v>
      </c>
      <c r="B361" s="4" t="s">
        <v>763</v>
      </c>
      <c r="C361" s="4" t="s">
        <v>764</v>
      </c>
      <c r="D361" s="5" t="n">
        <v>64.95</v>
      </c>
      <c r="E361" s="5" t="n">
        <v>118.09</v>
      </c>
      <c r="F361" s="11" t="n">
        <v>54.95</v>
      </c>
      <c r="G361" s="11" t="n">
        <v>99.95</v>
      </c>
      <c r="H361" s="12" t="n">
        <v>0.45</v>
      </c>
      <c r="I361" s="5" t="n">
        <f aca="false">F361-D361</f>
        <v>-10</v>
      </c>
      <c r="J361" s="6" t="n">
        <f aca="false">IF(D361=0,0,F361/D361-1)</f>
        <v>-0.153964588144727</v>
      </c>
      <c r="K361" s="4"/>
    </row>
    <row r="362" customFormat="false" ht="15" hidden="false" customHeight="false" outlineLevel="0" collapsed="false">
      <c r="A362" s="4" t="s">
        <v>13</v>
      </c>
      <c r="B362" s="4" t="s">
        <v>765</v>
      </c>
      <c r="C362" s="4" t="s">
        <v>766</v>
      </c>
      <c r="D362" s="5" t="n">
        <v>69.95</v>
      </c>
      <c r="E362" s="5" t="n">
        <v>127.18</v>
      </c>
      <c r="F362" s="11" t="n">
        <v>59.95</v>
      </c>
      <c r="G362" s="11" t="n">
        <v>108.95</v>
      </c>
      <c r="H362" s="12" t="n">
        <v>0.45</v>
      </c>
      <c r="I362" s="5" t="n">
        <f aca="false">F362-D362</f>
        <v>-10</v>
      </c>
      <c r="J362" s="6" t="n">
        <f aca="false">IF(D362=0,0,F362/D362-1)</f>
        <v>-0.142959256611866</v>
      </c>
      <c r="K362" s="4"/>
    </row>
    <row r="363" customFormat="false" ht="15" hidden="false" customHeight="false" outlineLevel="0" collapsed="false">
      <c r="A363" s="4" t="s">
        <v>13</v>
      </c>
      <c r="B363" s="4" t="s">
        <v>767</v>
      </c>
      <c r="C363" s="4" t="s">
        <v>768</v>
      </c>
      <c r="D363" s="5" t="n">
        <v>79.95</v>
      </c>
      <c r="E363" s="5" t="n">
        <v>133.25</v>
      </c>
      <c r="F363" s="11" t="n">
        <v>59.95</v>
      </c>
      <c r="G363" s="11" t="n">
        <v>99.95</v>
      </c>
      <c r="H363" s="12" t="n">
        <v>0.4</v>
      </c>
      <c r="I363" s="5" t="n">
        <f aca="false">F363-D363</f>
        <v>-20</v>
      </c>
      <c r="J363" s="6" t="n">
        <f aca="false">IF(D363=0,0,F363/D363-1)</f>
        <v>-0.250156347717323</v>
      </c>
      <c r="K363" s="4"/>
    </row>
    <row r="364" customFormat="false" ht="15" hidden="false" customHeight="false" outlineLevel="0" collapsed="false">
      <c r="A364" s="4" t="s">
        <v>13</v>
      </c>
      <c r="B364" s="4" t="s">
        <v>769</v>
      </c>
      <c r="C364" s="4" t="s">
        <v>770</v>
      </c>
      <c r="D364" s="5" t="n">
        <v>79.95</v>
      </c>
      <c r="E364" s="5" t="n">
        <v>159.9</v>
      </c>
      <c r="F364" s="11" t="n">
        <v>59.95</v>
      </c>
      <c r="G364" s="11" t="n">
        <v>119.95</v>
      </c>
      <c r="H364" s="12" t="n">
        <v>0.5</v>
      </c>
      <c r="I364" s="5" t="n">
        <f aca="false">F364-D364</f>
        <v>-20</v>
      </c>
      <c r="J364" s="6" t="n">
        <f aca="false">IF(D364=0,0,F364/D364-1)</f>
        <v>-0.250156347717323</v>
      </c>
      <c r="K364" s="4"/>
    </row>
    <row r="365" customFormat="false" ht="15" hidden="false" customHeight="false" outlineLevel="0" collapsed="false">
      <c r="A365" s="4" t="s">
        <v>13</v>
      </c>
      <c r="B365" s="4" t="s">
        <v>771</v>
      </c>
      <c r="C365" s="4" t="s">
        <v>772</v>
      </c>
      <c r="D365" s="5" t="n">
        <v>79.95</v>
      </c>
      <c r="E365" s="5" t="n">
        <v>145.36</v>
      </c>
      <c r="F365" s="11" t="n">
        <v>59.95</v>
      </c>
      <c r="G365" s="11" t="n">
        <v>108.95</v>
      </c>
      <c r="H365" s="12" t="n">
        <v>0.45</v>
      </c>
      <c r="I365" s="5" t="n">
        <f aca="false">F365-D365</f>
        <v>-20</v>
      </c>
      <c r="J365" s="6" t="n">
        <f aca="false">IF(D365=0,0,F365/D365-1)</f>
        <v>-0.250156347717323</v>
      </c>
      <c r="K365" s="4"/>
    </row>
    <row r="366" customFormat="false" ht="15" hidden="false" customHeight="false" outlineLevel="0" collapsed="false">
      <c r="A366" s="4" t="s">
        <v>13</v>
      </c>
      <c r="B366" s="4" t="s">
        <v>773</v>
      </c>
      <c r="C366" s="4" t="s">
        <v>774</v>
      </c>
      <c r="D366" s="5" t="n">
        <v>69.95</v>
      </c>
      <c r="E366" s="5" t="n">
        <v>139.9</v>
      </c>
      <c r="F366" s="11" t="n">
        <v>59.95</v>
      </c>
      <c r="G366" s="11" t="n">
        <v>119.95</v>
      </c>
      <c r="H366" s="12" t="n">
        <v>0.5</v>
      </c>
      <c r="I366" s="5" t="n">
        <f aca="false">F366-D366</f>
        <v>-10</v>
      </c>
      <c r="J366" s="6" t="n">
        <f aca="false">IF(D366=0,0,F366/D366-1)</f>
        <v>-0.142959256611866</v>
      </c>
      <c r="K366" s="4"/>
    </row>
    <row r="367" customFormat="false" ht="15" hidden="false" customHeight="false" outlineLevel="0" collapsed="false">
      <c r="A367" s="4" t="s">
        <v>13</v>
      </c>
      <c r="B367" s="4" t="s">
        <v>775</v>
      </c>
      <c r="C367" s="4" t="s">
        <v>776</v>
      </c>
      <c r="D367" s="5" t="n">
        <v>69.95</v>
      </c>
      <c r="E367" s="5" t="n">
        <v>127.18</v>
      </c>
      <c r="F367" s="11" t="n">
        <v>59.95</v>
      </c>
      <c r="G367" s="11" t="n">
        <v>108.95</v>
      </c>
      <c r="H367" s="12" t="n">
        <v>0.45</v>
      </c>
      <c r="I367" s="5" t="n">
        <f aca="false">F367-D367</f>
        <v>-10</v>
      </c>
      <c r="J367" s="6" t="n">
        <f aca="false">IF(D367=0,0,F367/D367-1)</f>
        <v>-0.142959256611866</v>
      </c>
      <c r="K367" s="4"/>
    </row>
    <row r="368" customFormat="false" ht="15" hidden="false" customHeight="false" outlineLevel="0" collapsed="false">
      <c r="A368" s="4" t="s">
        <v>13</v>
      </c>
      <c r="B368" s="4" t="s">
        <v>777</v>
      </c>
      <c r="C368" s="4" t="s">
        <v>778</v>
      </c>
      <c r="D368" s="5" t="n">
        <v>69.95</v>
      </c>
      <c r="E368" s="5" t="n">
        <v>139.9</v>
      </c>
      <c r="F368" s="11" t="n">
        <v>59.95</v>
      </c>
      <c r="G368" s="11" t="n">
        <v>119.95</v>
      </c>
      <c r="H368" s="12" t="n">
        <v>0.5</v>
      </c>
      <c r="I368" s="5" t="n">
        <f aca="false">F368-D368</f>
        <v>-10</v>
      </c>
      <c r="J368" s="6" t="n">
        <f aca="false">IF(D368=0,0,F368/D368-1)</f>
        <v>-0.142959256611866</v>
      </c>
      <c r="K368" s="4"/>
    </row>
    <row r="369" customFormat="false" ht="15" hidden="false" customHeight="false" outlineLevel="0" collapsed="false">
      <c r="A369" s="4" t="s">
        <v>13</v>
      </c>
      <c r="B369" s="4" t="s">
        <v>779</v>
      </c>
      <c r="C369" s="4" t="s">
        <v>780</v>
      </c>
      <c r="D369" s="5" t="n">
        <v>69.95</v>
      </c>
      <c r="E369" s="5" t="n">
        <v>127.18</v>
      </c>
      <c r="F369" s="11" t="n">
        <v>59.95</v>
      </c>
      <c r="G369" s="11" t="n">
        <v>108.95</v>
      </c>
      <c r="H369" s="12" t="n">
        <v>0.45</v>
      </c>
      <c r="I369" s="5" t="n">
        <f aca="false">F369-D369</f>
        <v>-10</v>
      </c>
      <c r="J369" s="6" t="n">
        <f aca="false">IF(D369=0,0,F369/D369-1)</f>
        <v>-0.142959256611866</v>
      </c>
      <c r="K369" s="4"/>
    </row>
    <row r="370" customFormat="false" ht="15" hidden="false" customHeight="false" outlineLevel="0" collapsed="false">
      <c r="A370" s="4" t="s">
        <v>13</v>
      </c>
      <c r="B370" s="4" t="s">
        <v>781</v>
      </c>
      <c r="C370" s="4" t="s">
        <v>782</v>
      </c>
      <c r="D370" s="5" t="n">
        <v>69.95</v>
      </c>
      <c r="E370" s="5" t="n">
        <v>116.58</v>
      </c>
      <c r="F370" s="11" t="n">
        <v>59.95</v>
      </c>
      <c r="G370" s="11" t="n">
        <v>99.95</v>
      </c>
      <c r="H370" s="12" t="n">
        <v>0.4</v>
      </c>
      <c r="I370" s="5" t="n">
        <f aca="false">F370-D370</f>
        <v>-10</v>
      </c>
      <c r="J370" s="6" t="n">
        <f aca="false">IF(D370=0,0,F370/D370-1)</f>
        <v>-0.142959256611866</v>
      </c>
      <c r="K370" s="4"/>
    </row>
    <row r="371" customFormat="false" ht="15" hidden="false" customHeight="false" outlineLevel="0" collapsed="false">
      <c r="A371" s="4" t="s">
        <v>13</v>
      </c>
      <c r="B371" s="4" t="s">
        <v>783</v>
      </c>
      <c r="C371" s="4" t="s">
        <v>784</v>
      </c>
      <c r="D371" s="5" t="n">
        <v>69.95</v>
      </c>
      <c r="E371" s="5" t="n">
        <v>127.18</v>
      </c>
      <c r="F371" s="11" t="n">
        <v>59.95</v>
      </c>
      <c r="G371" s="11" t="n">
        <v>108.95</v>
      </c>
      <c r="H371" s="12" t="n">
        <v>0.45</v>
      </c>
      <c r="I371" s="5" t="n">
        <f aca="false">F371-D371</f>
        <v>-10</v>
      </c>
      <c r="J371" s="6" t="n">
        <f aca="false">IF(D371=0,0,F371/D371-1)</f>
        <v>-0.142959256611866</v>
      </c>
      <c r="K371" s="4"/>
    </row>
    <row r="372" customFormat="false" ht="15" hidden="false" customHeight="false" outlineLevel="0" collapsed="false">
      <c r="A372" s="4" t="s">
        <v>13</v>
      </c>
      <c r="B372" s="4" t="s">
        <v>785</v>
      </c>
      <c r="C372" s="4" t="s">
        <v>786</v>
      </c>
      <c r="D372" s="5" t="n">
        <v>79.95</v>
      </c>
      <c r="E372" s="5" t="n">
        <v>133.25</v>
      </c>
      <c r="F372" s="11" t="n">
        <v>59.95</v>
      </c>
      <c r="G372" s="11" t="n">
        <v>99.95</v>
      </c>
      <c r="H372" s="12" t="n">
        <v>0.4</v>
      </c>
      <c r="I372" s="5" t="n">
        <f aca="false">F372-D372</f>
        <v>-20</v>
      </c>
      <c r="J372" s="6" t="n">
        <f aca="false">IF(D372=0,0,F372/D372-1)</f>
        <v>-0.250156347717323</v>
      </c>
      <c r="K372" s="4"/>
    </row>
    <row r="373" customFormat="false" ht="15" hidden="false" customHeight="false" outlineLevel="0" collapsed="false">
      <c r="A373" s="4" t="s">
        <v>13</v>
      </c>
      <c r="B373" s="4" t="s">
        <v>787</v>
      </c>
      <c r="C373" s="4" t="s">
        <v>788</v>
      </c>
      <c r="D373" s="5" t="n">
        <v>89.95</v>
      </c>
      <c r="E373" s="5" t="n">
        <v>149.92</v>
      </c>
      <c r="F373" s="11" t="n">
        <v>64.95</v>
      </c>
      <c r="G373" s="11" t="n">
        <v>108.95</v>
      </c>
      <c r="H373" s="12" t="n">
        <v>0.4</v>
      </c>
      <c r="I373" s="5" t="n">
        <f aca="false">F373-D373</f>
        <v>-25</v>
      </c>
      <c r="J373" s="6" t="n">
        <f aca="false">IF(D373=0,0,F373/D373-1)</f>
        <v>-0.277932184546971</v>
      </c>
      <c r="K373" s="4"/>
    </row>
    <row r="374" customFormat="false" ht="15" hidden="false" customHeight="false" outlineLevel="0" collapsed="false">
      <c r="A374" s="4" t="s">
        <v>13</v>
      </c>
      <c r="B374" s="4" t="s">
        <v>789</v>
      </c>
      <c r="C374" s="4" t="s">
        <v>790</v>
      </c>
      <c r="D374" s="5" t="n">
        <v>89.95</v>
      </c>
      <c r="E374" s="5" t="n">
        <v>179.9</v>
      </c>
      <c r="F374" s="11" t="n">
        <v>64.95</v>
      </c>
      <c r="G374" s="11" t="n">
        <v>129.95</v>
      </c>
      <c r="H374" s="12" t="n">
        <v>0.5</v>
      </c>
      <c r="I374" s="5" t="n">
        <f aca="false">F374-D374</f>
        <v>-25</v>
      </c>
      <c r="J374" s="6" t="n">
        <f aca="false">IF(D374=0,0,F374/D374-1)</f>
        <v>-0.277932184546971</v>
      </c>
      <c r="K374" s="4"/>
    </row>
    <row r="375" customFormat="false" ht="15" hidden="false" customHeight="false" outlineLevel="0" collapsed="false">
      <c r="A375" s="4" t="s">
        <v>13</v>
      </c>
      <c r="B375" s="4" t="s">
        <v>791</v>
      </c>
      <c r="C375" s="4" t="s">
        <v>792</v>
      </c>
      <c r="D375" s="5" t="n">
        <v>89.95</v>
      </c>
      <c r="E375" s="5" t="n">
        <v>163.55</v>
      </c>
      <c r="F375" s="11" t="n">
        <v>64.95</v>
      </c>
      <c r="G375" s="11" t="n">
        <v>118.95</v>
      </c>
      <c r="H375" s="12" t="n">
        <v>0.45</v>
      </c>
      <c r="I375" s="5" t="n">
        <f aca="false">F375-D375</f>
        <v>-25</v>
      </c>
      <c r="J375" s="6" t="n">
        <f aca="false">IF(D375=0,0,F375/D375-1)</f>
        <v>-0.277932184546971</v>
      </c>
      <c r="K375" s="4"/>
    </row>
    <row r="376" customFormat="false" ht="15" hidden="false" customHeight="false" outlineLevel="0" collapsed="false">
      <c r="A376" s="4" t="s">
        <v>11</v>
      </c>
      <c r="B376" s="4" t="s">
        <v>793</v>
      </c>
      <c r="C376" s="4" t="s">
        <v>794</v>
      </c>
      <c r="D376" s="5" t="n">
        <v>44.95</v>
      </c>
      <c r="E376" s="5" t="n">
        <v>89.9</v>
      </c>
      <c r="F376" s="11" t="n">
        <v>44.95</v>
      </c>
      <c r="G376" s="11" t="n">
        <v>89.95</v>
      </c>
      <c r="H376" s="12" t="n">
        <v>0.5</v>
      </c>
      <c r="I376" s="5" t="n">
        <f aca="false">F376-D376</f>
        <v>0</v>
      </c>
      <c r="J376" s="6" t="n">
        <f aca="false">IF(D376=0,0,F376/D376-1)</f>
        <v>0</v>
      </c>
      <c r="K376" s="4"/>
    </row>
    <row r="377" customFormat="false" ht="15" hidden="false" customHeight="false" outlineLevel="0" collapsed="false">
      <c r="A377" s="4" t="s">
        <v>11</v>
      </c>
      <c r="B377" s="4" t="s">
        <v>795</v>
      </c>
      <c r="C377" s="4" t="s">
        <v>796</v>
      </c>
      <c r="D377" s="5" t="n">
        <v>44.95</v>
      </c>
      <c r="E377" s="5" t="n">
        <v>74.92</v>
      </c>
      <c r="F377" s="11" t="n">
        <v>44.95</v>
      </c>
      <c r="G377" s="11" t="n">
        <v>74.95</v>
      </c>
      <c r="H377" s="12" t="n">
        <v>0.4</v>
      </c>
      <c r="I377" s="5" t="n">
        <f aca="false">F377-D377</f>
        <v>0</v>
      </c>
      <c r="J377" s="6" t="n">
        <f aca="false">IF(D377=0,0,F377/D377-1)</f>
        <v>0</v>
      </c>
      <c r="K377" s="4"/>
    </row>
    <row r="378" customFormat="false" ht="15" hidden="false" customHeight="false" outlineLevel="0" collapsed="false">
      <c r="A378" s="4" t="s">
        <v>11</v>
      </c>
      <c r="B378" s="4" t="s">
        <v>797</v>
      </c>
      <c r="C378" s="4" t="s">
        <v>798</v>
      </c>
      <c r="D378" s="5" t="n">
        <v>49.95</v>
      </c>
      <c r="E378" s="5" t="n">
        <v>99.9</v>
      </c>
      <c r="F378" s="11" t="n">
        <v>44.95</v>
      </c>
      <c r="G378" s="11" t="n">
        <v>89.95</v>
      </c>
      <c r="H378" s="12" t="n">
        <v>0.5</v>
      </c>
      <c r="I378" s="5" t="n">
        <f aca="false">F378-D378</f>
        <v>-5</v>
      </c>
      <c r="J378" s="6" t="n">
        <f aca="false">IF(D378=0,0,F378/D378-1)</f>
        <v>-0.1001001001001</v>
      </c>
      <c r="K378" s="4"/>
    </row>
    <row r="379" customFormat="false" ht="15" hidden="false" customHeight="false" outlineLevel="0" collapsed="false">
      <c r="A379" s="4" t="s">
        <v>11</v>
      </c>
      <c r="B379" s="4" t="s">
        <v>799</v>
      </c>
      <c r="C379" s="4" t="s">
        <v>800</v>
      </c>
      <c r="D379" s="5" t="n">
        <v>44.95</v>
      </c>
      <c r="E379" s="5" t="n">
        <v>81.73</v>
      </c>
      <c r="F379" s="11" t="n">
        <v>44.95</v>
      </c>
      <c r="G379" s="11" t="n">
        <v>81.95</v>
      </c>
      <c r="H379" s="12" t="n">
        <v>0.45</v>
      </c>
      <c r="I379" s="5" t="n">
        <f aca="false">F379-D379</f>
        <v>0</v>
      </c>
      <c r="J379" s="6" t="n">
        <f aca="false">IF(D379=0,0,F379/D379-1)</f>
        <v>0</v>
      </c>
      <c r="K379" s="4"/>
    </row>
    <row r="380" customFormat="false" ht="15" hidden="false" customHeight="false" outlineLevel="0" collapsed="false">
      <c r="A380" s="4" t="s">
        <v>11</v>
      </c>
      <c r="B380" s="4" t="s">
        <v>801</v>
      </c>
      <c r="C380" s="4" t="s">
        <v>802</v>
      </c>
      <c r="D380" s="5" t="n">
        <v>49.95</v>
      </c>
      <c r="E380" s="5" t="n">
        <v>99.9</v>
      </c>
      <c r="F380" s="11" t="n">
        <v>44.95</v>
      </c>
      <c r="G380" s="11" t="n">
        <v>89.95</v>
      </c>
      <c r="H380" s="12" t="n">
        <v>0.5</v>
      </c>
      <c r="I380" s="5" t="n">
        <f aca="false">F380-D380</f>
        <v>-5</v>
      </c>
      <c r="J380" s="6" t="n">
        <f aca="false">IF(D380=0,0,F380/D380-1)</f>
        <v>-0.1001001001001</v>
      </c>
      <c r="K380" s="4"/>
    </row>
    <row r="381" customFormat="false" ht="15" hidden="false" customHeight="false" outlineLevel="0" collapsed="false">
      <c r="A381" s="4" t="s">
        <v>11</v>
      </c>
      <c r="B381" s="4" t="s">
        <v>803</v>
      </c>
      <c r="C381" s="4" t="s">
        <v>804</v>
      </c>
      <c r="D381" s="5" t="n">
        <v>49.95</v>
      </c>
      <c r="E381" s="5" t="n">
        <v>99.9</v>
      </c>
      <c r="F381" s="11" t="n">
        <v>44.95</v>
      </c>
      <c r="G381" s="11" t="n">
        <v>89.95</v>
      </c>
      <c r="H381" s="12" t="n">
        <v>0.5</v>
      </c>
      <c r="I381" s="5" t="n">
        <f aca="false">F381-D381</f>
        <v>-5</v>
      </c>
      <c r="J381" s="6" t="n">
        <f aca="false">IF(D381=0,0,F381/D381-1)</f>
        <v>-0.1001001001001</v>
      </c>
      <c r="K381" s="4"/>
    </row>
    <row r="382" customFormat="false" ht="15" hidden="false" customHeight="false" outlineLevel="0" collapsed="false">
      <c r="A382" s="4" t="s">
        <v>11</v>
      </c>
      <c r="B382" s="4" t="s">
        <v>805</v>
      </c>
      <c r="C382" s="4" t="s">
        <v>806</v>
      </c>
      <c r="D382" s="5" t="n">
        <v>44.95</v>
      </c>
      <c r="E382" s="5" t="n">
        <v>81.73</v>
      </c>
      <c r="F382" s="11" t="n">
        <v>44.95</v>
      </c>
      <c r="G382" s="11" t="n">
        <v>81.95</v>
      </c>
      <c r="H382" s="12" t="n">
        <v>0.45</v>
      </c>
      <c r="I382" s="5" t="n">
        <f aca="false">F382-D382</f>
        <v>0</v>
      </c>
      <c r="J382" s="6" t="n">
        <f aca="false">IF(D382=0,0,F382/D382-1)</f>
        <v>0</v>
      </c>
      <c r="K382" s="4"/>
    </row>
    <row r="383" customFormat="false" ht="15" hidden="false" customHeight="false" outlineLevel="0" collapsed="false">
      <c r="A383" s="4" t="s">
        <v>11</v>
      </c>
      <c r="B383" s="4" t="s">
        <v>807</v>
      </c>
      <c r="C383" s="4" t="s">
        <v>808</v>
      </c>
      <c r="D383" s="5" t="n">
        <v>49.95</v>
      </c>
      <c r="E383" s="5" t="n">
        <v>99.9</v>
      </c>
      <c r="F383" s="11" t="n">
        <v>44.95</v>
      </c>
      <c r="G383" s="11" t="n">
        <v>89.95</v>
      </c>
      <c r="H383" s="12" t="n">
        <v>0.5</v>
      </c>
      <c r="I383" s="5" t="n">
        <f aca="false">F383-D383</f>
        <v>-5</v>
      </c>
      <c r="J383" s="6" t="n">
        <f aca="false">IF(D383=0,0,F383/D383-1)</f>
        <v>-0.1001001001001</v>
      </c>
      <c r="K383" s="4"/>
    </row>
    <row r="384" customFormat="false" ht="15" hidden="false" customHeight="false" outlineLevel="0" collapsed="false">
      <c r="A384" s="4" t="s">
        <v>11</v>
      </c>
      <c r="B384" s="4" t="s">
        <v>809</v>
      </c>
      <c r="C384" s="4" t="s">
        <v>810</v>
      </c>
      <c r="D384" s="5" t="n">
        <v>49.95</v>
      </c>
      <c r="E384" s="5" t="n">
        <v>99.9</v>
      </c>
      <c r="F384" s="11" t="n">
        <v>44.95</v>
      </c>
      <c r="G384" s="11" t="n">
        <v>89.95</v>
      </c>
      <c r="H384" s="12" t="n">
        <v>0.5</v>
      </c>
      <c r="I384" s="5" t="n">
        <f aca="false">F384-D384</f>
        <v>-5</v>
      </c>
      <c r="J384" s="6" t="n">
        <f aca="false">IF(D384=0,0,F384/D384-1)</f>
        <v>-0.1001001001001</v>
      </c>
      <c r="K384" s="4"/>
    </row>
    <row r="385" customFormat="false" ht="15" hidden="false" customHeight="false" outlineLevel="0" collapsed="false">
      <c r="A385" s="4" t="s">
        <v>11</v>
      </c>
      <c r="B385" s="4" t="s">
        <v>811</v>
      </c>
      <c r="C385" s="4" t="s">
        <v>812</v>
      </c>
      <c r="D385" s="5" t="n">
        <v>44.95</v>
      </c>
      <c r="E385" s="5" t="n">
        <v>89.9</v>
      </c>
      <c r="F385" s="11" t="n">
        <v>44.95</v>
      </c>
      <c r="G385" s="11" t="n">
        <v>89.95</v>
      </c>
      <c r="H385" s="12" t="n">
        <v>0.5</v>
      </c>
      <c r="I385" s="5" t="n">
        <f aca="false">F385-D385</f>
        <v>0</v>
      </c>
      <c r="J385" s="6" t="n">
        <f aca="false">IF(D385=0,0,F385/D385-1)</f>
        <v>0</v>
      </c>
      <c r="K385" s="4"/>
    </row>
    <row r="386" customFormat="false" ht="15" hidden="false" customHeight="false" outlineLevel="0" collapsed="false">
      <c r="A386" s="4" t="s">
        <v>11</v>
      </c>
      <c r="B386" s="4" t="s">
        <v>813</v>
      </c>
      <c r="C386" s="4" t="s">
        <v>814</v>
      </c>
      <c r="D386" s="5" t="n">
        <v>49.95</v>
      </c>
      <c r="E386" s="5" t="n">
        <v>83.25</v>
      </c>
      <c r="F386" s="11" t="n">
        <v>44.95</v>
      </c>
      <c r="G386" s="11" t="n">
        <v>74.95</v>
      </c>
      <c r="H386" s="12" t="n">
        <v>0.4</v>
      </c>
      <c r="I386" s="5" t="n">
        <f aca="false">F386-D386</f>
        <v>-5</v>
      </c>
      <c r="J386" s="6" t="n">
        <f aca="false">IF(D386=0,0,F386/D386-1)</f>
        <v>-0.1001001001001</v>
      </c>
      <c r="K386" s="4"/>
    </row>
    <row r="387" customFormat="false" ht="15" hidden="false" customHeight="false" outlineLevel="0" collapsed="false">
      <c r="A387" s="4" t="s">
        <v>11</v>
      </c>
      <c r="B387" s="4" t="s">
        <v>815</v>
      </c>
      <c r="C387" s="4" t="s">
        <v>816</v>
      </c>
      <c r="D387" s="5" t="n">
        <v>54.95</v>
      </c>
      <c r="E387" s="5" t="n">
        <v>99.91</v>
      </c>
      <c r="F387" s="11" t="n">
        <v>49.95</v>
      </c>
      <c r="G387" s="11" t="n">
        <v>90.95</v>
      </c>
      <c r="H387" s="12" t="n">
        <v>0.45</v>
      </c>
      <c r="I387" s="5" t="n">
        <f aca="false">F387-D387</f>
        <v>-5</v>
      </c>
      <c r="J387" s="6" t="n">
        <f aca="false">IF(D387=0,0,F387/D387-1)</f>
        <v>-0.0909918107370337</v>
      </c>
      <c r="K387" s="4"/>
    </row>
    <row r="388" customFormat="false" ht="15" hidden="false" customHeight="false" outlineLevel="0" collapsed="false">
      <c r="A388" s="4" t="s">
        <v>11</v>
      </c>
      <c r="B388" s="4" t="s">
        <v>817</v>
      </c>
      <c r="C388" s="4" t="s">
        <v>818</v>
      </c>
      <c r="D388" s="5" t="n">
        <v>54.95</v>
      </c>
      <c r="E388" s="5" t="n">
        <v>99.91</v>
      </c>
      <c r="F388" s="11" t="n">
        <v>49.95</v>
      </c>
      <c r="G388" s="11" t="n">
        <v>90.95</v>
      </c>
      <c r="H388" s="12" t="n">
        <v>0.45</v>
      </c>
      <c r="I388" s="5" t="n">
        <f aca="false">F388-D388</f>
        <v>-5</v>
      </c>
      <c r="J388" s="6" t="n">
        <f aca="false">IF(D388=0,0,F388/D388-1)</f>
        <v>-0.0909918107370337</v>
      </c>
      <c r="K388" s="4"/>
    </row>
    <row r="389" customFormat="false" ht="15" hidden="false" customHeight="false" outlineLevel="0" collapsed="false">
      <c r="A389" s="4" t="s">
        <v>11</v>
      </c>
      <c r="B389" s="4" t="s">
        <v>819</v>
      </c>
      <c r="C389" s="4" t="s">
        <v>820</v>
      </c>
      <c r="D389" s="5" t="n">
        <v>54.95</v>
      </c>
      <c r="E389" s="5" t="n">
        <v>91.58</v>
      </c>
      <c r="F389" s="11" t="n">
        <v>49.95</v>
      </c>
      <c r="G389" s="11" t="n">
        <v>83.95</v>
      </c>
      <c r="H389" s="12" t="n">
        <v>0.4</v>
      </c>
      <c r="I389" s="5" t="n">
        <f aca="false">F389-D389</f>
        <v>-5</v>
      </c>
      <c r="J389" s="6" t="n">
        <f aca="false">IF(D389=0,0,F389/D389-1)</f>
        <v>-0.0909918107370337</v>
      </c>
      <c r="K389" s="4"/>
    </row>
    <row r="390" customFormat="false" ht="15" hidden="false" customHeight="false" outlineLevel="0" collapsed="false">
      <c r="A390" s="4" t="s">
        <v>11</v>
      </c>
      <c r="B390" s="4" t="s">
        <v>821</v>
      </c>
      <c r="C390" s="4" t="s">
        <v>822</v>
      </c>
      <c r="D390" s="5" t="n">
        <v>54.95</v>
      </c>
      <c r="E390" s="5" t="n">
        <v>91.58</v>
      </c>
      <c r="F390" s="11" t="n">
        <v>49.95</v>
      </c>
      <c r="G390" s="11" t="n">
        <v>83.95</v>
      </c>
      <c r="H390" s="12" t="n">
        <v>0.4</v>
      </c>
      <c r="I390" s="5" t="n">
        <f aca="false">F390-D390</f>
        <v>-5</v>
      </c>
      <c r="J390" s="6" t="n">
        <f aca="false">IF(D390=0,0,F390/D390-1)</f>
        <v>-0.0909918107370337</v>
      </c>
      <c r="K390" s="4"/>
    </row>
    <row r="391" customFormat="false" ht="15" hidden="false" customHeight="false" outlineLevel="0" collapsed="false">
      <c r="A391" s="4" t="s">
        <v>11</v>
      </c>
      <c r="B391" s="4" t="s">
        <v>823</v>
      </c>
      <c r="C391" s="4" t="s">
        <v>824</v>
      </c>
      <c r="D391" s="5" t="n">
        <v>54.95</v>
      </c>
      <c r="E391" s="5" t="n">
        <v>91.58</v>
      </c>
      <c r="F391" s="11" t="n">
        <v>49.95</v>
      </c>
      <c r="G391" s="11" t="n">
        <v>83.95</v>
      </c>
      <c r="H391" s="12" t="n">
        <v>0.4</v>
      </c>
      <c r="I391" s="5" t="n">
        <f aca="false">F391-D391</f>
        <v>-5</v>
      </c>
      <c r="J391" s="6" t="n">
        <f aca="false">IF(D391=0,0,F391/D391-1)</f>
        <v>-0.0909918107370337</v>
      </c>
      <c r="K391" s="4"/>
    </row>
    <row r="392" customFormat="false" ht="15" hidden="false" customHeight="false" outlineLevel="0" collapsed="false">
      <c r="A392" s="4" t="s">
        <v>11</v>
      </c>
      <c r="B392" s="4" t="s">
        <v>825</v>
      </c>
      <c r="C392" s="4" t="s">
        <v>826</v>
      </c>
      <c r="D392" s="5" t="n">
        <v>54.95</v>
      </c>
      <c r="E392" s="5" t="n">
        <v>91.58</v>
      </c>
      <c r="F392" s="11" t="n">
        <v>49.95</v>
      </c>
      <c r="G392" s="11" t="n">
        <v>83.95</v>
      </c>
      <c r="H392" s="12" t="n">
        <v>0.4</v>
      </c>
      <c r="I392" s="5" t="n">
        <f aca="false">F392-D392</f>
        <v>-5</v>
      </c>
      <c r="J392" s="6" t="n">
        <f aca="false">IF(D392=0,0,F392/D392-1)</f>
        <v>-0.0909918107370337</v>
      </c>
      <c r="K392" s="4"/>
    </row>
    <row r="393" customFormat="false" ht="15" hidden="false" customHeight="false" outlineLevel="0" collapsed="false">
      <c r="A393" s="4" t="s">
        <v>11</v>
      </c>
      <c r="B393" s="4" t="s">
        <v>827</v>
      </c>
      <c r="C393" s="4" t="s">
        <v>828</v>
      </c>
      <c r="D393" s="5" t="n">
        <v>64.95</v>
      </c>
      <c r="E393" s="5" t="n">
        <v>118.09</v>
      </c>
      <c r="F393" s="11" t="n">
        <v>54.95</v>
      </c>
      <c r="G393" s="11" t="n">
        <v>99.95</v>
      </c>
      <c r="H393" s="12" t="n">
        <v>0.45</v>
      </c>
      <c r="I393" s="5" t="n">
        <f aca="false">F393-D393</f>
        <v>-10</v>
      </c>
      <c r="J393" s="6" t="n">
        <f aca="false">IF(D393=0,0,F393/D393-1)</f>
        <v>-0.153964588144727</v>
      </c>
      <c r="K393" s="4"/>
    </row>
    <row r="394" customFormat="false" ht="15" hidden="false" customHeight="false" outlineLevel="0" collapsed="false">
      <c r="A394" s="4" t="s">
        <v>11</v>
      </c>
      <c r="B394" s="4" t="s">
        <v>829</v>
      </c>
      <c r="C394" s="4" t="s">
        <v>830</v>
      </c>
      <c r="D394" s="5" t="n">
        <v>64.95</v>
      </c>
      <c r="E394" s="5" t="n">
        <v>129.9</v>
      </c>
      <c r="F394" s="11" t="n">
        <v>54.95</v>
      </c>
      <c r="G394" s="11" t="n">
        <v>109.95</v>
      </c>
      <c r="H394" s="12" t="n">
        <v>0.5</v>
      </c>
      <c r="I394" s="5" t="n">
        <f aca="false">F394-D394</f>
        <v>-10</v>
      </c>
      <c r="J394" s="6" t="n">
        <f aca="false">IF(D394=0,0,F394/D394-1)</f>
        <v>-0.153964588144727</v>
      </c>
      <c r="K394" s="4"/>
    </row>
    <row r="395" customFormat="false" ht="15" hidden="false" customHeight="false" outlineLevel="0" collapsed="false">
      <c r="A395" s="4" t="s">
        <v>11</v>
      </c>
      <c r="B395" s="4" t="s">
        <v>831</v>
      </c>
      <c r="C395" s="4" t="s">
        <v>832</v>
      </c>
      <c r="D395" s="5" t="n">
        <v>64.95</v>
      </c>
      <c r="E395" s="5" t="n">
        <v>129.9</v>
      </c>
      <c r="F395" s="11" t="n">
        <v>54.95</v>
      </c>
      <c r="G395" s="11" t="n">
        <v>109.95</v>
      </c>
      <c r="H395" s="12" t="n">
        <v>0.5</v>
      </c>
      <c r="I395" s="5" t="n">
        <f aca="false">F395-D395</f>
        <v>-10</v>
      </c>
      <c r="J395" s="6" t="n">
        <f aca="false">IF(D395=0,0,F395/D395-1)</f>
        <v>-0.153964588144727</v>
      </c>
      <c r="K395" s="4"/>
    </row>
    <row r="396" customFormat="false" ht="15" hidden="false" customHeight="false" outlineLevel="0" collapsed="false">
      <c r="A396" s="4" t="s">
        <v>11</v>
      </c>
      <c r="B396" s="4" t="s">
        <v>833</v>
      </c>
      <c r="C396" s="4" t="s">
        <v>834</v>
      </c>
      <c r="D396" s="5" t="n">
        <v>64.95</v>
      </c>
      <c r="E396" s="5" t="n">
        <v>129.9</v>
      </c>
      <c r="F396" s="11" t="n">
        <v>54.95</v>
      </c>
      <c r="G396" s="11" t="n">
        <v>109.95</v>
      </c>
      <c r="H396" s="12" t="n">
        <v>0.5</v>
      </c>
      <c r="I396" s="5" t="n">
        <f aca="false">F396-D396</f>
        <v>-10</v>
      </c>
      <c r="J396" s="6" t="n">
        <f aca="false">IF(D396=0,0,F396/D396-1)</f>
        <v>-0.153964588144727</v>
      </c>
      <c r="K396" s="4"/>
    </row>
    <row r="397" customFormat="false" ht="15" hidden="false" customHeight="false" outlineLevel="0" collapsed="false">
      <c r="A397" s="4" t="s">
        <v>11</v>
      </c>
      <c r="B397" s="4" t="s">
        <v>835</v>
      </c>
      <c r="C397" s="4" t="s">
        <v>836</v>
      </c>
      <c r="D397" s="5" t="n">
        <v>64.95</v>
      </c>
      <c r="E397" s="5" t="n">
        <v>118.09</v>
      </c>
      <c r="F397" s="11" t="n">
        <v>54.95</v>
      </c>
      <c r="G397" s="11" t="n">
        <v>99.95</v>
      </c>
      <c r="H397" s="12" t="n">
        <v>0.45</v>
      </c>
      <c r="I397" s="5" t="n">
        <f aca="false">F397-D397</f>
        <v>-10</v>
      </c>
      <c r="J397" s="6" t="n">
        <f aca="false">IF(D397=0,0,F397/D397-1)</f>
        <v>-0.153964588144727</v>
      </c>
      <c r="K397" s="4"/>
    </row>
    <row r="398" customFormat="false" ht="15" hidden="false" customHeight="false" outlineLevel="0" collapsed="false">
      <c r="A398" s="4" t="s">
        <v>11</v>
      </c>
      <c r="B398" s="4" t="s">
        <v>837</v>
      </c>
      <c r="C398" s="4" t="s">
        <v>838</v>
      </c>
      <c r="D398" s="5" t="n">
        <v>64.95</v>
      </c>
      <c r="E398" s="5" t="n">
        <v>108.25</v>
      </c>
      <c r="F398" s="11" t="n">
        <v>54.95</v>
      </c>
      <c r="G398" s="11" t="n">
        <v>91.95</v>
      </c>
      <c r="H398" s="12" t="n">
        <v>0.4</v>
      </c>
      <c r="I398" s="5" t="n">
        <f aca="false">F398-D398</f>
        <v>-10</v>
      </c>
      <c r="J398" s="6" t="n">
        <f aca="false">IF(D398=0,0,F398/D398-1)</f>
        <v>-0.153964588144727</v>
      </c>
      <c r="K398" s="4"/>
    </row>
    <row r="399" customFormat="false" ht="15" hidden="false" customHeight="false" outlineLevel="0" collapsed="false">
      <c r="A399" s="4" t="s">
        <v>11</v>
      </c>
      <c r="B399" s="4" t="s">
        <v>839</v>
      </c>
      <c r="C399" s="4" t="s">
        <v>840</v>
      </c>
      <c r="D399" s="5" t="n">
        <v>64.95</v>
      </c>
      <c r="E399" s="5" t="n">
        <v>108.25</v>
      </c>
      <c r="F399" s="11" t="n">
        <v>54.95</v>
      </c>
      <c r="G399" s="11" t="n">
        <v>91.95</v>
      </c>
      <c r="H399" s="12" t="n">
        <v>0.4</v>
      </c>
      <c r="I399" s="5" t="n">
        <f aca="false">F399-D399</f>
        <v>-10</v>
      </c>
      <c r="J399" s="6" t="n">
        <f aca="false">IF(D399=0,0,F399/D399-1)</f>
        <v>-0.153964588144727</v>
      </c>
      <c r="K399" s="4"/>
    </row>
    <row r="400" customFormat="false" ht="15" hidden="false" customHeight="false" outlineLevel="0" collapsed="false">
      <c r="A400" s="4" t="s">
        <v>11</v>
      </c>
      <c r="B400" s="4" t="s">
        <v>841</v>
      </c>
      <c r="C400" s="4" t="s">
        <v>842</v>
      </c>
      <c r="D400" s="5" t="n">
        <v>64.95</v>
      </c>
      <c r="E400" s="5" t="n">
        <v>129.9</v>
      </c>
      <c r="F400" s="11" t="n">
        <v>54.95</v>
      </c>
      <c r="G400" s="11" t="n">
        <v>109.95</v>
      </c>
      <c r="H400" s="12" t="n">
        <v>0.5</v>
      </c>
      <c r="I400" s="5" t="n">
        <f aca="false">F400-D400</f>
        <v>-10</v>
      </c>
      <c r="J400" s="6" t="n">
        <f aca="false">IF(D400=0,0,F400/D400-1)</f>
        <v>-0.153964588144727</v>
      </c>
      <c r="K400" s="4"/>
    </row>
    <row r="401" customFormat="false" ht="15" hidden="false" customHeight="false" outlineLevel="0" collapsed="false">
      <c r="A401" s="4" t="s">
        <v>11</v>
      </c>
      <c r="B401" s="4" t="s">
        <v>843</v>
      </c>
      <c r="C401" s="4" t="s">
        <v>844</v>
      </c>
      <c r="D401" s="5" t="n">
        <v>64.95</v>
      </c>
      <c r="E401" s="5" t="n">
        <v>129.9</v>
      </c>
      <c r="F401" s="11" t="n">
        <v>54.95</v>
      </c>
      <c r="G401" s="11" t="n">
        <v>109.95</v>
      </c>
      <c r="H401" s="12" t="n">
        <v>0.5</v>
      </c>
      <c r="I401" s="5" t="n">
        <f aca="false">F401-D401</f>
        <v>-10</v>
      </c>
      <c r="J401" s="6" t="n">
        <f aca="false">IF(D401=0,0,F401/D401-1)</f>
        <v>-0.153964588144727</v>
      </c>
      <c r="K401" s="4"/>
    </row>
    <row r="402" customFormat="false" ht="15" hidden="false" customHeight="false" outlineLevel="0" collapsed="false">
      <c r="A402" s="4" t="s">
        <v>11</v>
      </c>
      <c r="B402" s="4" t="s">
        <v>845</v>
      </c>
      <c r="C402" s="4" t="s">
        <v>846</v>
      </c>
      <c r="D402" s="5" t="n">
        <v>64.95</v>
      </c>
      <c r="E402" s="5" t="n">
        <v>108.25</v>
      </c>
      <c r="F402" s="11" t="n">
        <v>54.95</v>
      </c>
      <c r="G402" s="11" t="n">
        <v>91.95</v>
      </c>
      <c r="H402" s="12" t="n">
        <v>0.4</v>
      </c>
      <c r="I402" s="5" t="n">
        <f aca="false">F402-D402</f>
        <v>-10</v>
      </c>
      <c r="J402" s="6" t="n">
        <f aca="false">IF(D402=0,0,F402/D402-1)</f>
        <v>-0.153964588144727</v>
      </c>
      <c r="K402" s="4"/>
    </row>
    <row r="403" customFormat="false" ht="15" hidden="false" customHeight="false" outlineLevel="0" collapsed="false">
      <c r="A403" s="4" t="s">
        <v>11</v>
      </c>
      <c r="B403" s="4" t="s">
        <v>847</v>
      </c>
      <c r="C403" s="4" t="s">
        <v>848</v>
      </c>
      <c r="D403" s="5" t="n">
        <v>64.95</v>
      </c>
      <c r="E403" s="5" t="n">
        <v>129.9</v>
      </c>
      <c r="F403" s="11" t="n">
        <v>54.95</v>
      </c>
      <c r="G403" s="11" t="n">
        <v>109.95</v>
      </c>
      <c r="H403" s="12" t="n">
        <v>0.5</v>
      </c>
      <c r="I403" s="5" t="n">
        <f aca="false">F403-D403</f>
        <v>-10</v>
      </c>
      <c r="J403" s="6" t="n">
        <f aca="false">IF(D403=0,0,F403/D403-1)</f>
        <v>-0.153964588144727</v>
      </c>
      <c r="K403" s="4"/>
    </row>
    <row r="404" customFormat="false" ht="15" hidden="false" customHeight="false" outlineLevel="0" collapsed="false">
      <c r="A404" s="4" t="s">
        <v>11</v>
      </c>
      <c r="B404" s="4" t="s">
        <v>849</v>
      </c>
      <c r="C404" s="4" t="s">
        <v>850</v>
      </c>
      <c r="D404" s="5" t="n">
        <v>64.95</v>
      </c>
      <c r="E404" s="5" t="n">
        <v>118.09</v>
      </c>
      <c r="F404" s="11" t="n">
        <v>54.95</v>
      </c>
      <c r="G404" s="11" t="n">
        <v>99.95</v>
      </c>
      <c r="H404" s="12" t="n">
        <v>0.45</v>
      </c>
      <c r="I404" s="5" t="n">
        <f aca="false">F404-D404</f>
        <v>-10</v>
      </c>
      <c r="J404" s="6" t="n">
        <f aca="false">IF(D404=0,0,F404/D404-1)</f>
        <v>-0.153964588144727</v>
      </c>
      <c r="K404" s="4"/>
    </row>
    <row r="405" customFormat="false" ht="15" hidden="false" customHeight="false" outlineLevel="0" collapsed="false">
      <c r="A405" s="4" t="s">
        <v>11</v>
      </c>
      <c r="B405" s="4" t="s">
        <v>851</v>
      </c>
      <c r="C405" s="4" t="s">
        <v>852</v>
      </c>
      <c r="D405" s="5" t="n">
        <v>64.95</v>
      </c>
      <c r="E405" s="5" t="n">
        <v>118.09</v>
      </c>
      <c r="F405" s="11" t="n">
        <v>54.95</v>
      </c>
      <c r="G405" s="11" t="n">
        <v>99.95</v>
      </c>
      <c r="H405" s="12" t="n">
        <v>0.45</v>
      </c>
      <c r="I405" s="5" t="n">
        <f aca="false">F405-D405</f>
        <v>-10</v>
      </c>
      <c r="J405" s="6" t="n">
        <f aca="false">IF(D405=0,0,F405/D405-1)</f>
        <v>-0.153964588144727</v>
      </c>
      <c r="K405" s="4"/>
    </row>
    <row r="406" customFormat="false" ht="15" hidden="false" customHeight="false" outlineLevel="0" collapsed="false">
      <c r="A406" s="4" t="s">
        <v>11</v>
      </c>
      <c r="B406" s="4" t="s">
        <v>853</v>
      </c>
      <c r="C406" s="4" t="s">
        <v>854</v>
      </c>
      <c r="D406" s="5" t="n">
        <v>64.95</v>
      </c>
      <c r="E406" s="5" t="n">
        <v>108.25</v>
      </c>
      <c r="F406" s="11" t="n">
        <v>54.95</v>
      </c>
      <c r="G406" s="11" t="n">
        <v>91.95</v>
      </c>
      <c r="H406" s="12" t="n">
        <v>0.4</v>
      </c>
      <c r="I406" s="5" t="n">
        <f aca="false">F406-D406</f>
        <v>-10</v>
      </c>
      <c r="J406" s="6" t="n">
        <f aca="false">IF(D406=0,0,F406/D406-1)</f>
        <v>-0.153964588144727</v>
      </c>
      <c r="K406" s="4"/>
    </row>
    <row r="407" customFormat="false" ht="15" hidden="false" customHeight="false" outlineLevel="0" collapsed="false">
      <c r="A407" s="4" t="s">
        <v>11</v>
      </c>
      <c r="B407" s="4" t="s">
        <v>855</v>
      </c>
      <c r="C407" s="4" t="s">
        <v>856</v>
      </c>
      <c r="D407" s="5" t="n">
        <v>64.95</v>
      </c>
      <c r="E407" s="5" t="n">
        <v>118.09</v>
      </c>
      <c r="F407" s="11" t="n">
        <v>54.95</v>
      </c>
      <c r="G407" s="11" t="n">
        <v>99.95</v>
      </c>
      <c r="H407" s="12" t="n">
        <v>0.45</v>
      </c>
      <c r="I407" s="5" t="n">
        <f aca="false">F407-D407</f>
        <v>-10</v>
      </c>
      <c r="J407" s="6" t="n">
        <f aca="false">IF(D407=0,0,F407/D407-1)</f>
        <v>-0.153964588144727</v>
      </c>
      <c r="K407" s="4"/>
    </row>
    <row r="408" customFormat="false" ht="15" hidden="false" customHeight="false" outlineLevel="0" collapsed="false">
      <c r="A408" s="4" t="s">
        <v>11</v>
      </c>
      <c r="B408" s="4" t="s">
        <v>857</v>
      </c>
      <c r="C408" s="4" t="s">
        <v>858</v>
      </c>
      <c r="D408" s="5" t="n">
        <v>69.95</v>
      </c>
      <c r="E408" s="5" t="n">
        <v>127.18</v>
      </c>
      <c r="F408" s="11" t="n">
        <v>54.95</v>
      </c>
      <c r="G408" s="11" t="n">
        <v>99.95</v>
      </c>
      <c r="H408" s="12" t="n">
        <v>0.45</v>
      </c>
      <c r="I408" s="5" t="n">
        <f aca="false">F408-D408</f>
        <v>-15</v>
      </c>
      <c r="J408" s="6" t="n">
        <f aca="false">IF(D408=0,0,F408/D408-1)</f>
        <v>-0.214438884917798</v>
      </c>
      <c r="K408" s="4"/>
    </row>
    <row r="409" customFormat="false" ht="15" hidden="false" customHeight="false" outlineLevel="0" collapsed="false">
      <c r="A409" s="4" t="s">
        <v>11</v>
      </c>
      <c r="B409" s="4" t="s">
        <v>859</v>
      </c>
      <c r="C409" s="4" t="s">
        <v>860</v>
      </c>
      <c r="D409" s="5" t="n">
        <v>64.95</v>
      </c>
      <c r="E409" s="5" t="n">
        <v>129.9</v>
      </c>
      <c r="F409" s="11" t="n">
        <v>54.95</v>
      </c>
      <c r="G409" s="11" t="n">
        <v>109.95</v>
      </c>
      <c r="H409" s="12" t="n">
        <v>0.5</v>
      </c>
      <c r="I409" s="5" t="n">
        <f aca="false">F409-D409</f>
        <v>-10</v>
      </c>
      <c r="J409" s="6" t="n">
        <f aca="false">IF(D409=0,0,F409/D409-1)</f>
        <v>-0.153964588144727</v>
      </c>
      <c r="K409" s="4"/>
    </row>
    <row r="410" customFormat="false" ht="15" hidden="false" customHeight="false" outlineLevel="0" collapsed="false">
      <c r="A410" s="4" t="s">
        <v>11</v>
      </c>
      <c r="B410" s="4" t="s">
        <v>861</v>
      </c>
      <c r="C410" s="4" t="s">
        <v>862</v>
      </c>
      <c r="D410" s="5" t="n">
        <v>64.95</v>
      </c>
      <c r="E410" s="5" t="n">
        <v>129.9</v>
      </c>
      <c r="F410" s="11" t="n">
        <v>54.95</v>
      </c>
      <c r="G410" s="11" t="n">
        <v>109.95</v>
      </c>
      <c r="H410" s="12" t="n">
        <v>0.5</v>
      </c>
      <c r="I410" s="5" t="n">
        <f aca="false">F410-D410</f>
        <v>-10</v>
      </c>
      <c r="J410" s="6" t="n">
        <f aca="false">IF(D410=0,0,F410/D410-1)</f>
        <v>-0.153964588144727</v>
      </c>
      <c r="K410" s="4"/>
    </row>
    <row r="411" customFormat="false" ht="15" hidden="false" customHeight="false" outlineLevel="0" collapsed="false">
      <c r="A411" s="4" t="s">
        <v>11</v>
      </c>
      <c r="B411" s="4" t="s">
        <v>863</v>
      </c>
      <c r="C411" s="4" t="s">
        <v>864</v>
      </c>
      <c r="D411" s="5" t="n">
        <v>69.95</v>
      </c>
      <c r="E411" s="5" t="n">
        <v>116.58</v>
      </c>
      <c r="F411" s="11" t="n">
        <v>54.95</v>
      </c>
      <c r="G411" s="11" t="n">
        <v>91.95</v>
      </c>
      <c r="H411" s="12" t="n">
        <v>0.4</v>
      </c>
      <c r="I411" s="5" t="n">
        <f aca="false">F411-D411</f>
        <v>-15</v>
      </c>
      <c r="J411" s="6" t="n">
        <f aca="false">IF(D411=0,0,F411/D411-1)</f>
        <v>-0.214438884917798</v>
      </c>
      <c r="K411" s="4"/>
    </row>
    <row r="412" customFormat="false" ht="15" hidden="false" customHeight="false" outlineLevel="0" collapsed="false">
      <c r="A412" s="4" t="s">
        <v>11</v>
      </c>
      <c r="B412" s="4" t="s">
        <v>865</v>
      </c>
      <c r="C412" s="4" t="s">
        <v>866</v>
      </c>
      <c r="D412" s="5" t="n">
        <v>64.95</v>
      </c>
      <c r="E412" s="5" t="n">
        <v>108.25</v>
      </c>
      <c r="F412" s="11" t="n">
        <v>54.95</v>
      </c>
      <c r="G412" s="11" t="n">
        <v>91.95</v>
      </c>
      <c r="H412" s="12" t="n">
        <v>0.4</v>
      </c>
      <c r="I412" s="5" t="n">
        <f aca="false">F412-D412</f>
        <v>-10</v>
      </c>
      <c r="J412" s="6" t="n">
        <f aca="false">IF(D412=0,0,F412/D412-1)</f>
        <v>-0.153964588144727</v>
      </c>
      <c r="K412" s="4"/>
    </row>
    <row r="413" customFormat="false" ht="15" hidden="false" customHeight="false" outlineLevel="0" collapsed="false">
      <c r="A413" s="4" t="s">
        <v>11</v>
      </c>
      <c r="B413" s="4" t="s">
        <v>867</v>
      </c>
      <c r="C413" s="4" t="s">
        <v>868</v>
      </c>
      <c r="D413" s="5" t="n">
        <v>64.95</v>
      </c>
      <c r="E413" s="5" t="n">
        <v>118.09</v>
      </c>
      <c r="F413" s="11" t="n">
        <v>54.95</v>
      </c>
      <c r="G413" s="11" t="n">
        <v>99.95</v>
      </c>
      <c r="H413" s="12" t="n">
        <v>0.45</v>
      </c>
      <c r="I413" s="5" t="n">
        <f aca="false">F413-D413</f>
        <v>-10</v>
      </c>
      <c r="J413" s="6" t="n">
        <f aca="false">IF(D413=0,0,F413/D413-1)</f>
        <v>-0.153964588144727</v>
      </c>
      <c r="K413" s="4"/>
    </row>
    <row r="414" customFormat="false" ht="15" hidden="false" customHeight="false" outlineLevel="0" collapsed="false">
      <c r="A414" s="4" t="s">
        <v>11</v>
      </c>
      <c r="B414" s="4" t="s">
        <v>869</v>
      </c>
      <c r="C414" s="4" t="s">
        <v>870</v>
      </c>
      <c r="D414" s="5" t="n">
        <v>64.95</v>
      </c>
      <c r="E414" s="5" t="n">
        <v>129.9</v>
      </c>
      <c r="F414" s="11" t="n">
        <v>54.95</v>
      </c>
      <c r="G414" s="11" t="n">
        <v>109.95</v>
      </c>
      <c r="H414" s="12" t="n">
        <v>0.5</v>
      </c>
      <c r="I414" s="5" t="n">
        <f aca="false">F414-D414</f>
        <v>-10</v>
      </c>
      <c r="J414" s="6" t="n">
        <f aca="false">IF(D414=0,0,F414/D414-1)</f>
        <v>-0.153964588144727</v>
      </c>
      <c r="K414" s="4"/>
    </row>
    <row r="415" customFormat="false" ht="15" hidden="false" customHeight="false" outlineLevel="0" collapsed="false">
      <c r="A415" s="4" t="s">
        <v>11</v>
      </c>
      <c r="B415" s="4" t="s">
        <v>871</v>
      </c>
      <c r="C415" s="4" t="s">
        <v>872</v>
      </c>
      <c r="D415" s="5" t="n">
        <v>64.95</v>
      </c>
      <c r="E415" s="5" t="n">
        <v>108.25</v>
      </c>
      <c r="F415" s="11" t="n">
        <v>54.95</v>
      </c>
      <c r="G415" s="11" t="n">
        <v>91.95</v>
      </c>
      <c r="H415" s="12" t="n">
        <v>0.4</v>
      </c>
      <c r="I415" s="5" t="n">
        <f aca="false">F415-D415</f>
        <v>-10</v>
      </c>
      <c r="J415" s="6" t="n">
        <f aca="false">IF(D415=0,0,F415/D415-1)</f>
        <v>-0.153964588144727</v>
      </c>
      <c r="K415" s="4"/>
    </row>
    <row r="416" customFormat="false" ht="15" hidden="false" customHeight="false" outlineLevel="0" collapsed="false">
      <c r="A416" s="4" t="s">
        <v>11</v>
      </c>
      <c r="B416" s="4" t="s">
        <v>873</v>
      </c>
      <c r="C416" s="4" t="s">
        <v>874</v>
      </c>
      <c r="D416" s="5" t="n">
        <v>64.95</v>
      </c>
      <c r="E416" s="5" t="n">
        <v>129.9</v>
      </c>
      <c r="F416" s="11" t="n">
        <v>54.95</v>
      </c>
      <c r="G416" s="11" t="n">
        <v>109.95</v>
      </c>
      <c r="H416" s="12" t="n">
        <v>0.5</v>
      </c>
      <c r="I416" s="5" t="n">
        <f aca="false">F416-D416</f>
        <v>-10</v>
      </c>
      <c r="J416" s="6" t="n">
        <f aca="false">IF(D416=0,0,F416/D416-1)</f>
        <v>-0.153964588144727</v>
      </c>
      <c r="K416" s="4"/>
    </row>
    <row r="417" customFormat="false" ht="15" hidden="false" customHeight="false" outlineLevel="0" collapsed="false">
      <c r="A417" s="4" t="s">
        <v>11</v>
      </c>
      <c r="B417" s="4" t="s">
        <v>875</v>
      </c>
      <c r="C417" s="4" t="s">
        <v>876</v>
      </c>
      <c r="D417" s="5" t="n">
        <v>64.95</v>
      </c>
      <c r="E417" s="5" t="n">
        <v>118.09</v>
      </c>
      <c r="F417" s="11" t="n">
        <v>54.95</v>
      </c>
      <c r="G417" s="11" t="n">
        <v>99.95</v>
      </c>
      <c r="H417" s="12" t="n">
        <v>0.45</v>
      </c>
      <c r="I417" s="5" t="n">
        <f aca="false">F417-D417</f>
        <v>-10</v>
      </c>
      <c r="J417" s="6" t="n">
        <f aca="false">IF(D417=0,0,F417/D417-1)</f>
        <v>-0.153964588144727</v>
      </c>
      <c r="K417" s="4"/>
    </row>
    <row r="418" customFormat="false" ht="15" hidden="false" customHeight="false" outlineLevel="0" collapsed="false">
      <c r="A418" s="4" t="s">
        <v>11</v>
      </c>
      <c r="B418" s="4" t="s">
        <v>877</v>
      </c>
      <c r="C418" s="4" t="s">
        <v>878</v>
      </c>
      <c r="D418" s="5" t="n">
        <v>64.95</v>
      </c>
      <c r="E418" s="5" t="n">
        <v>108.25</v>
      </c>
      <c r="F418" s="11" t="n">
        <v>54.95</v>
      </c>
      <c r="G418" s="11" t="n">
        <v>91.95</v>
      </c>
      <c r="H418" s="12" t="n">
        <v>0.4</v>
      </c>
      <c r="I418" s="5" t="n">
        <f aca="false">F418-D418</f>
        <v>-10</v>
      </c>
      <c r="J418" s="6" t="n">
        <f aca="false">IF(D418=0,0,F418/D418-1)</f>
        <v>-0.153964588144727</v>
      </c>
      <c r="K418" s="4"/>
    </row>
    <row r="419" customFormat="false" ht="15" hidden="false" customHeight="false" outlineLevel="0" collapsed="false">
      <c r="A419" s="4" t="s">
        <v>11</v>
      </c>
      <c r="B419" s="4" t="s">
        <v>879</v>
      </c>
      <c r="C419" s="4" t="s">
        <v>880</v>
      </c>
      <c r="D419" s="5" t="n">
        <v>64.95</v>
      </c>
      <c r="E419" s="5" t="n">
        <v>129.9</v>
      </c>
      <c r="F419" s="11" t="n">
        <v>54.95</v>
      </c>
      <c r="G419" s="11" t="n">
        <v>109.95</v>
      </c>
      <c r="H419" s="12" t="n">
        <v>0.5</v>
      </c>
      <c r="I419" s="5" t="n">
        <f aca="false">F419-D419</f>
        <v>-10</v>
      </c>
      <c r="J419" s="6" t="n">
        <f aca="false">IF(D419=0,0,F419/D419-1)</f>
        <v>-0.153964588144727</v>
      </c>
      <c r="K419" s="4"/>
    </row>
    <row r="420" customFormat="false" ht="15" hidden="false" customHeight="false" outlineLevel="0" collapsed="false">
      <c r="A420" s="4" t="s">
        <v>11</v>
      </c>
      <c r="B420" s="4" t="s">
        <v>881</v>
      </c>
      <c r="C420" s="4" t="s">
        <v>882</v>
      </c>
      <c r="D420" s="5" t="n">
        <v>64.95</v>
      </c>
      <c r="E420" s="5" t="n">
        <v>118.09</v>
      </c>
      <c r="F420" s="11" t="n">
        <v>54.95</v>
      </c>
      <c r="G420" s="11" t="n">
        <v>99.95</v>
      </c>
      <c r="H420" s="12" t="n">
        <v>0.45</v>
      </c>
      <c r="I420" s="5" t="n">
        <f aca="false">F420-D420</f>
        <v>-10</v>
      </c>
      <c r="J420" s="6" t="n">
        <f aca="false">IF(D420=0,0,F420/D420-1)</f>
        <v>-0.153964588144727</v>
      </c>
      <c r="K420" s="4"/>
    </row>
    <row r="421" customFormat="false" ht="15" hidden="false" customHeight="false" outlineLevel="0" collapsed="false">
      <c r="A421" s="4" t="s">
        <v>11</v>
      </c>
      <c r="B421" s="4" t="s">
        <v>883</v>
      </c>
      <c r="C421" s="4" t="s">
        <v>884</v>
      </c>
      <c r="D421" s="5" t="n">
        <v>64.95</v>
      </c>
      <c r="E421" s="5" t="n">
        <v>118.09</v>
      </c>
      <c r="F421" s="11" t="n">
        <v>54.95</v>
      </c>
      <c r="G421" s="11" t="n">
        <v>99.95</v>
      </c>
      <c r="H421" s="12" t="n">
        <v>0.45</v>
      </c>
      <c r="I421" s="5" t="n">
        <f aca="false">F421-D421</f>
        <v>-10</v>
      </c>
      <c r="J421" s="6" t="n">
        <f aca="false">IF(D421=0,0,F421/D421-1)</f>
        <v>-0.153964588144727</v>
      </c>
      <c r="K421" s="4"/>
    </row>
    <row r="422" customFormat="false" ht="15" hidden="false" customHeight="false" outlineLevel="0" collapsed="false">
      <c r="A422" s="4" t="s">
        <v>11</v>
      </c>
      <c r="B422" s="4" t="s">
        <v>885</v>
      </c>
      <c r="C422" s="4" t="s">
        <v>886</v>
      </c>
      <c r="D422" s="5" t="n">
        <v>64.95</v>
      </c>
      <c r="E422" s="5" t="n">
        <v>108.25</v>
      </c>
      <c r="F422" s="11" t="n">
        <v>54.95</v>
      </c>
      <c r="G422" s="11" t="n">
        <v>91.95</v>
      </c>
      <c r="H422" s="12" t="n">
        <v>0.4</v>
      </c>
      <c r="I422" s="5" t="n">
        <f aca="false">F422-D422</f>
        <v>-10</v>
      </c>
      <c r="J422" s="6" t="n">
        <f aca="false">IF(D422=0,0,F422/D422-1)</f>
        <v>-0.153964588144727</v>
      </c>
      <c r="K422" s="4"/>
    </row>
    <row r="423" customFormat="false" ht="15" hidden="false" customHeight="false" outlineLevel="0" collapsed="false">
      <c r="A423" s="4" t="s">
        <v>11</v>
      </c>
      <c r="B423" s="4" t="s">
        <v>887</v>
      </c>
      <c r="C423" s="4" t="s">
        <v>888</v>
      </c>
      <c r="D423" s="5" t="n">
        <v>64.95</v>
      </c>
      <c r="E423" s="5" t="n">
        <v>118.09</v>
      </c>
      <c r="F423" s="11" t="n">
        <v>54.95</v>
      </c>
      <c r="G423" s="11" t="n">
        <v>99.95</v>
      </c>
      <c r="H423" s="12" t="n">
        <v>0.45</v>
      </c>
      <c r="I423" s="5" t="n">
        <f aca="false">F423-D423</f>
        <v>-10</v>
      </c>
      <c r="J423" s="6" t="n">
        <f aca="false">IF(D423=0,0,F423/D423-1)</f>
        <v>-0.153964588144727</v>
      </c>
      <c r="K423" s="4"/>
    </row>
    <row r="424" customFormat="false" ht="15" hidden="false" customHeight="false" outlineLevel="0" collapsed="false">
      <c r="A424" s="4" t="s">
        <v>11</v>
      </c>
      <c r="B424" s="4" t="s">
        <v>889</v>
      </c>
      <c r="C424" s="4" t="s">
        <v>890</v>
      </c>
      <c r="D424" s="5" t="n">
        <v>64.95</v>
      </c>
      <c r="E424" s="5" t="n">
        <v>108.25</v>
      </c>
      <c r="F424" s="11" t="n">
        <v>54.95</v>
      </c>
      <c r="G424" s="11" t="n">
        <v>91.95</v>
      </c>
      <c r="H424" s="12" t="n">
        <v>0.4</v>
      </c>
      <c r="I424" s="5" t="n">
        <f aca="false">F424-D424</f>
        <v>-10</v>
      </c>
      <c r="J424" s="6" t="n">
        <f aca="false">IF(D424=0,0,F424/D424-1)</f>
        <v>-0.153964588144727</v>
      </c>
      <c r="K424" s="4"/>
    </row>
    <row r="425" customFormat="false" ht="15" hidden="false" customHeight="false" outlineLevel="0" collapsed="false">
      <c r="A425" s="4" t="s">
        <v>11</v>
      </c>
      <c r="B425" s="4" t="s">
        <v>891</v>
      </c>
      <c r="C425" s="4" t="s">
        <v>892</v>
      </c>
      <c r="D425" s="5" t="n">
        <v>64.95</v>
      </c>
      <c r="E425" s="5" t="n">
        <v>108.25</v>
      </c>
      <c r="F425" s="11" t="n">
        <v>54.95</v>
      </c>
      <c r="G425" s="11" t="n">
        <v>91.95</v>
      </c>
      <c r="H425" s="12" t="n">
        <v>0.4</v>
      </c>
      <c r="I425" s="5" t="n">
        <f aca="false">F425-D425</f>
        <v>-10</v>
      </c>
      <c r="J425" s="6" t="n">
        <f aca="false">IF(D425=0,0,F425/D425-1)</f>
        <v>-0.153964588144727</v>
      </c>
      <c r="K425" s="4"/>
    </row>
    <row r="426" customFormat="false" ht="15" hidden="false" customHeight="false" outlineLevel="0" collapsed="false">
      <c r="A426" s="4" t="s">
        <v>11</v>
      </c>
      <c r="B426" s="4" t="s">
        <v>893</v>
      </c>
      <c r="C426" s="4" t="s">
        <v>894</v>
      </c>
      <c r="D426" s="5" t="n">
        <v>64.95</v>
      </c>
      <c r="E426" s="5" t="n">
        <v>108.25</v>
      </c>
      <c r="F426" s="11" t="n">
        <v>54.95</v>
      </c>
      <c r="G426" s="11" t="n">
        <v>91.95</v>
      </c>
      <c r="H426" s="12" t="n">
        <v>0.4</v>
      </c>
      <c r="I426" s="5" t="n">
        <f aca="false">F426-D426</f>
        <v>-10</v>
      </c>
      <c r="J426" s="6" t="n">
        <f aca="false">IF(D426=0,0,F426/D426-1)</f>
        <v>-0.153964588144727</v>
      </c>
      <c r="K426" s="4"/>
    </row>
    <row r="427" customFormat="false" ht="15" hidden="false" customHeight="false" outlineLevel="0" collapsed="false">
      <c r="A427" s="4" t="s">
        <v>11</v>
      </c>
      <c r="B427" s="4" t="s">
        <v>895</v>
      </c>
      <c r="C427" s="4" t="s">
        <v>896</v>
      </c>
      <c r="D427" s="5" t="n">
        <v>64.95</v>
      </c>
      <c r="E427" s="5" t="n">
        <v>118.09</v>
      </c>
      <c r="F427" s="11" t="n">
        <v>54.95</v>
      </c>
      <c r="G427" s="11" t="n">
        <v>99.95</v>
      </c>
      <c r="H427" s="12" t="n">
        <v>0.45</v>
      </c>
      <c r="I427" s="5" t="n">
        <f aca="false">F427-D427</f>
        <v>-10</v>
      </c>
      <c r="J427" s="6" t="n">
        <f aca="false">IF(D427=0,0,F427/D427-1)</f>
        <v>-0.153964588144727</v>
      </c>
      <c r="K427" s="4"/>
    </row>
    <row r="428" customFormat="false" ht="15" hidden="false" customHeight="false" outlineLevel="0" collapsed="false">
      <c r="A428" s="4" t="s">
        <v>11</v>
      </c>
      <c r="B428" s="4" t="s">
        <v>897</v>
      </c>
      <c r="C428" s="4" t="s">
        <v>898</v>
      </c>
      <c r="D428" s="5" t="n">
        <v>64.95</v>
      </c>
      <c r="E428" s="5" t="n">
        <v>108.25</v>
      </c>
      <c r="F428" s="11" t="n">
        <v>54.95</v>
      </c>
      <c r="G428" s="11" t="n">
        <v>91.95</v>
      </c>
      <c r="H428" s="12" t="n">
        <v>0.4</v>
      </c>
      <c r="I428" s="5" t="n">
        <f aca="false">F428-D428</f>
        <v>-10</v>
      </c>
      <c r="J428" s="6" t="n">
        <f aca="false">IF(D428=0,0,F428/D428-1)</f>
        <v>-0.153964588144727</v>
      </c>
      <c r="K428" s="4"/>
    </row>
    <row r="429" customFormat="false" ht="15" hidden="false" customHeight="false" outlineLevel="0" collapsed="false">
      <c r="A429" s="4" t="s">
        <v>11</v>
      </c>
      <c r="B429" s="4" t="s">
        <v>899</v>
      </c>
      <c r="C429" s="4" t="s">
        <v>900</v>
      </c>
      <c r="D429" s="5" t="n">
        <v>64.95</v>
      </c>
      <c r="E429" s="5" t="n">
        <v>108.25</v>
      </c>
      <c r="F429" s="11" t="n">
        <v>54.95</v>
      </c>
      <c r="G429" s="11" t="n">
        <v>91.95</v>
      </c>
      <c r="H429" s="12" t="n">
        <v>0.4</v>
      </c>
      <c r="I429" s="5" t="n">
        <f aca="false">F429-D429</f>
        <v>-10</v>
      </c>
      <c r="J429" s="6" t="n">
        <f aca="false">IF(D429=0,0,F429/D429-1)</f>
        <v>-0.153964588144727</v>
      </c>
      <c r="K429" s="4"/>
    </row>
    <row r="430" customFormat="false" ht="15" hidden="false" customHeight="false" outlineLevel="0" collapsed="false">
      <c r="A430" s="4" t="s">
        <v>11</v>
      </c>
      <c r="B430" s="4" t="s">
        <v>901</v>
      </c>
      <c r="C430" s="4" t="s">
        <v>902</v>
      </c>
      <c r="D430" s="5" t="n">
        <v>64.95</v>
      </c>
      <c r="E430" s="5" t="n">
        <v>108.25</v>
      </c>
      <c r="F430" s="11" t="n">
        <v>54.95</v>
      </c>
      <c r="G430" s="11" t="n">
        <v>91.95</v>
      </c>
      <c r="H430" s="12" t="n">
        <v>0.4</v>
      </c>
      <c r="I430" s="5" t="n">
        <f aca="false">F430-D430</f>
        <v>-10</v>
      </c>
      <c r="J430" s="6" t="n">
        <f aca="false">IF(D430=0,0,F430/D430-1)</f>
        <v>-0.153964588144727</v>
      </c>
      <c r="K430" s="4"/>
    </row>
    <row r="431" customFormat="false" ht="15" hidden="false" customHeight="false" outlineLevel="0" collapsed="false">
      <c r="A431" s="4" t="s">
        <v>11</v>
      </c>
      <c r="B431" s="4" t="s">
        <v>903</v>
      </c>
      <c r="C431" s="4" t="s">
        <v>904</v>
      </c>
      <c r="D431" s="5" t="n">
        <v>64.95</v>
      </c>
      <c r="E431" s="5" t="n">
        <v>108.25</v>
      </c>
      <c r="F431" s="11" t="n">
        <v>54.95</v>
      </c>
      <c r="G431" s="11" t="n">
        <v>91.95</v>
      </c>
      <c r="H431" s="12" t="n">
        <v>0.4</v>
      </c>
      <c r="I431" s="5" t="n">
        <f aca="false">F431-D431</f>
        <v>-10</v>
      </c>
      <c r="J431" s="6" t="n">
        <f aca="false">IF(D431=0,0,F431/D431-1)</f>
        <v>-0.153964588144727</v>
      </c>
      <c r="K431" s="4"/>
    </row>
    <row r="432" customFormat="false" ht="15" hidden="false" customHeight="false" outlineLevel="0" collapsed="false">
      <c r="A432" s="4" t="s">
        <v>17</v>
      </c>
      <c r="B432" s="4" t="s">
        <v>905</v>
      </c>
      <c r="C432" s="4" t="s">
        <v>906</v>
      </c>
      <c r="D432" s="5" t="n">
        <v>69.95</v>
      </c>
      <c r="E432" s="5" t="n">
        <v>127.18</v>
      </c>
      <c r="F432" s="11" t="n">
        <v>59.95</v>
      </c>
      <c r="G432" s="11" t="n">
        <v>108.95</v>
      </c>
      <c r="H432" s="12" t="n">
        <v>0.45</v>
      </c>
      <c r="I432" s="5" t="n">
        <f aca="false">F432-D432</f>
        <v>-10</v>
      </c>
      <c r="J432" s="6" t="n">
        <f aca="false">IF(D432=0,0,F432/D432-1)</f>
        <v>-0.142959256611866</v>
      </c>
      <c r="K432" s="4"/>
    </row>
    <row r="433" customFormat="false" ht="15" hidden="false" customHeight="false" outlineLevel="0" collapsed="false">
      <c r="A433" s="4" t="s">
        <v>17</v>
      </c>
      <c r="B433" s="4" t="s">
        <v>907</v>
      </c>
      <c r="C433" s="4" t="s">
        <v>908</v>
      </c>
      <c r="D433" s="5" t="n">
        <v>64.95</v>
      </c>
      <c r="E433" s="5" t="n">
        <v>118.09</v>
      </c>
      <c r="F433" s="11" t="n">
        <v>59.95</v>
      </c>
      <c r="G433" s="11" t="n">
        <v>108.95</v>
      </c>
      <c r="H433" s="12" t="n">
        <v>0.45</v>
      </c>
      <c r="I433" s="5" t="n">
        <f aca="false">F433-D433</f>
        <v>-5</v>
      </c>
      <c r="J433" s="6" t="n">
        <f aca="false">IF(D433=0,0,F433/D433-1)</f>
        <v>-0.0769822940723633</v>
      </c>
      <c r="K433" s="4"/>
    </row>
    <row r="434" customFormat="false" ht="15" hidden="false" customHeight="false" outlineLevel="0" collapsed="false">
      <c r="A434" s="4" t="s">
        <v>17</v>
      </c>
      <c r="B434" s="4" t="s">
        <v>909</v>
      </c>
      <c r="C434" s="4" t="s">
        <v>910</v>
      </c>
      <c r="D434" s="5" t="n">
        <v>69.95</v>
      </c>
      <c r="E434" s="5" t="n">
        <v>139.9</v>
      </c>
      <c r="F434" s="11" t="n">
        <v>59.95</v>
      </c>
      <c r="G434" s="11" t="n">
        <v>119.95</v>
      </c>
      <c r="H434" s="12" t="n">
        <v>0.5</v>
      </c>
      <c r="I434" s="5" t="n">
        <f aca="false">F434-D434</f>
        <v>-10</v>
      </c>
      <c r="J434" s="6" t="n">
        <f aca="false">IF(D434=0,0,F434/D434-1)</f>
        <v>-0.142959256611866</v>
      </c>
      <c r="K434" s="4"/>
    </row>
    <row r="435" customFormat="false" ht="15" hidden="false" customHeight="false" outlineLevel="0" collapsed="false">
      <c r="A435" s="4" t="s">
        <v>17</v>
      </c>
      <c r="B435" s="4" t="s">
        <v>911</v>
      </c>
      <c r="C435" s="4" t="s">
        <v>912</v>
      </c>
      <c r="D435" s="5" t="n">
        <v>64.95</v>
      </c>
      <c r="E435" s="5" t="n">
        <v>129.9</v>
      </c>
      <c r="F435" s="11" t="n">
        <v>59.95</v>
      </c>
      <c r="G435" s="11" t="n">
        <v>119.95</v>
      </c>
      <c r="H435" s="12" t="n">
        <v>0.5</v>
      </c>
      <c r="I435" s="5" t="n">
        <f aca="false">F435-D435</f>
        <v>-5</v>
      </c>
      <c r="J435" s="6" t="n">
        <f aca="false">IF(D435=0,0,F435/D435-1)</f>
        <v>-0.0769822940723633</v>
      </c>
      <c r="K435" s="4"/>
    </row>
    <row r="436" customFormat="false" ht="15" hidden="false" customHeight="false" outlineLevel="0" collapsed="false">
      <c r="A436" s="4" t="s">
        <v>17</v>
      </c>
      <c r="B436" s="4" t="s">
        <v>913</v>
      </c>
      <c r="C436" s="4" t="s">
        <v>914</v>
      </c>
      <c r="D436" s="5" t="n">
        <v>64.95</v>
      </c>
      <c r="E436" s="5" t="n">
        <v>108.25</v>
      </c>
      <c r="F436" s="11" t="n">
        <v>59.95</v>
      </c>
      <c r="G436" s="11" t="n">
        <v>99.95</v>
      </c>
      <c r="H436" s="12" t="n">
        <v>0.4</v>
      </c>
      <c r="I436" s="5" t="n">
        <f aca="false">F436-D436</f>
        <v>-5</v>
      </c>
      <c r="J436" s="6" t="n">
        <f aca="false">IF(D436=0,0,F436/D436-1)</f>
        <v>-0.0769822940723633</v>
      </c>
      <c r="K436" s="4"/>
    </row>
    <row r="437" customFormat="false" ht="15" hidden="false" customHeight="false" outlineLevel="0" collapsed="false">
      <c r="A437" s="4" t="s">
        <v>17</v>
      </c>
      <c r="B437" s="4" t="s">
        <v>915</v>
      </c>
      <c r="C437" s="4" t="s">
        <v>916</v>
      </c>
      <c r="D437" s="5" t="n">
        <v>69.95</v>
      </c>
      <c r="E437" s="5" t="n">
        <v>116.58</v>
      </c>
      <c r="F437" s="11" t="n">
        <v>59.95</v>
      </c>
      <c r="G437" s="11" t="n">
        <v>99.95</v>
      </c>
      <c r="H437" s="12" t="n">
        <v>0.4</v>
      </c>
      <c r="I437" s="5" t="n">
        <f aca="false">F437-D437</f>
        <v>-10</v>
      </c>
      <c r="J437" s="6" t="n">
        <f aca="false">IF(D437=0,0,F437/D437-1)</f>
        <v>-0.142959256611866</v>
      </c>
      <c r="K437" s="4"/>
    </row>
    <row r="438" customFormat="false" ht="15" hidden="false" customHeight="false" outlineLevel="0" collapsed="false">
      <c r="A438" s="4" t="s">
        <v>17</v>
      </c>
      <c r="B438" s="4" t="s">
        <v>917</v>
      </c>
      <c r="C438" s="4" t="s">
        <v>918</v>
      </c>
      <c r="D438" s="5" t="n">
        <v>69.95</v>
      </c>
      <c r="E438" s="5" t="n">
        <v>127.18</v>
      </c>
      <c r="F438" s="11" t="n">
        <v>59.95</v>
      </c>
      <c r="G438" s="11" t="n">
        <v>108.95</v>
      </c>
      <c r="H438" s="12" t="n">
        <v>0.45</v>
      </c>
      <c r="I438" s="5" t="n">
        <f aca="false">F438-D438</f>
        <v>-10</v>
      </c>
      <c r="J438" s="6" t="n">
        <f aca="false">IF(D438=0,0,F438/D438-1)</f>
        <v>-0.142959256611866</v>
      </c>
      <c r="K438" s="4"/>
    </row>
    <row r="439" customFormat="false" ht="15" hidden="false" customHeight="false" outlineLevel="0" collapsed="false">
      <c r="A439" s="4" t="s">
        <v>17</v>
      </c>
      <c r="B439" s="4" t="s">
        <v>919</v>
      </c>
      <c r="C439" s="4" t="s">
        <v>920</v>
      </c>
      <c r="D439" s="5" t="n">
        <v>69.95</v>
      </c>
      <c r="E439" s="5" t="n">
        <v>116.58</v>
      </c>
      <c r="F439" s="11" t="n">
        <v>59.95</v>
      </c>
      <c r="G439" s="11" t="n">
        <v>99.95</v>
      </c>
      <c r="H439" s="12" t="n">
        <v>0.4</v>
      </c>
      <c r="I439" s="5" t="n">
        <f aca="false">F439-D439</f>
        <v>-10</v>
      </c>
      <c r="J439" s="6" t="n">
        <f aca="false">IF(D439=0,0,F439/D439-1)</f>
        <v>-0.142959256611866</v>
      </c>
      <c r="K439" s="4"/>
    </row>
    <row r="440" customFormat="false" ht="15" hidden="false" customHeight="false" outlineLevel="0" collapsed="false">
      <c r="A440" s="4" t="s">
        <v>17</v>
      </c>
      <c r="B440" s="4" t="s">
        <v>921</v>
      </c>
      <c r="C440" s="4" t="s">
        <v>922</v>
      </c>
      <c r="D440" s="5" t="n">
        <v>69.95</v>
      </c>
      <c r="E440" s="5" t="n">
        <v>116.58</v>
      </c>
      <c r="F440" s="11" t="n">
        <v>59.95</v>
      </c>
      <c r="G440" s="11" t="n">
        <v>99.95</v>
      </c>
      <c r="H440" s="12" t="n">
        <v>0.4</v>
      </c>
      <c r="I440" s="5" t="n">
        <f aca="false">F440-D440</f>
        <v>-10</v>
      </c>
      <c r="J440" s="6" t="n">
        <f aca="false">IF(D440=0,0,F440/D440-1)</f>
        <v>-0.142959256611866</v>
      </c>
      <c r="K440" s="4"/>
    </row>
    <row r="441" customFormat="false" ht="15" hidden="false" customHeight="false" outlineLevel="0" collapsed="false">
      <c r="A441" s="4" t="s">
        <v>17</v>
      </c>
      <c r="B441" s="4" t="s">
        <v>923</v>
      </c>
      <c r="C441" s="4" t="s">
        <v>924</v>
      </c>
      <c r="D441" s="5" t="n">
        <v>64.95</v>
      </c>
      <c r="E441" s="5" t="n">
        <v>118.09</v>
      </c>
      <c r="F441" s="11" t="n">
        <v>64.95</v>
      </c>
      <c r="G441" s="11" t="n">
        <v>118.95</v>
      </c>
      <c r="H441" s="12" t="n">
        <v>0.45</v>
      </c>
      <c r="I441" s="5" t="n">
        <f aca="false">F441-D441</f>
        <v>0</v>
      </c>
      <c r="J441" s="6" t="n">
        <f aca="false">IF(D441=0,0,F441/D441-1)</f>
        <v>0</v>
      </c>
      <c r="K441" s="4" t="s">
        <v>332</v>
      </c>
    </row>
    <row r="442" customFormat="false" ht="15" hidden="false" customHeight="false" outlineLevel="0" collapsed="false">
      <c r="A442" s="4" t="s">
        <v>17</v>
      </c>
      <c r="B442" s="4" t="s">
        <v>925</v>
      </c>
      <c r="C442" s="4" t="s">
        <v>926</v>
      </c>
      <c r="D442" s="5" t="n">
        <v>64.95</v>
      </c>
      <c r="E442" s="5" t="n">
        <v>118.09</v>
      </c>
      <c r="F442" s="11" t="n">
        <v>64.95</v>
      </c>
      <c r="G442" s="11" t="n">
        <v>118.95</v>
      </c>
      <c r="H442" s="12" t="n">
        <v>0.45</v>
      </c>
      <c r="I442" s="5" t="n">
        <f aca="false">F442-D442</f>
        <v>0</v>
      </c>
      <c r="J442" s="6" t="n">
        <f aca="false">IF(D442=0,0,F442/D442-1)</f>
        <v>0</v>
      </c>
      <c r="K442" s="4" t="s">
        <v>332</v>
      </c>
    </row>
    <row r="443" customFormat="false" ht="15" hidden="false" customHeight="false" outlineLevel="0" collapsed="false">
      <c r="A443" s="4" t="s">
        <v>17</v>
      </c>
      <c r="B443" s="4" t="s">
        <v>927</v>
      </c>
      <c r="C443" s="4" t="s">
        <v>928</v>
      </c>
      <c r="D443" s="5" t="n">
        <v>69.95</v>
      </c>
      <c r="E443" s="5" t="n">
        <v>139.9</v>
      </c>
      <c r="F443" s="11" t="n">
        <v>69.95</v>
      </c>
      <c r="G443" s="11" t="n">
        <v>139.95</v>
      </c>
      <c r="H443" s="12" t="n">
        <v>0.5</v>
      </c>
      <c r="I443" s="5" t="n">
        <f aca="false">F443-D443</f>
        <v>0</v>
      </c>
      <c r="J443" s="6" t="n">
        <f aca="false">IF(D443=0,0,F443/D443-1)</f>
        <v>0</v>
      </c>
      <c r="K443" s="4" t="s">
        <v>332</v>
      </c>
    </row>
    <row r="444" customFormat="false" ht="15" hidden="false" customHeight="false" outlineLevel="0" collapsed="false">
      <c r="A444" s="4" t="s">
        <v>17</v>
      </c>
      <c r="B444" s="4" t="s">
        <v>929</v>
      </c>
      <c r="C444" s="4" t="s">
        <v>930</v>
      </c>
      <c r="D444" s="5" t="n">
        <v>69.95</v>
      </c>
      <c r="E444" s="5" t="n">
        <v>127.18</v>
      </c>
      <c r="F444" s="11" t="n">
        <v>69.95</v>
      </c>
      <c r="G444" s="11" t="n">
        <v>127.95</v>
      </c>
      <c r="H444" s="12" t="n">
        <v>0.45</v>
      </c>
      <c r="I444" s="5" t="n">
        <f aca="false">F444-D444</f>
        <v>0</v>
      </c>
      <c r="J444" s="6" t="n">
        <f aca="false">IF(D444=0,0,F444/D444-1)</f>
        <v>0</v>
      </c>
      <c r="K444" s="4" t="s">
        <v>332</v>
      </c>
    </row>
    <row r="445" customFormat="false" ht="15" hidden="false" customHeight="false" outlineLevel="0" collapsed="false">
      <c r="A445" s="4" t="s">
        <v>17</v>
      </c>
      <c r="B445" s="4" t="s">
        <v>931</v>
      </c>
      <c r="C445" s="4" t="s">
        <v>932</v>
      </c>
      <c r="D445" s="5" t="n">
        <v>84.95</v>
      </c>
      <c r="E445" s="5" t="n">
        <v>169.9</v>
      </c>
      <c r="F445" s="11" t="n">
        <v>69.95</v>
      </c>
      <c r="G445" s="11" t="n">
        <v>139.95</v>
      </c>
      <c r="H445" s="12" t="n">
        <v>0.5</v>
      </c>
      <c r="I445" s="5" t="n">
        <f aca="false">F445-D445</f>
        <v>-15</v>
      </c>
      <c r="J445" s="6" t="n">
        <f aca="false">IF(D445=0,0,F445/D445-1)</f>
        <v>-0.176574455562095</v>
      </c>
      <c r="K445" s="4"/>
    </row>
    <row r="446" customFormat="false" ht="15" hidden="false" customHeight="false" outlineLevel="0" collapsed="false">
      <c r="A446" s="4" t="s">
        <v>17</v>
      </c>
      <c r="B446" s="4" t="s">
        <v>933</v>
      </c>
      <c r="C446" s="4" t="s">
        <v>934</v>
      </c>
      <c r="D446" s="5" t="n">
        <v>84.95</v>
      </c>
      <c r="E446" s="5" t="n">
        <v>169.9</v>
      </c>
      <c r="F446" s="11" t="n">
        <v>69.95</v>
      </c>
      <c r="G446" s="11" t="n">
        <v>139.95</v>
      </c>
      <c r="H446" s="12" t="n">
        <v>0.5</v>
      </c>
      <c r="I446" s="5" t="n">
        <f aca="false">F446-D446</f>
        <v>-15</v>
      </c>
      <c r="J446" s="6" t="n">
        <f aca="false">IF(D446=0,0,F446/D446-1)</f>
        <v>-0.176574455562095</v>
      </c>
      <c r="K446" s="4"/>
    </row>
    <row r="447" customFormat="false" ht="15" hidden="false" customHeight="false" outlineLevel="0" collapsed="false">
      <c r="A447" s="4" t="s">
        <v>17</v>
      </c>
      <c r="B447" s="4" t="s">
        <v>935</v>
      </c>
      <c r="C447" s="4" t="s">
        <v>936</v>
      </c>
      <c r="D447" s="5" t="n">
        <v>84.95</v>
      </c>
      <c r="E447" s="5" t="n">
        <v>169.9</v>
      </c>
      <c r="F447" s="11" t="n">
        <v>69.95</v>
      </c>
      <c r="G447" s="11" t="n">
        <v>139.95</v>
      </c>
      <c r="H447" s="12" t="n">
        <v>0.5</v>
      </c>
      <c r="I447" s="5" t="n">
        <f aca="false">F447-D447</f>
        <v>-15</v>
      </c>
      <c r="J447" s="6" t="n">
        <f aca="false">IF(D447=0,0,F447/D447-1)</f>
        <v>-0.176574455562095</v>
      </c>
      <c r="K447" s="4"/>
    </row>
    <row r="448" customFormat="false" ht="15" hidden="false" customHeight="false" outlineLevel="0" collapsed="false">
      <c r="A448" s="4" t="s">
        <v>17</v>
      </c>
      <c r="B448" s="4" t="s">
        <v>937</v>
      </c>
      <c r="C448" s="4" t="s">
        <v>938</v>
      </c>
      <c r="D448" s="5" t="n">
        <v>84.95</v>
      </c>
      <c r="E448" s="5" t="n">
        <v>154.45</v>
      </c>
      <c r="F448" s="11" t="n">
        <v>69.95</v>
      </c>
      <c r="G448" s="11" t="n">
        <v>127.95</v>
      </c>
      <c r="H448" s="12" t="n">
        <v>0.45</v>
      </c>
      <c r="I448" s="5" t="n">
        <f aca="false">F448-D448</f>
        <v>-15</v>
      </c>
      <c r="J448" s="6" t="n">
        <f aca="false">IF(D448=0,0,F448/D448-1)</f>
        <v>-0.176574455562095</v>
      </c>
      <c r="K448" s="4"/>
    </row>
    <row r="449" customFormat="false" ht="15" hidden="false" customHeight="false" outlineLevel="0" collapsed="false">
      <c r="A449" s="4" t="s">
        <v>24</v>
      </c>
      <c r="B449" s="4" t="s">
        <v>939</v>
      </c>
      <c r="C449" s="4" t="s">
        <v>940</v>
      </c>
      <c r="D449" s="5" t="n">
        <v>69.95</v>
      </c>
      <c r="E449" s="5" t="n">
        <v>127.18</v>
      </c>
      <c r="F449" s="11" t="n">
        <v>69.95</v>
      </c>
      <c r="G449" s="11" t="n">
        <v>127.95</v>
      </c>
      <c r="H449" s="12" t="n">
        <v>0.45</v>
      </c>
      <c r="I449" s="5" t="n">
        <f aca="false">F449-D449</f>
        <v>0</v>
      </c>
      <c r="J449" s="6" t="n">
        <f aca="false">IF(D449=0,0,F449/D449-1)</f>
        <v>0</v>
      </c>
      <c r="K449" s="4"/>
    </row>
    <row r="450" customFormat="false" ht="15" hidden="false" customHeight="false" outlineLevel="0" collapsed="false">
      <c r="A450" s="4" t="s">
        <v>24</v>
      </c>
      <c r="B450" s="4" t="s">
        <v>941</v>
      </c>
      <c r="C450" s="4" t="s">
        <v>942</v>
      </c>
      <c r="D450" s="5" t="n">
        <v>69.95</v>
      </c>
      <c r="E450" s="5" t="n">
        <v>127.18</v>
      </c>
      <c r="F450" s="11" t="n">
        <v>69.95</v>
      </c>
      <c r="G450" s="11" t="n">
        <v>127.95</v>
      </c>
      <c r="H450" s="12" t="n">
        <v>0.45</v>
      </c>
      <c r="I450" s="5" t="n">
        <f aca="false">F450-D450</f>
        <v>0</v>
      </c>
      <c r="J450" s="6" t="n">
        <f aca="false">IF(D450=0,0,F450/D450-1)</f>
        <v>0</v>
      </c>
      <c r="K450" s="4"/>
    </row>
    <row r="451" customFormat="false" ht="15" hidden="false" customHeight="false" outlineLevel="0" collapsed="false">
      <c r="A451" s="4" t="s">
        <v>24</v>
      </c>
      <c r="B451" s="4" t="s">
        <v>943</v>
      </c>
      <c r="C451" s="4" t="s">
        <v>944</v>
      </c>
      <c r="D451" s="5" t="n">
        <v>84.95</v>
      </c>
      <c r="E451" s="5" t="n">
        <v>141.58</v>
      </c>
      <c r="F451" s="11" t="n">
        <v>74.95</v>
      </c>
      <c r="G451" s="11" t="n">
        <v>124.95</v>
      </c>
      <c r="H451" s="12" t="n">
        <v>0.4</v>
      </c>
      <c r="I451" s="5" t="n">
        <f aca="false">F451-D451</f>
        <v>-10</v>
      </c>
      <c r="J451" s="6" t="n">
        <f aca="false">IF(D451=0,0,F451/D451-1)</f>
        <v>-0.117716303708064</v>
      </c>
      <c r="K451" s="4"/>
    </row>
    <row r="452" customFormat="false" ht="15" hidden="false" customHeight="false" outlineLevel="0" collapsed="false">
      <c r="A452" s="4" t="s">
        <v>24</v>
      </c>
      <c r="B452" s="4" t="s">
        <v>945</v>
      </c>
      <c r="C452" s="4" t="s">
        <v>946</v>
      </c>
      <c r="D452" s="5" t="n">
        <v>84.95</v>
      </c>
      <c r="E452" s="5" t="n">
        <v>169.9</v>
      </c>
      <c r="F452" s="11" t="n">
        <v>74.95</v>
      </c>
      <c r="G452" s="11" t="n">
        <v>149.95</v>
      </c>
      <c r="H452" s="12" t="n">
        <v>0.5</v>
      </c>
      <c r="I452" s="5" t="n">
        <f aca="false">F452-D452</f>
        <v>-10</v>
      </c>
      <c r="J452" s="6" t="n">
        <f aca="false">IF(D452=0,0,F452/D452-1)</f>
        <v>-0.117716303708064</v>
      </c>
      <c r="K452" s="4"/>
    </row>
    <row r="453" customFormat="false" ht="15" hidden="false" customHeight="false" outlineLevel="0" collapsed="false">
      <c r="A453" s="4" t="s">
        <v>24</v>
      </c>
      <c r="B453" s="4" t="s">
        <v>947</v>
      </c>
      <c r="C453" s="4" t="s">
        <v>948</v>
      </c>
      <c r="D453" s="5" t="n">
        <v>89.95</v>
      </c>
      <c r="E453" s="5" t="n">
        <v>163.55</v>
      </c>
      <c r="F453" s="11" t="n">
        <v>74.95</v>
      </c>
      <c r="G453" s="11" t="n">
        <v>136.95</v>
      </c>
      <c r="H453" s="12" t="n">
        <v>0.45</v>
      </c>
      <c r="I453" s="5" t="n">
        <f aca="false">F453-D453</f>
        <v>-15</v>
      </c>
      <c r="J453" s="6" t="n">
        <f aca="false">IF(D453=0,0,F453/D453-1)</f>
        <v>-0.166759310728182</v>
      </c>
      <c r="K453" s="4"/>
    </row>
    <row r="454" customFormat="false" ht="15" hidden="false" customHeight="false" outlineLevel="0" collapsed="false">
      <c r="A454" s="4" t="s">
        <v>24</v>
      </c>
      <c r="B454" s="4" t="s">
        <v>949</v>
      </c>
      <c r="C454" s="4" t="s">
        <v>950</v>
      </c>
      <c r="D454" s="5" t="n">
        <v>84.95</v>
      </c>
      <c r="E454" s="5" t="n">
        <v>141.58</v>
      </c>
      <c r="F454" s="11" t="n">
        <v>74.95</v>
      </c>
      <c r="G454" s="11" t="n">
        <v>124.95</v>
      </c>
      <c r="H454" s="12" t="n">
        <v>0.4</v>
      </c>
      <c r="I454" s="5" t="n">
        <f aca="false">F454-D454</f>
        <v>-10</v>
      </c>
      <c r="J454" s="6" t="n">
        <f aca="false">IF(D454=0,0,F454/D454-1)</f>
        <v>-0.117716303708064</v>
      </c>
      <c r="K454" s="4"/>
    </row>
    <row r="455" customFormat="false" ht="15" hidden="false" customHeight="false" outlineLevel="0" collapsed="false">
      <c r="A455" s="4" t="s">
        <v>24</v>
      </c>
      <c r="B455" s="4" t="s">
        <v>951</v>
      </c>
      <c r="C455" s="4" t="s">
        <v>952</v>
      </c>
      <c r="D455" s="5" t="n">
        <v>84.95</v>
      </c>
      <c r="E455" s="5" t="n">
        <v>169.9</v>
      </c>
      <c r="F455" s="11" t="n">
        <v>74.95</v>
      </c>
      <c r="G455" s="11" t="n">
        <v>149.95</v>
      </c>
      <c r="H455" s="12" t="n">
        <v>0.5</v>
      </c>
      <c r="I455" s="5" t="n">
        <f aca="false">F455-D455</f>
        <v>-10</v>
      </c>
      <c r="J455" s="6" t="n">
        <f aca="false">IF(D455=0,0,F455/D455-1)</f>
        <v>-0.117716303708064</v>
      </c>
      <c r="K455" s="4"/>
    </row>
    <row r="456" customFormat="false" ht="15" hidden="false" customHeight="false" outlineLevel="0" collapsed="false">
      <c r="A456" s="4" t="s">
        <v>24</v>
      </c>
      <c r="B456" s="4" t="s">
        <v>953</v>
      </c>
      <c r="C456" s="4" t="s">
        <v>954</v>
      </c>
      <c r="D456" s="5" t="n">
        <v>99.95</v>
      </c>
      <c r="E456" s="5" t="n">
        <v>166.58</v>
      </c>
      <c r="F456" s="11" t="n">
        <v>79.95</v>
      </c>
      <c r="G456" s="11" t="n">
        <v>133.95</v>
      </c>
      <c r="H456" s="12" t="n">
        <v>0.4</v>
      </c>
      <c r="I456" s="5" t="n">
        <f aca="false">F456-D456</f>
        <v>-20</v>
      </c>
      <c r="J456" s="6" t="n">
        <f aca="false">IF(D456=0,0,F456/D456-1)</f>
        <v>-0.200100050025013</v>
      </c>
      <c r="K456" s="4"/>
    </row>
    <row r="457" customFormat="false" ht="15" hidden="false" customHeight="false" outlineLevel="0" collapsed="false">
      <c r="A457" s="4" t="s">
        <v>24</v>
      </c>
      <c r="B457" s="4" t="s">
        <v>955</v>
      </c>
      <c r="C457" s="4" t="s">
        <v>956</v>
      </c>
      <c r="D457" s="5" t="n">
        <v>99.95</v>
      </c>
      <c r="E457" s="5" t="n">
        <v>166.58</v>
      </c>
      <c r="F457" s="11" t="n">
        <v>79.95</v>
      </c>
      <c r="G457" s="11" t="n">
        <v>133.95</v>
      </c>
      <c r="H457" s="12" t="n">
        <v>0.4</v>
      </c>
      <c r="I457" s="5" t="n">
        <f aca="false">F457-D457</f>
        <v>-20</v>
      </c>
      <c r="J457" s="6" t="n">
        <f aca="false">IF(D457=0,0,F457/D457-1)</f>
        <v>-0.200100050025013</v>
      </c>
      <c r="K457" s="4"/>
    </row>
    <row r="458" customFormat="false" ht="15" hidden="false" customHeight="false" outlineLevel="0" collapsed="false">
      <c r="A458" s="4" t="s">
        <v>24</v>
      </c>
      <c r="B458" s="4" t="s">
        <v>957</v>
      </c>
      <c r="C458" s="4" t="s">
        <v>958</v>
      </c>
      <c r="D458" s="5" t="n">
        <v>99.95</v>
      </c>
      <c r="E458" s="5" t="n">
        <v>166.58</v>
      </c>
      <c r="F458" s="11" t="n">
        <v>79.95</v>
      </c>
      <c r="G458" s="11" t="n">
        <v>133.95</v>
      </c>
      <c r="H458" s="12" t="n">
        <v>0.4</v>
      </c>
      <c r="I458" s="5" t="n">
        <f aca="false">F458-D458</f>
        <v>-20</v>
      </c>
      <c r="J458" s="6" t="n">
        <f aca="false">IF(D458=0,0,F458/D458-1)</f>
        <v>-0.200100050025013</v>
      </c>
      <c r="K458" s="4"/>
    </row>
    <row r="459" customFormat="false" ht="15" hidden="false" customHeight="false" outlineLevel="0" collapsed="false">
      <c r="A459" s="4" t="s">
        <v>24</v>
      </c>
      <c r="B459" s="4" t="s">
        <v>959</v>
      </c>
      <c r="C459" s="4" t="s">
        <v>960</v>
      </c>
      <c r="D459" s="5" t="n">
        <v>99.95</v>
      </c>
      <c r="E459" s="5" t="n">
        <v>199.9</v>
      </c>
      <c r="F459" s="11" t="n">
        <v>79.95</v>
      </c>
      <c r="G459" s="11" t="n">
        <v>159.95</v>
      </c>
      <c r="H459" s="12" t="n">
        <v>0.5</v>
      </c>
      <c r="I459" s="5" t="n">
        <f aca="false">F459-D459</f>
        <v>-20</v>
      </c>
      <c r="J459" s="6" t="n">
        <f aca="false">IF(D459=0,0,F459/D459-1)</f>
        <v>-0.200100050025013</v>
      </c>
      <c r="K459" s="4"/>
    </row>
    <row r="460" customFormat="false" ht="15" hidden="false" customHeight="false" outlineLevel="0" collapsed="false">
      <c r="A460" s="4" t="s">
        <v>24</v>
      </c>
      <c r="B460" s="4" t="s">
        <v>961</v>
      </c>
      <c r="C460" s="4" t="s">
        <v>962</v>
      </c>
      <c r="D460" s="5" t="n">
        <v>99.95</v>
      </c>
      <c r="E460" s="5" t="n">
        <v>166.58</v>
      </c>
      <c r="F460" s="11" t="n">
        <v>79.95</v>
      </c>
      <c r="G460" s="11" t="n">
        <v>133.95</v>
      </c>
      <c r="H460" s="12" t="n">
        <v>0.4</v>
      </c>
      <c r="I460" s="5" t="n">
        <f aca="false">F460-D460</f>
        <v>-20</v>
      </c>
      <c r="J460" s="6" t="n">
        <f aca="false">IF(D460=0,0,F460/D460-1)</f>
        <v>-0.200100050025013</v>
      </c>
      <c r="K460" s="4"/>
    </row>
    <row r="461" customFormat="false" ht="15" hidden="false" customHeight="false" outlineLevel="0" collapsed="false">
      <c r="A461" s="4" t="s">
        <v>24</v>
      </c>
      <c r="B461" s="4" t="s">
        <v>963</v>
      </c>
      <c r="C461" s="4" t="s">
        <v>964</v>
      </c>
      <c r="D461" s="5" t="n">
        <v>99.95</v>
      </c>
      <c r="E461" s="5" t="n">
        <v>166.58</v>
      </c>
      <c r="F461" s="11" t="n">
        <v>79.95</v>
      </c>
      <c r="G461" s="11" t="n">
        <v>133.95</v>
      </c>
      <c r="H461" s="12" t="n">
        <v>0.4</v>
      </c>
      <c r="I461" s="5" t="n">
        <f aca="false">F461-D461</f>
        <v>-20</v>
      </c>
      <c r="J461" s="6" t="n">
        <f aca="false">IF(D461=0,0,F461/D461-1)</f>
        <v>-0.200100050025013</v>
      </c>
      <c r="K461" s="4"/>
    </row>
    <row r="462" customFormat="false" ht="15" hidden="false" customHeight="false" outlineLevel="0" collapsed="false">
      <c r="A462" s="4" t="s">
        <v>24</v>
      </c>
      <c r="B462" s="4" t="s">
        <v>965</v>
      </c>
      <c r="C462" s="4" t="s">
        <v>966</v>
      </c>
      <c r="D462" s="5" t="n">
        <v>99.95</v>
      </c>
      <c r="E462" s="5" t="n">
        <v>199.9</v>
      </c>
      <c r="F462" s="11" t="n">
        <v>79.95</v>
      </c>
      <c r="G462" s="11" t="n">
        <v>159.95</v>
      </c>
      <c r="H462" s="12" t="n">
        <v>0.5</v>
      </c>
      <c r="I462" s="5" t="n">
        <f aca="false">F462-D462</f>
        <v>-20</v>
      </c>
      <c r="J462" s="6" t="n">
        <f aca="false">IF(D462=0,0,F462/D462-1)</f>
        <v>-0.200100050025013</v>
      </c>
      <c r="K462" s="4"/>
    </row>
    <row r="463" customFormat="false" ht="15" hidden="false" customHeight="false" outlineLevel="0" collapsed="false">
      <c r="A463" s="4" t="s">
        <v>24</v>
      </c>
      <c r="B463" s="4" t="s">
        <v>967</v>
      </c>
      <c r="C463" s="4" t="s">
        <v>968</v>
      </c>
      <c r="D463" s="5" t="n">
        <v>99.95</v>
      </c>
      <c r="E463" s="5" t="n">
        <v>199.9</v>
      </c>
      <c r="F463" s="11" t="n">
        <v>79.95</v>
      </c>
      <c r="G463" s="11" t="n">
        <v>159.95</v>
      </c>
      <c r="H463" s="12" t="n">
        <v>0.5</v>
      </c>
      <c r="I463" s="5" t="n">
        <f aca="false">F463-D463</f>
        <v>-20</v>
      </c>
      <c r="J463" s="6" t="n">
        <f aca="false">IF(D463=0,0,F463/D463-1)</f>
        <v>-0.200100050025013</v>
      </c>
      <c r="K463" s="4"/>
    </row>
  </sheetData>
  <autoFilter ref="A1:K4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2026-10-23T08:43:42Z</dcterms:created>
  <dc:creator>openpyxl</dc:creator>
  <dc:description/>
  <dc:language>en-US</dc:language>
  <cp:lastModifiedBy/>
  <dcterms:modified xsi:type="dcterms:W3CDTF">2026-10-23T08:43:42Z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